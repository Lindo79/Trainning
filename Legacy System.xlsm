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"/>
    </mc:Choice>
  </mc:AlternateContent>
  <xr:revisionPtr revIDLastSave="0" documentId="13_ncr:1_{A4626DCC-780C-4B57-A7B6-D840E68AB37E}" xr6:coauthVersionLast="47" xr6:coauthVersionMax="47" xr10:uidLastSave="{00000000-0000-0000-0000-000000000000}"/>
  <bookViews>
    <workbookView xWindow="-108" yWindow="-108" windowWidth="23256" windowHeight="12576" activeTab="2" xr2:uid="{76938E8D-66E0-49BD-A941-AB682D8F9E78}"/>
  </bookViews>
  <sheets>
    <sheet name="메인" sheetId="8" r:id="rId1"/>
    <sheet name="인덴트관리" sheetId="9" r:id="rId2"/>
    <sheet name="PO관리" sheetId="10" r:id="rId3"/>
    <sheet name="code" sheetId="7" r:id="rId4"/>
    <sheet name="validation" sheetId="11" r:id="rId5"/>
    <sheet name="매출채권" sheetId="4" state="hidden" r:id="rId6"/>
  </sheets>
  <functionGroups builtInGroupCount="19"/>
  <definedNames>
    <definedName name="_xlnm._FilterDatabase" localSheetId="1" hidden="1">인덴트관리!$A$4:$L$4</definedName>
    <definedName name="부서명">code!$B$2:$B$7</definedName>
    <definedName name="이름">code!$D$2:$D$36</definedName>
    <definedName name="팀명">code!$C$2:$C$6</definedName>
    <definedName name="회사명">code!$A$2:$A$3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sharedStrings.xml><?xml version="1.0" encoding="utf-8"?>
<sst xmlns="http://schemas.openxmlformats.org/spreadsheetml/2006/main" count="11893" uniqueCount="2939">
  <si>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</si>
  <si>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</si>
  <si>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</si>
  <si>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</si>
  <si>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</si>
  <si>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</si>
  <si>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</si>
  <si>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</si>
  <si>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</si>
  <si>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</si>
  <si>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</si>
  <si>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</si>
  <si>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</si>
  <si>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</si>
  <si>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</si>
  <si>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</si>
  <si>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</si>
  <si>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</si>
  <si>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</si>
  <si>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</si>
  <si>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</si>
  <si>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</si>
  <si>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</si>
  <si>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</si>
  <si>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</si>
  <si>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</si>
  <si>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</si>
  <si>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</si>
  <si>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</si>
  <si>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</si>
  <si>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</si>
  <si>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</si>
  <si>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</si>
  <si>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</si>
  <si>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</si>
  <si>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</si>
  <si>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</si>
  <si>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</si>
  <si>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</si>
  <si>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</si>
  <si>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</si>
  <si>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</si>
  <si>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</si>
  <si>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</si>
  <si>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</si>
  <si>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</si>
  <si>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</si>
  <si>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</si>
  <si>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</si>
  <si>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</si>
  <si>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</si>
  <si>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</si>
  <si>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</si>
  <si>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</si>
  <si>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</si>
  <si>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</si>
  <si>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</si>
  <si>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</si>
  <si>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</si>
  <si>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</si>
  <si>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</si>
  <si>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</si>
  <si>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</si>
  <si>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</si>
  <si>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</si>
  <si>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</si>
  <si>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</si>
  <si>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</si>
  <si>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</si>
  <si>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</si>
  <si>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</si>
  <si>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</si>
  <si>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</si>
  <si>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</si>
  <si>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</si>
  <si>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</si>
  <si>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</si>
  <si>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</si>
  <si>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</si>
  <si>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</si>
  <si>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</si>
  <si>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</si>
  <si>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</si>
  <si>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</si>
  <si>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</si>
  <si>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</si>
  <si>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</si>
  <si>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</si>
  <si>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</si>
  <si>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</si>
  <si>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</si>
  <si>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</si>
  <si>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</si>
  <si>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</si>
  <si>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</si>
  <si>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</si>
  <si>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</si>
  <si>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</si>
  <si>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</si>
  <si>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</si>
  <si>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</si>
  <si>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</si>
  <si>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</si>
  <si>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</si>
  <si>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</si>
  <si>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</si>
  <si>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</si>
  <si>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</si>
  <si>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</si>
  <si>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</si>
  <si>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</si>
  <si>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</si>
  <si>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</si>
  <si>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</si>
  <si>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</si>
  <si>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</si>
  <si>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</si>
  <si>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</si>
  <si>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</si>
  <si>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</si>
  <si>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</si>
  <si>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</si>
  <si>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</si>
  <si>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</si>
  <si>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</si>
  <si>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</si>
  <si>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</si>
  <si>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</si>
  <si>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</si>
  <si>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</si>
  <si>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</si>
  <si>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</si>
  <si>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</si>
  <si>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</si>
  <si>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</si>
  <si>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</si>
  <si>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</si>
  <si>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</si>
  <si>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</si>
  <si>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</si>
  <si>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</si>
  <si>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</si>
  <si>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</si>
  <si>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</si>
  <si>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</si>
  <si>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</si>
  <si>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</si>
  <si>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</si>
  <si>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</si>
  <si>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</si>
  <si>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</si>
  <si>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</si>
  <si>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</si>
  <si>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</si>
  <si>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</si>
  <si>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</si>
  <si>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</si>
  <si>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</si>
  <si>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</si>
  <si>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</si>
  <si>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</si>
  <si>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</si>
  <si>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</si>
  <si>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</si>
  <si>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</si>
  <si>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</si>
  <si>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</si>
  <si>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</si>
  <si>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</si>
  <si>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</si>
  <si>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</si>
  <si>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</si>
  <si>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</si>
  <si>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</si>
  <si>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</si>
  <si>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</si>
  <si>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</si>
  <si>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</si>
  <si>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</si>
  <si>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</si>
  <si>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</si>
  <si>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</si>
  <si>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</si>
  <si>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</si>
  <si>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</si>
  <si>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</si>
  <si>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</si>
  <si>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</si>
  <si>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</si>
  <si>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</si>
  <si>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</si>
  <si>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</si>
  <si>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</si>
  <si>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</si>
  <si>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</si>
  <si>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</si>
  <si>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</si>
  <si>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</si>
  <si>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</si>
  <si>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</si>
  <si>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</si>
  <si>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</si>
  <si>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</si>
  <si>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</si>
  <si>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</si>
  <si>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</si>
  <si>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</si>
  <si>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</si>
  <si>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</si>
  <si>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</si>
  <si>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</si>
  <si>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</si>
  <si>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</si>
  <si>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</si>
  <si>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</si>
  <si>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</si>
  <si>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</si>
  <si>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</si>
  <si>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</si>
  <si>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</si>
  <si>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</si>
  <si>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</si>
  <si>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</si>
  <si>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</si>
  <si>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</si>
  <si>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</si>
  <si>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</si>
  <si>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</si>
  <si>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</si>
  <si>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</si>
  <si>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</si>
  <si>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</si>
  <si>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</si>
  <si>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</si>
  <si>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</si>
  <si>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</si>
  <si>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</si>
  <si>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</si>
  <si>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</si>
  <si>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</si>
  <si>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</si>
  <si>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</si>
  <si>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</si>
  <si>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</si>
  <si>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</si>
  <si>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</si>
  <si>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</si>
  <si>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</si>
  <si>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</si>
  <si>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</si>
  <si>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</si>
  <si>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</si>
  <si>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</si>
  <si>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</si>
  <si>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</si>
  <si>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</si>
  <si>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</si>
  <si>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</si>
  <si>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</si>
  <si>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</si>
  <si>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</si>
  <si>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</si>
  <si>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</si>
  <si>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</si>
  <si>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</si>
  <si>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</si>
  <si>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</si>
  <si>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</si>
  <si>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</si>
  <si>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</si>
  <si>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</si>
  <si>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</si>
  <si>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</si>
  <si>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</si>
  <si>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</si>
  <si>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</si>
  <si>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</si>
  <si>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</si>
  <si>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</si>
  <si>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</si>
  <si>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</si>
  <si>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</si>
  <si>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</si>
  <si>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</si>
  <si>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</si>
  <si>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</si>
  <si>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</si>
  <si>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</si>
  <si>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</si>
  <si>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</si>
  <si>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</si>
  <si>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</si>
  <si>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</si>
  <si>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</si>
  <si>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</si>
  <si>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</si>
  <si>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</si>
  <si>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</si>
  <si>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</si>
  <si>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</si>
  <si>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</si>
  <si>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</si>
  <si>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</si>
  <si>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</si>
  <si>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</si>
  <si>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</si>
  <si>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</si>
  <si>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</si>
  <si>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</si>
  <si>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</si>
  <si>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</si>
  <si>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</si>
  <si>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</si>
  <si>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</si>
  <si>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</si>
  <si>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</si>
  <si>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</si>
  <si>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</si>
  <si>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</si>
  <si>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</si>
  <si>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</si>
  <si>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</si>
  <si>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</si>
  <si>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</si>
  <si>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</si>
  <si>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</si>
  <si>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</si>
  <si>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</si>
  <si>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</si>
  <si>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</si>
  <si>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</si>
  <si>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</si>
  <si>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</si>
  <si>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</si>
  <si>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</si>
  <si>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</si>
  <si>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</si>
  <si>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</si>
  <si>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</si>
  <si>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</si>
  <si>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</si>
  <si>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</si>
  <si>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</si>
  <si>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</si>
  <si>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</si>
  <si>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</si>
  <si>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</si>
  <si>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</si>
  <si>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</si>
  <si>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</si>
  <si>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</si>
  <si>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</si>
  <si>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</si>
  <si>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</si>
  <si>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</si>
  <si>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</si>
  <si>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</si>
  <si>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</si>
  <si>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</si>
  <si>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</si>
  <si>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</si>
  <si>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</si>
  <si>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</si>
  <si>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</si>
  <si>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</si>
  <si>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</si>
  <si>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</si>
  <si>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</si>
  <si>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</si>
  <si>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</si>
  <si>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</si>
  <si>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</si>
  <si>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</si>
  <si>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</si>
  <si>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</si>
  <si>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</si>
  <si>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</si>
  <si>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</si>
  <si>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</si>
  <si>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</si>
  <si>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</si>
  <si>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</si>
  <si>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</si>
  <si>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</si>
  <si>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</si>
  <si>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</si>
  <si>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</si>
  <si>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</si>
  <si>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</si>
  <si>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</si>
  <si>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</si>
  <si>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</si>
  <si>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</si>
  <si>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</si>
  <si>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</si>
  <si>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</si>
  <si>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</si>
  <si>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</si>
  <si>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</si>
  <si>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</si>
  <si>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</si>
  <si>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</si>
  <si>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</si>
  <si>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</si>
  <si>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</si>
  <si>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</si>
  <si>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</si>
  <si>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</si>
  <si>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</si>
  <si>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</si>
  <si>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</si>
  <si>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</si>
  <si>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</si>
  <si>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</si>
  <si>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</si>
  <si>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</si>
  <si>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</si>
  <si>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</si>
  <si>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</si>
  <si>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</si>
  <si>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</si>
  <si>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</si>
  <si>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</si>
  <si>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</si>
  <si>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</si>
  <si>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</si>
  <si>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</si>
  <si>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</si>
  <si>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</si>
  <si>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</si>
  <si>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</si>
  <si>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</si>
  <si>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</si>
  <si>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</si>
  <si>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</si>
  <si>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</si>
  <si>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</si>
  <si>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</si>
  <si>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</si>
  <si>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</si>
  <si>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</si>
  <si>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</si>
  <si>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</si>
  <si>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</si>
  <si>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</si>
  <si>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</si>
  <si>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</si>
  <si>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</si>
  <si>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</si>
  <si>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</si>
  <si>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</si>
  <si>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</si>
  <si>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</si>
  <si>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</si>
  <si>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</si>
  <si>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</si>
  <si>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</si>
  <si>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</si>
  <si>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</si>
  <si>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</si>
  <si>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</si>
  <si>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</si>
  <si>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</si>
  <si>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</si>
  <si>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</si>
  <si>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</si>
  <si>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</si>
  <si>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</si>
  <si>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</si>
  <si>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</si>
  <si>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</si>
  <si>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</si>
  <si>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</si>
  <si>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</si>
  <si>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</si>
  <si>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</si>
  <si>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</si>
  <si>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</si>
  <si>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</si>
  <si>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</si>
  <si>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</si>
  <si>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</si>
  <si>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</si>
  <si>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</si>
  <si>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</si>
  <si>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</si>
  <si>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</si>
  <si>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</si>
  <si>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</si>
  <si>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</si>
  <si>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</si>
  <si>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</si>
  <si>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</si>
  <si>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</si>
  <si>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</si>
  <si>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</si>
  <si>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</si>
  <si>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</si>
  <si>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</si>
  <si>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</si>
  <si>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</si>
  <si>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</si>
  <si>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</si>
  <si>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</si>
  <si>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</si>
  <si>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</si>
  <si>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</si>
  <si>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</si>
  <si>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</si>
  <si>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</si>
  <si>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</si>
  <si>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</si>
  <si>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</si>
  <si>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</si>
  <si>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</si>
  <si>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</si>
  <si>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</si>
  <si>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</si>
  <si>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</si>
  <si>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</si>
  <si>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</si>
  <si>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</si>
  <si>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</si>
  <si>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</si>
  <si>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</si>
  <si>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</si>
  <si>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</si>
  <si>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</si>
  <si>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</si>
  <si>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</si>
  <si>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</si>
  <si>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</si>
  <si>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</si>
  <si>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</si>
  <si>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</si>
  <si>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</si>
  <si>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</si>
  <si>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</si>
  <si>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</si>
  <si>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</si>
  <si>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</si>
  <si>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</si>
  <si>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</si>
  <si>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</si>
  <si>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</si>
  <si>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</si>
  <si>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</si>
  <si>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</si>
  <si>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</si>
  <si>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</si>
  <si>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</si>
  <si>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</si>
  <si>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</si>
  <si>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</si>
  <si>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</si>
  <si>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</si>
  <si>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</si>
  <si>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</si>
  <si>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</si>
  <si>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</si>
  <si>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</si>
  <si>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</si>
  <si>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</si>
  <si>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</si>
  <si>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</si>
  <si>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</si>
  <si>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</si>
  <si>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</si>
  <si>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</si>
  <si>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</si>
  <si>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</si>
  <si>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</si>
  <si>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</si>
  <si>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</si>
  <si>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</si>
  <si>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</si>
  <si>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</si>
  <si>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</si>
  <si>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</si>
  <si>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</si>
  <si>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</si>
  <si>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</si>
  <si>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</si>
  <si>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</si>
  <si>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</si>
  <si>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</si>
  <si>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</si>
  <si>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</si>
  <si>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</si>
  <si>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</si>
  <si>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</si>
  <si>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</si>
  <si>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</si>
  <si>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</si>
  <si>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</si>
  <si>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</si>
  <si>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</si>
  <si>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</si>
  <si>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</si>
  <si>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</si>
  <si>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</si>
  <si>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</si>
  <si>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</si>
  <si>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</si>
  <si>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</si>
  <si>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</si>
  <si>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</si>
  <si>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</si>
  <si>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</si>
  <si>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</si>
  <si>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</si>
  <si>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</si>
  <si>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</si>
  <si>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</si>
  <si>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</si>
  <si>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</si>
  <si>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</si>
  <si>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</si>
  <si>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</si>
  <si>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</si>
  <si>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</si>
  <si>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</si>
  <si>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</si>
  <si>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</si>
  <si>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</si>
  <si>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</si>
  <si>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</si>
  <si>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</si>
  <si>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</si>
  <si>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</si>
  <si>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</si>
  <si>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</si>
  <si>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</si>
  <si>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</si>
  <si>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</si>
  <si>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</si>
  <si>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</si>
  <si>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</si>
  <si>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</si>
  <si>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</si>
  <si>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</si>
  <si>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</si>
  <si>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</si>
  <si>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</si>
  <si>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</si>
  <si>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</si>
  <si>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</si>
  <si>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</si>
  <si>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</si>
  <si>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</si>
  <si>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</si>
  <si>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</si>
  <si>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</si>
  <si>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</si>
  <si>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</si>
  <si>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</si>
  <si>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</si>
  <si>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</si>
  <si>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</si>
  <si>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</si>
  <si>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</si>
  <si>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</si>
  <si>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</si>
  <si>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</si>
  <si>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</si>
  <si>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</si>
  <si>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</si>
  <si>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</si>
  <si>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</si>
  <si>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</si>
  <si>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</si>
  <si>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</si>
  <si>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</si>
  <si>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</si>
  <si>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</si>
  <si>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</si>
  <si>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</si>
  <si>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</si>
  <si>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</si>
  <si>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</si>
  <si>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</si>
  <si>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</si>
  <si>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</si>
  <si>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</si>
  <si>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</si>
  <si>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</si>
  <si>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</si>
  <si>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</si>
  <si>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</si>
  <si>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</si>
  <si>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</si>
  <si>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</si>
  <si>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</si>
  <si>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</si>
  <si>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</si>
  <si>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</si>
  <si>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</si>
  <si>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</si>
  <si>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</si>
  <si>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</si>
  <si>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</si>
  <si>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</si>
  <si>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</si>
  <si>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</si>
  <si>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</si>
  <si>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</si>
  <si>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</si>
  <si>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</si>
  <si>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</si>
  <si>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</si>
  <si>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</si>
  <si>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</si>
  <si>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</si>
  <si>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</si>
  <si>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</si>
  <si>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</si>
  <si>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</si>
  <si>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</si>
  <si>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</si>
  <si>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</si>
  <si>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</si>
  <si>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</si>
  <si>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</si>
  <si>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</si>
  <si>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</si>
  <si>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</si>
  <si>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</si>
  <si>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</si>
  <si>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</si>
  <si>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</si>
  <si>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</si>
  <si>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</si>
  <si>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</si>
  <si>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</si>
  <si>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</si>
  <si>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</si>
  <si>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</si>
  <si>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</si>
  <si>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</si>
  <si>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</si>
  <si>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</si>
  <si>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</si>
  <si>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</si>
  <si>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</si>
  <si>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</si>
  <si>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</si>
  <si>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</si>
  <si>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</si>
  <si>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</si>
  <si>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</si>
  <si>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</si>
  <si>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</si>
  <si>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</si>
  <si>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</si>
  <si>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</si>
  <si>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</si>
  <si>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</si>
  <si>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</si>
  <si>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</si>
  <si>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</si>
  <si>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</si>
  <si>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</si>
  <si>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</si>
  <si>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</si>
  <si>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</si>
  <si>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</si>
  <si>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</si>
  <si>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</si>
  <si>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</si>
  <si>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</si>
  <si>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</si>
  <si>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</si>
  <si>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</si>
  <si>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</si>
  <si>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</si>
  <si>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</si>
  <si>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</si>
  <si>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</si>
  <si>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</si>
  <si>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</si>
  <si>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</si>
  <si>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</si>
  <si>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</si>
  <si>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</si>
  <si>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</si>
  <si>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</si>
  <si>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</si>
  <si>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</si>
  <si>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</si>
  <si>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</si>
  <si>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</si>
  <si>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</si>
  <si>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</si>
  <si>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</si>
  <si>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</si>
  <si>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</si>
  <si>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</si>
  <si>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</si>
  <si>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</si>
  <si>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</si>
  <si>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</si>
  <si>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</si>
  <si>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</si>
  <si>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</si>
  <si>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</si>
  <si>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</si>
  <si>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</si>
  <si>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</si>
  <si>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</si>
  <si>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</si>
  <si>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</si>
  <si>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</si>
  <si>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</si>
  <si>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</si>
  <si>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</si>
  <si>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</si>
  <si>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</si>
  <si>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</si>
  <si>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</si>
  <si>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</si>
  <si>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</si>
  <si>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</si>
  <si>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</si>
  <si>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</si>
  <si>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</si>
  <si>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</si>
  <si>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</si>
  <si>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</si>
  <si>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</si>
  <si>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</si>
  <si>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</si>
  <si>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</si>
  <si>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</si>
  <si>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</si>
  <si>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</si>
  <si>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</si>
  <si>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</si>
  <si>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</si>
  <si>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</si>
  <si>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</si>
  <si>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</si>
  <si>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</si>
  <si>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</si>
  <si>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</si>
  <si>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</si>
  <si>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</si>
  <si>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</si>
  <si>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</si>
  <si>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</si>
  <si>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</si>
  <si>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</si>
  <si>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</si>
  <si>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</si>
  <si>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</si>
  <si>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</si>
  <si>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</si>
  <si>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</si>
  <si>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</si>
  <si>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</si>
  <si>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</si>
  <si>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</si>
  <si>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</si>
  <si>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</si>
  <si>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</si>
  <si>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</si>
  <si>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</si>
  <si>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</si>
  <si>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</si>
  <si>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</si>
  <si>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</si>
  <si>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</si>
  <si>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</si>
  <si>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</si>
  <si>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</si>
  <si>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</si>
  <si>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</si>
  <si>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</si>
  <si>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</si>
  <si>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</si>
  <si>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</si>
  <si>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</si>
  <si>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</si>
  <si>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</si>
  <si>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</si>
  <si>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</si>
  <si>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</si>
  <si>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</si>
  <si>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</si>
  <si>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</si>
  <si>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</si>
  <si>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</si>
  <si>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</si>
  <si>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</si>
  <si>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</si>
  <si>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</si>
  <si>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</si>
  <si>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</si>
  <si>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</si>
  <si>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</si>
  <si>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</si>
  <si>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</si>
  <si>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</si>
  <si>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</si>
  <si>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</si>
  <si>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</si>
  <si>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</si>
  <si>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</si>
  <si>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</si>
  <si>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</si>
  <si>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</si>
  <si>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</si>
  <si>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</si>
  <si>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</si>
  <si>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</si>
  <si>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</si>
  <si>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</si>
  <si>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</si>
  <si>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</si>
  <si>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</si>
  <si>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</si>
  <si>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</si>
  <si>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</si>
  <si>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</si>
  <si>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</si>
  <si>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</si>
  <si>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</si>
  <si>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</si>
  <si>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</si>
  <si>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</si>
  <si>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</si>
  <si>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</si>
  <si>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</si>
  <si>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</si>
  <si>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</si>
  <si>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</si>
  <si>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</si>
  <si>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</si>
  <si>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</si>
  <si>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</si>
  <si>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</si>
  <si>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</si>
  <si>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</si>
  <si>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</si>
  <si>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</si>
  <si>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</si>
  <si>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</si>
  <si>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</si>
  <si>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</si>
  <si>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</si>
  <si>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</si>
  <si>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</si>
  <si>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</si>
  <si>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</si>
  <si>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</si>
  <si>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</si>
  <si>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</si>
  <si>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</si>
  <si>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</si>
  <si>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</si>
  <si>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</si>
  <si>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</si>
  <si>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</si>
  <si>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</si>
  <si>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</si>
  <si>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</si>
  <si>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</si>
  <si>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</si>
  <si>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</si>
  <si>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</si>
  <si>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</si>
  <si>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</si>
  <si>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</si>
  <si>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</si>
  <si>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</si>
  <si>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</si>
  <si>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</si>
  <si>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</si>
  <si>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</si>
  <si>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</si>
  <si>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</si>
  <si>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</si>
  <si>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</si>
  <si>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</si>
  <si>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</si>
  <si>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</si>
  <si>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</si>
  <si>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</si>
  <si>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</si>
  <si>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</si>
  <si>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</si>
  <si>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</si>
  <si>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</si>
  <si>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</si>
  <si>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</si>
  <si>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</si>
  <si>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</si>
  <si>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</si>
  <si>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</si>
  <si>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</si>
  <si>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</si>
  <si>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</si>
  <si>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</si>
  <si>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</si>
  <si>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</si>
  <si>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</si>
  <si>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</si>
  <si>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</si>
  <si>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</si>
  <si>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</si>
  <si>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</si>
  <si>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</si>
  <si>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</si>
  <si>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</si>
  <si>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</si>
  <si>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</si>
  <si>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</si>
  <si>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</si>
  <si>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</si>
  <si>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</si>
  <si>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</si>
  <si>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</si>
  <si>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</si>
  <si>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</si>
  <si>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</si>
  <si>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</si>
  <si>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</si>
  <si>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</si>
  <si>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</si>
  <si>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</si>
  <si>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</si>
  <si>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</si>
  <si>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</si>
  <si>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</si>
  <si>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</si>
  <si>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</si>
  <si>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</si>
  <si>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</si>
  <si>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</si>
  <si>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</si>
  <si>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</si>
  <si>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</si>
  <si>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</si>
  <si>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</si>
  <si>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</si>
  <si>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</si>
  <si>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</si>
  <si>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</si>
  <si>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</si>
  <si>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</si>
  <si>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</si>
  <si>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</si>
  <si>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</si>
  <si>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</si>
  <si>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</si>
  <si>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</si>
  <si>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</si>
  <si>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</si>
  <si>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</si>
  <si>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</si>
  <si>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</si>
  <si>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</si>
  <si>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</si>
  <si>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</si>
  <si>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</si>
  <si>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</si>
  <si>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</si>
  <si>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</si>
  <si>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</si>
  <si>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</si>
  <si>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</si>
  <si>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</si>
  <si>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</si>
  <si>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</si>
  <si>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</si>
  <si>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</si>
  <si>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</si>
  <si>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</si>
  <si>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</si>
  <si>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</si>
  <si>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</si>
  <si>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</si>
  <si>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</si>
  <si>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</si>
  <si>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</si>
  <si>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</si>
  <si>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</si>
  <si>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</si>
  <si>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</si>
  <si>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</si>
  <si>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</si>
  <si>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</si>
  <si>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</si>
  <si>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</si>
  <si>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</si>
  <si>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</si>
  <si>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</si>
  <si>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</si>
  <si>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</si>
  <si>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</si>
  <si>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</si>
  <si>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</si>
  <si>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</si>
  <si>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</si>
  <si>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</si>
  <si>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</si>
  <si>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</si>
  <si>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</si>
  <si>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</si>
  <si>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</si>
  <si>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</si>
  <si>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</si>
  <si>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</si>
  <si>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</si>
  <si>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</si>
  <si>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</si>
  <si>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</si>
  <si>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</si>
  <si>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</si>
  <si>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</si>
  <si>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</si>
  <si>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</si>
  <si>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</si>
  <si>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</si>
  <si>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</si>
  <si>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</si>
  <si>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</si>
  <si>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</si>
  <si>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</si>
  <si>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</si>
  <si>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</si>
  <si>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</si>
  <si>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</si>
  <si>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</si>
  <si>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</si>
  <si>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</si>
  <si>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</si>
  <si>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</si>
  <si>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</si>
  <si>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</si>
  <si>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</si>
  <si>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</si>
  <si>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</si>
  <si>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</si>
  <si>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</si>
  <si>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</si>
  <si>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</si>
  <si>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</si>
  <si>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</si>
  <si>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</si>
  <si>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</si>
  <si>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</si>
  <si>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</si>
  <si>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</si>
  <si>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</si>
  <si>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</si>
  <si>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</si>
  <si>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</si>
  <si>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</si>
  <si>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</si>
  <si>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</si>
  <si>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</si>
  <si>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</si>
  <si>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</si>
  <si>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</si>
  <si>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</si>
  <si>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</si>
  <si>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</si>
  <si>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</si>
  <si>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</si>
  <si>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</si>
  <si>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</si>
  <si>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</si>
  <si>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</si>
  <si>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</si>
  <si>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</si>
  <si>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</si>
  <si>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</si>
  <si>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</si>
  <si>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</si>
  <si>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</si>
  <si>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</si>
  <si>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</si>
  <si>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</si>
  <si>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</si>
  <si>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</si>
  <si>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</si>
  <si>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</si>
  <si>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</si>
  <si>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</si>
  <si>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</si>
  <si>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</si>
  <si>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</si>
  <si>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</si>
  <si>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</si>
  <si>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</si>
  <si>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</si>
  <si>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</si>
  <si>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</si>
  <si>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</si>
  <si>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</si>
  <si>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</si>
  <si>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</si>
  <si>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</si>
  <si>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</si>
  <si>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</si>
  <si>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</si>
  <si>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</si>
  <si>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</si>
  <si>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</si>
  <si>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</si>
  <si>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</si>
  <si>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</si>
  <si>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</si>
  <si>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</si>
  <si>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</si>
  <si>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</si>
  <si>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</si>
  <si>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</si>
  <si>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</si>
  <si>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</si>
  <si>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</si>
  <si>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</si>
  <si>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</si>
  <si>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</si>
  <si>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</si>
  <si>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</si>
  <si>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</si>
  <si>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</si>
  <si>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</si>
  <si>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</si>
  <si>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</si>
  <si>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</si>
  <si>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</si>
  <si>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</si>
  <si>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</si>
  <si>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</si>
  <si>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</si>
  <si>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</si>
  <si>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</si>
  <si>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</si>
  <si>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</si>
  <si>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</si>
  <si>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</si>
  <si>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</si>
  <si>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</si>
  <si>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</si>
  <si>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</si>
  <si>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</si>
  <si>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</si>
  <si>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</si>
  <si>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</si>
  <si>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</si>
  <si>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</si>
  <si>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</si>
  <si>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</si>
  <si>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</si>
  <si>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</si>
  <si>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</si>
  <si>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</si>
  <si>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</si>
  <si>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</si>
  <si>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</si>
  <si>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</si>
  <si>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</si>
  <si>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</si>
  <si>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</si>
  <si>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</si>
  <si>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</si>
  <si>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</si>
  <si>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</si>
  <si>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</si>
  <si>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</si>
  <si>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</si>
  <si>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</si>
  <si>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</si>
  <si>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</si>
  <si>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</si>
  <si>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</si>
  <si>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</si>
  <si>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</si>
  <si>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</si>
  <si>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</si>
  <si>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</si>
  <si>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</si>
  <si>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</si>
  <si>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</si>
  <si>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</si>
  <si>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</si>
  <si>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</si>
  <si>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</si>
  <si>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</si>
  <si>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</si>
  <si>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</si>
  <si>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</si>
  <si>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</si>
  <si>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</si>
  <si>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</si>
  <si>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</si>
  <si>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</si>
  <si>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</si>
  <si>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</si>
  <si>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</si>
  <si>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</si>
  <si>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</si>
  <si>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</si>
  <si>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</si>
  <si>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</si>
  <si>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</si>
  <si>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</si>
  <si>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</si>
  <si>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</si>
  <si>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</si>
  <si>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</si>
  <si>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</si>
  <si>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</si>
  <si>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</si>
  <si>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</si>
  <si>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</si>
  <si>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</si>
  <si>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</si>
  <si>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</si>
  <si>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</si>
  <si>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</si>
  <si>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</si>
  <si>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</si>
  <si>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</si>
  <si>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</si>
  <si>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</si>
  <si>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</si>
  <si>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</si>
  <si>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</si>
  <si>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</si>
  <si>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</si>
  <si>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</si>
  <si>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</si>
  <si>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</si>
  <si>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</si>
  <si>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</si>
  <si>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</si>
  <si>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</si>
  <si>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</si>
  <si>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</si>
  <si>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</si>
  <si>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</si>
  <si>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</si>
  <si>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</si>
  <si>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</si>
  <si>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</si>
  <si>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</si>
  <si>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</si>
  <si>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</si>
  <si>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</si>
  <si>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</si>
  <si>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</si>
  <si>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</si>
  <si>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</si>
  <si>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</si>
  <si>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</si>
  <si>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</si>
  <si>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</si>
  <si>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</si>
  <si>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</si>
  <si>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</si>
  <si>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</si>
  <si>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</si>
  <si>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</si>
  <si>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</si>
  <si>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</si>
  <si>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</si>
  <si>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</si>
  <si>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</si>
  <si>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</si>
  <si>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</si>
  <si>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</si>
  <si>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</si>
  <si>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</si>
  <si>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</si>
  <si>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</si>
  <si>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</si>
  <si>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</si>
  <si>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</si>
  <si>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</si>
  <si>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</si>
  <si>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</si>
  <si>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</si>
  <si>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</si>
  <si>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</si>
  <si>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</si>
  <si>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</si>
  <si>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</si>
  <si>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</si>
  <si>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</si>
  <si>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</si>
  <si>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</si>
  <si>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</si>
  <si>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</si>
  <si>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</si>
  <si>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</si>
  <si>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</si>
  <si>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</si>
  <si>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</si>
  <si>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</si>
  <si>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</si>
  <si>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</si>
  <si>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</si>
  <si>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</si>
  <si>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</si>
  <si>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</si>
  <si>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</si>
  <si>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</si>
  <si>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</si>
  <si>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</si>
  <si>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</si>
  <si>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</si>
  <si>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</si>
  <si>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</si>
  <si>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</si>
  <si>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</si>
  <si>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</si>
  <si>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</si>
  <si>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</si>
  <si>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</si>
  <si>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</si>
  <si>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</si>
  <si>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</si>
  <si>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</si>
  <si>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</si>
  <si>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</si>
  <si>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</si>
  <si>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</si>
  <si>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</si>
  <si>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</si>
  <si>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</si>
  <si>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</si>
  <si>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</si>
  <si>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</si>
  <si>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</si>
  <si>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</si>
  <si>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</si>
  <si>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</si>
  <si>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</si>
  <si>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</si>
  <si>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</si>
  <si>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</si>
  <si>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</si>
  <si>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</si>
  <si>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</si>
  <si>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</si>
  <si>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</si>
  <si>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</si>
  <si>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</si>
  <si>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</si>
  <si>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</si>
  <si>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</si>
  <si>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</si>
  <si>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</si>
  <si>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</si>
  <si>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</si>
  <si>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</si>
  <si>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</si>
  <si>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</si>
  <si>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</si>
  <si>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</si>
  <si>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</si>
  <si>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</si>
  <si>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</si>
  <si>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</si>
  <si>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</si>
  <si>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</si>
  <si>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</si>
  <si>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</si>
  <si>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</si>
  <si>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</si>
  <si>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</si>
  <si>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</si>
  <si>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</si>
  <si>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</si>
  <si>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</si>
  <si>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</si>
  <si>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</si>
  <si>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</si>
  <si>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</si>
  <si>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</si>
  <si>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</si>
  <si>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</si>
  <si>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</si>
  <si>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</si>
  <si>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</si>
  <si>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</si>
  <si>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</si>
  <si>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</si>
  <si>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</si>
  <si>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</si>
  <si>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</si>
  <si>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</si>
  <si>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</si>
  <si>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</si>
  <si>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</si>
  <si>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</si>
  <si>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</si>
  <si>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</si>
  <si>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</si>
  <si>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</si>
  <si>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</si>
  <si>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</si>
  <si>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</si>
  <si>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</si>
  <si>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</si>
  <si>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</si>
  <si>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</si>
  <si>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</si>
  <si>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</si>
  <si>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</si>
  <si>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</si>
  <si>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</si>
  <si>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</si>
  <si>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</si>
  <si>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</si>
  <si>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</si>
  <si>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</si>
  <si>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</si>
  <si>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</si>
  <si>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</si>
  <si>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</si>
  <si>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</si>
  <si>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</si>
  <si>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</si>
  <si>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</si>
  <si>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</si>
  <si>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</si>
  <si>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</si>
  <si>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</si>
  <si>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</si>
  <si>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</si>
  <si>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</si>
  <si>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</si>
  <si>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</si>
  <si>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</si>
  <si>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</si>
  <si>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</si>
  <si>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</si>
  <si>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</si>
  <si>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</si>
  <si>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</si>
  <si>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</si>
  <si>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</si>
  <si>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</si>
  <si>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</si>
  <si>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</si>
  <si>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</si>
  <si>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</si>
  <si>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</si>
  <si>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</si>
  <si>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</si>
  <si>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</si>
  <si>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</si>
  <si>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</si>
  <si>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</si>
  <si>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</si>
  <si>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</si>
  <si>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</si>
  <si>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</si>
  <si>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</si>
  <si>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</si>
  <si>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</si>
  <si>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</si>
  <si>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</si>
  <si>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</si>
  <si>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</si>
  <si>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</si>
  <si>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</si>
  <si>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</si>
  <si>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</si>
  <si>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</si>
  <si>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</si>
  <si>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</si>
  <si>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</si>
  <si>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</si>
  <si>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</si>
  <si>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</si>
  <si>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</si>
  <si>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</si>
  <si>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</si>
  <si>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</si>
  <si>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</si>
  <si>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</si>
  <si>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</si>
  <si>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</si>
  <si>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</si>
  <si>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</si>
  <si>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</si>
  <si>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</si>
  <si>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</si>
  <si>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</si>
  <si>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</si>
  <si>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</si>
  <si>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</si>
  <si>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</si>
  <si>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</si>
  <si>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</si>
  <si>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</si>
  <si>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</si>
  <si>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</si>
  <si>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</si>
  <si>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</si>
  <si>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</si>
  <si>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</si>
  <si>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</si>
  <si>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</si>
  <si>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</si>
  <si>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</si>
  <si>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</si>
  <si>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</si>
  <si>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</si>
  <si>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</si>
  <si>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</si>
  <si>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</si>
  <si>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</si>
  <si>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</si>
  <si>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</si>
  <si>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</si>
  <si>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</si>
  <si>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</si>
  <si>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</si>
  <si>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</si>
  <si>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</si>
  <si>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</si>
  <si>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</si>
  <si>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</si>
  <si>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</si>
  <si>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</si>
  <si>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</si>
  <si>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</si>
  <si>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</si>
  <si>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</si>
  <si>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</si>
  <si>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</si>
  <si>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</si>
  <si>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</si>
  <si>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</si>
  <si>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</si>
  <si>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</si>
  <si>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</si>
  <si>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</si>
  <si>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</si>
  <si>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</si>
  <si>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</si>
  <si>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</si>
  <si>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</si>
  <si>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</si>
  <si>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</si>
  <si>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</si>
  <si>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</si>
  <si>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</si>
  <si>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</si>
  <si>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</si>
  <si>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</si>
  <si>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</si>
  <si>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</si>
  <si>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</si>
  <si>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</si>
  <si>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</si>
  <si>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</si>
  <si>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</si>
  <si>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</si>
  <si>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</si>
  <si>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</si>
  <si>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</si>
  <si>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</si>
  <si>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</si>
  <si>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</si>
  <si>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</si>
  <si>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</si>
  <si>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</si>
  <si>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</si>
  <si>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</si>
  <si>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</si>
  <si>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</si>
  <si>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</si>
  <si>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</si>
  <si>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</si>
  <si>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</si>
  <si>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</si>
  <si>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</si>
  <si>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</si>
  <si>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</si>
  <si>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</si>
  <si>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</si>
  <si>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</si>
  <si>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</si>
  <si>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</si>
  <si>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</si>
  <si>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</si>
  <si>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</si>
  <si>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</si>
  <si>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</si>
  <si>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</si>
  <si>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</si>
  <si>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</si>
  <si>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</si>
  <si>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</si>
  <si>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</si>
  <si>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</si>
  <si>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</si>
  <si>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</si>
  <si>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</si>
  <si>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</si>
  <si>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</si>
  <si>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</si>
  <si>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</si>
  <si>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</si>
  <si>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</si>
  <si>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</si>
  <si>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</si>
  <si>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</si>
  <si>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</si>
  <si>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</si>
  <si>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</si>
  <si>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</si>
  <si>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</si>
  <si>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</si>
  <si>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</si>
  <si>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</si>
  <si>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</si>
  <si>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</si>
  <si>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</si>
  <si>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</si>
  <si>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</si>
  <si>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</si>
  <si>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</si>
  <si>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</si>
  <si>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</si>
  <si>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</si>
  <si>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</si>
  <si>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</si>
  <si>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</si>
  <si>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</si>
  <si>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</si>
  <si>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</si>
  <si>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</si>
  <si>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</si>
  <si>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</si>
  <si>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</si>
  <si>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</si>
  <si>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</si>
  <si>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</si>
  <si>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</si>
  <si>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</si>
  <si>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</si>
  <si>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</si>
  <si>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</si>
  <si>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</si>
  <si>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</si>
  <si>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</si>
  <si>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</si>
  <si>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</si>
  <si>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</si>
  <si>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</si>
  <si>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</si>
  <si>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</si>
  <si>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</si>
  <si>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</si>
  <si>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</si>
  <si>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</si>
  <si>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</si>
  <si>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</si>
  <si>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</si>
  <si>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</si>
  <si>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</si>
  <si>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</si>
  <si>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</si>
  <si>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</si>
  <si>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</si>
  <si>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</si>
  <si>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</si>
  <si>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</si>
  <si>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</si>
  <si>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</si>
  <si>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</si>
  <si>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</si>
  <si>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</si>
  <si>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</si>
  <si>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</si>
  <si>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</si>
  <si>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</si>
  <si>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</si>
  <si>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</si>
  <si>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</si>
  <si>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</si>
  <si>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</si>
  <si>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</si>
  <si>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</si>
  <si>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</si>
  <si>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</si>
  <si>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</si>
  <si>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</si>
  <si>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</si>
  <si>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</si>
  <si>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</si>
  <si>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</si>
  <si>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</si>
  <si>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</si>
  <si>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</si>
  <si>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</si>
  <si>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</si>
  <si>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</si>
  <si>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</si>
  <si>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</si>
  <si>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</si>
  <si>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</si>
  <si>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</si>
  <si>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</si>
  <si>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</si>
  <si>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</si>
  <si>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</si>
  <si>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</si>
  <si>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</si>
  <si>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</si>
  <si>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</si>
  <si>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</si>
  <si>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</si>
  <si>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</si>
  <si>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</si>
  <si>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</si>
  <si>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</si>
  <si>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</si>
  <si>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</si>
  <si>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</si>
  <si>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</si>
  <si>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</si>
  <si>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</si>
  <si>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</si>
  <si>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</si>
  <si>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</si>
  <si>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</si>
  <si>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</si>
  <si>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</si>
  <si>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</si>
  <si>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</si>
  <si>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</si>
  <si>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</si>
  <si>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</si>
  <si>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</si>
  <si>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</si>
  <si>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</si>
  <si>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</si>
  <si>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</si>
  <si>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</si>
  <si>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</si>
  <si>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</si>
  <si>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</si>
  <si>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</si>
  <si>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</si>
  <si>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</si>
  <si>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</si>
  <si>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</si>
  <si>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</si>
  <si>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</si>
  <si>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</si>
  <si>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</si>
  <si>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</si>
  <si>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</si>
  <si>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</si>
  <si>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</si>
  <si>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</si>
  <si>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</si>
  <si>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</si>
  <si>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</si>
  <si>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</si>
  <si>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</si>
  <si>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</si>
  <si>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</si>
  <si>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</si>
  <si>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</si>
  <si>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</si>
  <si>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</si>
  <si>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</si>
  <si>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</si>
  <si>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</si>
  <si>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</si>
  <si>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</si>
  <si>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</si>
  <si>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</si>
  <si>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</si>
  <si>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</si>
  <si>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</si>
  <si>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</si>
  <si>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</si>
  <si>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</si>
  <si>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</si>
  <si>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</si>
  <si>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</si>
  <si>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</si>
  <si>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</si>
  <si>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</si>
  <si>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</si>
  <si>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</si>
  <si>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</si>
  <si>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</si>
  <si>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</si>
  <si>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</si>
  <si>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</si>
  <si>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</si>
  <si>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</si>
  <si>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</si>
  <si>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</si>
  <si>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</si>
  <si>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</si>
  <si>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</si>
  <si>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</si>
  <si>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</si>
  <si>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</si>
  <si>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</si>
  <si>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</si>
  <si>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</si>
  <si>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</si>
  <si>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</si>
  <si>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</si>
  <si>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</si>
  <si>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</si>
  <si>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</si>
  <si>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</si>
  <si>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</si>
  <si>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</si>
  <si>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</si>
  <si>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</si>
  <si>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</si>
  <si>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</si>
  <si>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</si>
  <si>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</si>
  <si>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</si>
  <si>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</si>
  <si>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</si>
  <si>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</si>
  <si>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</si>
  <si>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</si>
  <si>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</si>
  <si>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</si>
  <si>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</si>
  <si>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</si>
  <si>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</si>
  <si>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</si>
  <si>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</si>
  <si>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</si>
  <si>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</si>
  <si>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</si>
  <si>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</si>
  <si>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</si>
  <si>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</si>
  <si>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</si>
  <si>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</si>
  <si>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</si>
  <si>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</si>
  <si>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</si>
  <si>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</si>
  <si>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</si>
  <si>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</si>
  <si>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</si>
  <si>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</si>
  <si>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</si>
  <si>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</si>
  <si>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</si>
  <si>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</si>
  <si>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</si>
  <si>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</si>
  <si>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</si>
  <si>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</si>
  <si>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</si>
  <si>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</si>
  <si>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</si>
  <si>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</si>
  <si>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</si>
  <si>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</si>
  <si>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</si>
  <si>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</si>
  <si>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</si>
  <si>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</si>
  <si>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</si>
  <si>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</si>
  <si>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</si>
  <si>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</si>
  <si>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</si>
  <si>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</si>
  <si>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</si>
  <si>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</si>
  <si>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</si>
  <si>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</si>
  <si>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</si>
  <si>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</si>
  <si>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</si>
  <si>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</si>
  <si>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</si>
  <si>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</si>
  <si>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</si>
  <si>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</si>
  <si>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</si>
  <si>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</si>
  <si>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</si>
  <si>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</si>
  <si>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</si>
  <si>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</si>
  <si>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</si>
  <si>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</si>
  <si>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</si>
  <si>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</si>
  <si>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</si>
  <si>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</si>
  <si>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</si>
  <si>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</si>
  <si>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</si>
  <si>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</si>
  <si>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</si>
  <si>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</si>
  <si>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</si>
  <si>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</si>
  <si>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</si>
  <si>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</si>
  <si>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</si>
  <si>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</si>
  <si>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</si>
  <si>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</si>
  <si>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</si>
  <si>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</si>
  <si>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</si>
  <si>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</si>
  <si>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</si>
  <si>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</si>
  <si>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</si>
  <si>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</si>
  <si>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</si>
  <si>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</si>
  <si>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</si>
  <si>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</si>
  <si>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</si>
  <si>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</si>
  <si>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</si>
  <si>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</si>
  <si>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</si>
  <si>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</si>
  <si>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</si>
  <si>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</si>
  <si>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</si>
  <si>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</si>
  <si>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</si>
  <si>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</si>
  <si>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</si>
  <si>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</si>
  <si>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</si>
  <si>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</si>
  <si>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</si>
  <si>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</si>
  <si>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</si>
  <si>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</si>
  <si>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</si>
  <si>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</si>
  <si>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</si>
  <si>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</si>
  <si>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</si>
  <si>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</si>
  <si>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</si>
  <si>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</si>
  <si>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</si>
  <si>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</si>
  <si>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</si>
  <si>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</si>
  <si>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</si>
  <si>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</si>
  <si>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</si>
  <si>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</si>
  <si>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</si>
  <si>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</si>
  <si>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</si>
  <si>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</si>
  <si>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</si>
  <si>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</si>
  <si>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</si>
  <si>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</si>
  <si>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</si>
  <si>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</si>
  <si>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</si>
  <si>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</si>
  <si>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</si>
  <si>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</si>
  <si>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</si>
  <si>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</si>
  <si>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</si>
  <si>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</si>
  <si>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</si>
  <si>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</si>
  <si>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</si>
  <si>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</si>
  <si>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</si>
  <si>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</si>
  <si>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</si>
  <si>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</si>
  <si>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</si>
  <si>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</si>
  <si>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</si>
  <si>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</si>
  <si>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</si>
  <si>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</si>
  <si>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</si>
  <si>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</si>
  <si>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</si>
  <si>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</si>
  <si>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</si>
  <si>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</si>
  <si>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</si>
  <si>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</si>
  <si>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</si>
  <si>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박예진</t>
    <phoneticPr fontId="2" type="noConversion"/>
  </si>
  <si>
    <t>박지애</t>
    <phoneticPr fontId="2" type="noConversion"/>
  </si>
  <si>
    <t>박지현</t>
    <phoneticPr fontId="2" type="noConversion"/>
  </si>
  <si>
    <t>변재영</t>
    <phoneticPr fontId="2" type="noConversion"/>
  </si>
  <si>
    <t>성윤호</t>
    <phoneticPr fontId="2" type="noConversion"/>
  </si>
  <si>
    <t>손동명</t>
    <phoneticPr fontId="2" type="noConversion"/>
  </si>
  <si>
    <t>안명진</t>
    <phoneticPr fontId="2" type="noConversion"/>
  </si>
  <si>
    <t>오수민</t>
    <phoneticPr fontId="2" type="noConversion"/>
  </si>
  <si>
    <t>오연주</t>
    <phoneticPr fontId="2" type="noConversion"/>
  </si>
  <si>
    <t>유재경</t>
    <phoneticPr fontId="2" type="noConversion"/>
  </si>
  <si>
    <t>이상미</t>
    <phoneticPr fontId="2" type="noConversion"/>
  </si>
  <si>
    <t>이상일</t>
    <phoneticPr fontId="2" type="noConversion"/>
  </si>
  <si>
    <t>이은옥</t>
    <phoneticPr fontId="2" type="noConversion"/>
  </si>
  <si>
    <t>이정수</t>
    <phoneticPr fontId="2" type="noConversion"/>
  </si>
  <si>
    <t>이지연</t>
    <phoneticPr fontId="2" type="noConversion"/>
  </si>
  <si>
    <t>전소현</t>
    <phoneticPr fontId="2" type="noConversion"/>
  </si>
  <si>
    <t>전혜린</t>
    <phoneticPr fontId="2" type="noConversion"/>
  </si>
  <si>
    <t>정은실</t>
    <phoneticPr fontId="2" type="noConversion"/>
  </si>
  <si>
    <t>최경은</t>
    <phoneticPr fontId="2" type="noConversion"/>
  </si>
  <si>
    <t>최소희</t>
    <phoneticPr fontId="2" type="noConversion"/>
  </si>
  <si>
    <t>최윤정</t>
    <phoneticPr fontId="2" type="noConversion"/>
  </si>
  <si>
    <t>한승엽</t>
    <phoneticPr fontId="2" type="noConversion"/>
  </si>
  <si>
    <t>황보라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</si>
  <si>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</si>
  <si>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</si>
  <si>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</si>
  <si>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</si>
  <si>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</si>
  <si>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</si>
  <si>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</si>
  <si>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</si>
  <si>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</si>
  <si>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</si>
  <si>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</si>
  <si>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</si>
  <si>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</si>
  <si>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</si>
  <si>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</si>
  <si>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</si>
  <si>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</si>
  <si>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</si>
  <si>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</si>
  <si>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</si>
  <si>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</si>
  <si>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</si>
  <si>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</si>
  <si>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</si>
  <si>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</si>
  <si>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</si>
  <si>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</si>
  <si>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</si>
  <si>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</si>
  <si>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</si>
  <si>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</si>
  <si>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</si>
  <si>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</si>
  <si>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</si>
  <si>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</si>
  <si>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</si>
  <si>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</si>
  <si>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</si>
  <si>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</si>
  <si>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</si>
  <si>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</si>
  <si>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</si>
  <si>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</si>
  <si>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</si>
  <si>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</si>
  <si>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</si>
  <si>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</si>
  <si>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</si>
  <si>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</si>
  <si>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</si>
  <si>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</si>
  <si>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</si>
  <si>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</si>
  <si>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</si>
  <si>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</si>
  <si>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</si>
  <si>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</si>
  <si>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</si>
  <si>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</si>
  <si>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</si>
  <si>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</si>
  <si>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</si>
  <si>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</si>
  <si>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</si>
  <si>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</si>
  <si>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</si>
  <si>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</si>
  <si>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</si>
  <si>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</si>
  <si>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</si>
  <si>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</si>
  <si>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</si>
  <si>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</si>
  <si>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</si>
  <si>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</si>
  <si>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</si>
  <si>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</si>
  <si>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</si>
  <si>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</si>
  <si>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</si>
  <si>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</si>
  <si>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</si>
  <si>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</si>
  <si>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</si>
  <si>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</si>
  <si>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</si>
  <si>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</si>
  <si>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</si>
  <si>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</si>
  <si>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</si>
  <si>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</si>
  <si>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</si>
  <si>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</si>
  <si>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</si>
  <si>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</si>
  <si>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</si>
  <si>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</si>
  <si>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</si>
  <si>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</si>
  <si>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</si>
  <si>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</si>
  <si>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</si>
  <si>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</si>
  <si>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</si>
  <si>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</si>
  <si>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</si>
  <si>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</si>
  <si>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</si>
  <si>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</si>
  <si>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</si>
  <si>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</si>
  <si>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</si>
  <si>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</si>
  <si>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</si>
  <si>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</si>
  <si>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</si>
  <si>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</si>
  <si>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</si>
  <si>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</si>
  <si>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</si>
  <si>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</si>
  <si>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</si>
  <si>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</si>
  <si>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</si>
  <si>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</si>
  <si>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</si>
  <si>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</si>
  <si>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</si>
  <si>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</si>
  <si>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</si>
  <si>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</si>
  <si>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</si>
  <si>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</si>
  <si>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</si>
  <si>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</si>
  <si>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</si>
  <si>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</si>
  <si>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</si>
  <si>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</si>
  <si>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</si>
  <si>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</si>
  <si>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</si>
  <si>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</si>
  <si>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</si>
  <si>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</si>
  <si>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</si>
  <si>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</si>
  <si>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</si>
  <si>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</si>
  <si>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</si>
  <si>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</si>
  <si>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</si>
  <si>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</si>
  <si>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</si>
  <si>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</si>
  <si>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</si>
  <si>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</si>
  <si>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</si>
  <si>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</si>
  <si>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</si>
  <si>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</si>
  <si>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</si>
  <si>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</si>
  <si>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임시값 중복여부</t>
    <phoneticPr fontId="2" type="noConversion"/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</si>
  <si>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</si>
  <si>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</si>
  <si>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</si>
  <si>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</si>
  <si>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</si>
  <si>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</si>
  <si>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</si>
  <si>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</si>
  <si>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</si>
  <si>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</si>
  <si>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</si>
  <si>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</si>
  <si>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</si>
  <si>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</si>
  <si>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</si>
  <si>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</si>
  <si>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</si>
  <si>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</si>
  <si>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</si>
  <si>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</si>
  <si>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</si>
  <si>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</si>
  <si>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</si>
  <si>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</si>
  <si>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</si>
  <si>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</si>
  <si>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</si>
  <si>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</si>
  <si>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</si>
  <si>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</si>
  <si>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</si>
  <si>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</si>
  <si>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</si>
  <si>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</si>
  <si>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</si>
  <si>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</si>
  <si>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</si>
  <si>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</si>
  <si>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</si>
  <si>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</si>
  <si>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</si>
  <si>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</si>
  <si>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</si>
  <si>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</si>
  <si>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</si>
  <si>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</si>
  <si>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</si>
  <si>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</si>
  <si>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</si>
  <si>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</si>
  <si>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</si>
  <si>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</si>
  <si>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</si>
  <si>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</si>
  <si>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</si>
  <si>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</si>
  <si>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</si>
  <si>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</si>
  <si>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</si>
  <si>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</si>
  <si>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</si>
  <si>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</si>
  <si>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Bac Giang Lgg Garment Corporation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</si>
  <si>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</si>
  <si>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</si>
  <si>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</si>
  <si>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</si>
  <si>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</si>
  <si>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PB</t>
    <phoneticPr fontId="2" type="noConversion"/>
  </si>
  <si>
    <t>R&amp;D</t>
    <phoneticPr fontId="2" type="noConversion"/>
  </si>
  <si>
    <t>캐드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</si>
  <si>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</si>
  <si>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</si>
  <si>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</si>
  <si>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</si>
  <si>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</si>
  <si>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</si>
  <si>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</si>
  <si>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</si>
  <si>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(Brebes)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</si>
  <si>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</si>
  <si>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</si>
  <si>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</si>
  <si>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</si>
  <si>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</si>
  <si>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</si>
  <si>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</si>
  <si>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</si>
  <si>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</si>
  <si>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</si>
  <si>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</si>
  <si>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t>DHGV-9801</t>
  </si>
  <si>
    <t>SM49610Y</t>
  </si>
  <si>
    <t>DHGV-9802</t>
  </si>
  <si>
    <t>SM49608Y</t>
  </si>
  <si>
    <t>DHGV-9803</t>
  </si>
  <si>
    <t>GM10221Y</t>
  </si>
  <si>
    <t>DHGV-9804</t>
  </si>
  <si>
    <t>BW111007701</t>
  </si>
  <si>
    <t>DHGV-9805</t>
  </si>
  <si>
    <t>BW111007714</t>
  </si>
  <si>
    <t>DHGV-2008</t>
  </si>
  <si>
    <t>NBM40701</t>
  </si>
  <si>
    <t>DHGV-2009</t>
  </si>
  <si>
    <t>GM40505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</si>
  <si>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</si>
  <si>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</si>
  <si>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</si>
  <si>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</si>
  <si>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</si>
  <si>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</si>
  <si>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</si>
  <si>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</si>
  <si>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</si>
  <si>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</si>
  <si>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</si>
  <si>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</si>
  <si>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</si>
  <si>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</si>
  <si>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</si>
  <si>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</si>
  <si>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</si>
  <si>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</si>
  <si>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</si>
  <si>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</si>
  <si>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</si>
  <si>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</si>
  <si>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</si>
  <si>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</si>
  <si>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</si>
  <si>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</si>
  <si>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</si>
  <si>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</si>
  <si>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</si>
  <si>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</si>
  <si>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</si>
  <si>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</si>
  <si>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</si>
  <si>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</si>
  <si>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</si>
  <si>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</si>
  <si>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</si>
  <si>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</si>
  <si>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</si>
  <si>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</si>
  <si>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</si>
  <si>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</si>
  <si>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</si>
  <si>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</si>
  <si>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</si>
  <si>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</si>
  <si>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</si>
  <si>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</si>
  <si>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</si>
  <si>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</si>
  <si>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</si>
  <si>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</si>
  <si>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</si>
  <si>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</si>
  <si>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</si>
  <si>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</si>
  <si>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</si>
  <si>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</si>
  <si>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</si>
  <si>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</si>
  <si>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</si>
  <si>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</si>
  <si>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</si>
  <si>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</si>
  <si>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</si>
  <si>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</si>
  <si>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</si>
  <si>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</si>
  <si>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</si>
  <si>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</si>
  <si>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</si>
  <si>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</si>
  <si>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</si>
  <si>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</si>
  <si>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</si>
  <si>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</si>
  <si>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</si>
  <si>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</si>
  <si>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</si>
  <si>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</si>
  <si>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</si>
  <si>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</si>
  <si>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</si>
  <si>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</si>
  <si>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</si>
  <si>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</si>
  <si>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</si>
  <si>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</si>
  <si>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</si>
  <si>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</si>
  <si>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</si>
  <si>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</si>
  <si>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</si>
  <si>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</si>
  <si>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</si>
  <si>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</si>
  <si>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</si>
  <si>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</si>
  <si>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</si>
  <si>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</si>
  <si>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</si>
  <si>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</si>
  <si>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</si>
  <si>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</si>
  <si>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</si>
  <si>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</si>
  <si>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</si>
  <si>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</si>
  <si>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</si>
  <si>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</si>
  <si>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</si>
  <si>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</si>
  <si>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</si>
  <si>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</si>
  <si>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</si>
  <si>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</si>
  <si>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</si>
  <si>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</si>
  <si>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</si>
  <si>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</si>
  <si>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</si>
  <si>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</si>
  <si>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</si>
  <si>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</si>
  <si>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</si>
  <si>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</si>
  <si>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</si>
  <si>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</si>
  <si>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</si>
  <si>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</si>
  <si>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</si>
  <si>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</si>
  <si>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</si>
  <si>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</si>
  <si>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</si>
  <si>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</si>
  <si>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</si>
  <si>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</si>
  <si>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</si>
  <si>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</si>
  <si>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</si>
  <si>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</si>
  <si>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</si>
  <si>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</si>
  <si>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</si>
  <si>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</si>
  <si>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</si>
  <si>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</si>
  <si>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</si>
  <si>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</si>
  <si>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</si>
  <si>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</si>
  <si>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</si>
  <si>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</si>
  <si>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</si>
  <si>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</si>
  <si>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</si>
  <si>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</si>
  <si>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</si>
  <si>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</si>
  <si>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</si>
  <si>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</si>
  <si>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</si>
  <si>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</si>
  <si>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</si>
  <si>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</si>
  <si>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</si>
  <si>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</si>
  <si>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</si>
  <si>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</si>
  <si>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</si>
  <si>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</si>
  <si>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</si>
  <si>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</si>
  <si>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</si>
  <si>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</si>
  <si>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</si>
  <si>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</si>
  <si>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</si>
  <si>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</si>
  <si>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</si>
  <si>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</si>
  <si>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</si>
  <si>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</si>
  <si>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</si>
  <si>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</si>
  <si>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</si>
  <si>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</si>
  <si>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</si>
  <si>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</si>
  <si>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</si>
  <si>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</si>
  <si>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</si>
  <si>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</si>
  <si>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</si>
  <si>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</si>
  <si>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</si>
  <si>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</si>
  <si>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</si>
  <si>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</si>
  <si>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</si>
  <si>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</si>
  <si>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</si>
  <si>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</si>
  <si>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</si>
  <si>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</si>
  <si>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</si>
  <si>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</si>
  <si>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</si>
  <si>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</si>
  <si>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</si>
  <si>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</si>
  <si>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</si>
  <si>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</si>
  <si>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</si>
  <si>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</si>
  <si>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</si>
  <si>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</si>
  <si>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</si>
  <si>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</si>
  <si>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</si>
  <si>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</si>
  <si>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</si>
  <si>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</si>
  <si>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</si>
  <si>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</si>
  <si>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</si>
  <si>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</si>
  <si>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</si>
  <si>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</si>
  <si>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</si>
  <si>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</si>
  <si>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</si>
  <si>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</si>
  <si>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</si>
  <si>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</si>
  <si>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</si>
  <si>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</si>
  <si>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</si>
  <si>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</si>
  <si>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</si>
  <si>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</si>
  <si>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</si>
  <si>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</si>
  <si>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</si>
  <si>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</si>
  <si>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</si>
  <si>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</si>
  <si>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</si>
  <si>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</si>
  <si>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</si>
  <si>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</si>
  <si>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</si>
  <si>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</si>
  <si>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</si>
  <si>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</si>
  <si>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</si>
  <si>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</si>
  <si>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</si>
  <si>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</si>
  <si>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</si>
  <si>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</si>
  <si>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</si>
  <si>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</si>
  <si>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</si>
  <si>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</si>
  <si>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</si>
  <si>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</si>
  <si>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</si>
  <si>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</si>
  <si>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</si>
  <si>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</si>
  <si>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</si>
  <si>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</si>
  <si>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</si>
  <si>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</si>
  <si>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</si>
  <si>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</si>
  <si>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</si>
  <si>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</si>
  <si>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</si>
  <si>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</si>
  <si>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</si>
  <si>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</si>
  <si>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</si>
  <si>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</si>
  <si>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</si>
  <si>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</si>
  <si>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</si>
  <si>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</si>
  <si>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</si>
  <si>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32X28</t>
  </si>
  <si>
    <t>32X30</t>
  </si>
  <si>
    <t>32X32</t>
  </si>
  <si>
    <t>32X34</t>
  </si>
  <si>
    <t>32X36</t>
  </si>
  <si>
    <t>32X38</t>
  </si>
  <si>
    <t>33</t>
  </si>
  <si>
    <t>33 REG</t>
  </si>
  <si>
    <t>33LONG</t>
  </si>
  <si>
    <t>33P</t>
  </si>
  <si>
    <t>33REG</t>
  </si>
  <si>
    <t>33SHORT</t>
  </si>
  <si>
    <t>33TALL</t>
  </si>
  <si>
    <t>33X28</t>
  </si>
  <si>
    <t>33X30</t>
  </si>
  <si>
    <t>33X32</t>
  </si>
  <si>
    <t>33X34</t>
  </si>
  <si>
    <t>33X36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</si>
  <si>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</si>
  <si>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</si>
  <si>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</si>
  <si>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</si>
  <si>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</si>
  <si>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</si>
  <si>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</si>
  <si>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</si>
  <si>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</si>
  <si>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</si>
  <si>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</si>
  <si>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</si>
  <si>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</si>
  <si>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</si>
  <si>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</si>
  <si>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</si>
  <si>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</si>
  <si>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</si>
  <si>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</si>
  <si>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</si>
  <si>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</si>
  <si>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</si>
  <si>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</si>
  <si>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</si>
  <si>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</si>
  <si>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</si>
  <si>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</si>
  <si>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</si>
  <si>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</si>
  <si>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</si>
  <si>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</si>
  <si>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</si>
  <si>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</si>
  <si>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</si>
  <si>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</si>
  <si>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</si>
  <si>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</si>
  <si>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</si>
  <si>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</si>
  <si>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</si>
  <si>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</si>
  <si>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</si>
  <si>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</si>
  <si>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</si>
  <si>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</si>
  <si>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</si>
  <si>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</si>
  <si>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</si>
  <si>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</si>
  <si>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</si>
  <si>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</si>
  <si>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</si>
  <si>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</si>
  <si>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</si>
  <si>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</si>
  <si>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</si>
  <si>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</si>
  <si>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</si>
  <si>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</si>
  <si>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</si>
  <si>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</si>
  <si>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</si>
  <si>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</si>
  <si>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</si>
  <si>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</si>
  <si>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</si>
  <si>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</si>
  <si>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</si>
  <si>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</si>
  <si>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</si>
  <si>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</si>
  <si>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</si>
  <si>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</si>
  <si>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</si>
  <si>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</si>
  <si>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</si>
  <si>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</si>
  <si>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</si>
  <si>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</si>
  <si>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</si>
  <si>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</si>
  <si>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</si>
  <si>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</si>
  <si>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</si>
  <si>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</si>
  <si>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</si>
  <si>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</si>
  <si>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</si>
  <si>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</si>
  <si>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</si>
  <si>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</si>
  <si>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</si>
  <si>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</si>
  <si>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</si>
  <si>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</si>
  <si>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</si>
  <si>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</si>
  <si>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</si>
  <si>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</si>
  <si>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</si>
  <si>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</si>
  <si>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</si>
  <si>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</si>
  <si>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</si>
  <si>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</si>
  <si>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</si>
  <si>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</si>
  <si>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</si>
  <si>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</si>
  <si>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</si>
  <si>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</si>
  <si>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</si>
  <si>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</si>
  <si>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</si>
  <si>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</si>
  <si>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</si>
  <si>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</si>
  <si>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</si>
  <si>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</si>
  <si>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</si>
  <si>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</si>
  <si>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</si>
  <si>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</si>
  <si>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</si>
  <si>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</si>
  <si>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</si>
  <si>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</si>
  <si>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</si>
  <si>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</si>
  <si>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</si>
  <si>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</si>
  <si>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</si>
  <si>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</si>
  <si>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</si>
  <si>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</si>
  <si>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</si>
  <si>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</si>
  <si>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</si>
  <si>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</si>
  <si>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</si>
  <si>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</si>
  <si>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</si>
  <si>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</si>
  <si>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</si>
  <si>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</si>
  <si>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</si>
  <si>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</si>
  <si>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</si>
  <si>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</si>
  <si>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</si>
  <si>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</si>
  <si>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</si>
  <si>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</si>
  <si>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</si>
  <si>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</si>
  <si>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</si>
  <si>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</si>
  <si>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</si>
  <si>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</si>
  <si>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</si>
  <si>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</si>
  <si>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</si>
  <si>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</si>
  <si>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</si>
  <si>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</si>
  <si>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</si>
  <si>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</si>
  <si>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</si>
  <si>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</si>
  <si>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</si>
  <si>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</si>
  <si>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</si>
  <si>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</si>
  <si>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</si>
  <si>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</si>
  <si>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</si>
  <si>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</si>
  <si>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</si>
  <si>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</si>
  <si>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</si>
  <si>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</si>
  <si>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</si>
  <si>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</si>
  <si>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</si>
  <si>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</si>
  <si>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</si>
  <si>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</si>
  <si>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</si>
  <si>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</si>
  <si>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</si>
  <si>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</si>
  <si>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</si>
  <si>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</si>
  <si>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</si>
  <si>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</si>
  <si>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</si>
  <si>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</si>
  <si>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</si>
  <si>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</si>
  <si>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</si>
  <si>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</si>
  <si>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</si>
  <si>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</si>
  <si>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</si>
  <si>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</si>
  <si>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</si>
  <si>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</si>
  <si>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</si>
  <si>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</si>
  <si>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</si>
  <si>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</si>
  <si>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Sea</t>
  </si>
  <si>
    <t>Bulk</t>
  </si>
  <si>
    <t>Womens</t>
  </si>
  <si>
    <t>Test</t>
  </si>
  <si>
    <t>Swimwear</t>
  </si>
  <si>
    <t>DHGI-2118T</t>
  </si>
  <si>
    <t>133S0153-T</t>
  </si>
  <si>
    <t>DHGK-2118</t>
  </si>
  <si>
    <t>XERSION</t>
  </si>
  <si>
    <t>JCX22002</t>
  </si>
  <si>
    <t>Knit</t>
  </si>
  <si>
    <t>Thien Son Hung Yen Co., Ltd</t>
  </si>
  <si>
    <t>Activate</t>
  </si>
  <si>
    <t>DHGI-2118T</t>
    <phoneticPr fontId="2" type="noConversion"/>
  </si>
  <si>
    <t>서류종류</t>
    <phoneticPr fontId="2" type="noConversion"/>
  </si>
  <si>
    <t>Commit PO</t>
    <phoneticPr fontId="2" type="noConversion"/>
  </si>
  <si>
    <t>Buyer PO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</si>
</sst>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-* #,##0.00_-;\-* #,##0.00_-;_-* &quot;-&quot;_-;_-@_-"/>
  </numFmts>
  <fonts count="10" x14ac:knownFonts="1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</cellXfs>
  <cellStyles count="2">
    <cellStyle name="쉼표 [0]" xfId="1" builtinId="6"/>
    <cellStyle name="표준" xfId="0" builtinId="0"/>
  </cellStyles>
  <dxfs count="11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List" dx="31" fmlaRange="code!$I$1:$I$6" sel="3" val="0"/>
</file>

<file path=xl/ctrlProps/ctrlProp2.xml><?xml version="1.0" encoding="utf-8"?>
<formControlPr xmlns="http://schemas.microsoft.com/office/spreadsheetml/2009/9/main" objectType="List" dx="31" fmlaRange="code!$K$1:$K$6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4" Type="http://schemas.openxmlformats.org/officeDocument/2006/relationships/image" Target="../media/image3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2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4" Type="http://schemas.openxmlformats.org/officeDocument/2006/relationships/image" Target="../media/image3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svg"/><Relationship Id="rId3" Type="http://schemas.openxmlformats.org/officeDocument/2006/relationships/image" Target="../media/image2.png"/><Relationship Id="rId7" Type="http://schemas.openxmlformats.org/officeDocument/2006/relationships/image" Target="../media/image8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3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sv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28285</xdr:colOff>
      <xdr:row>1</xdr:row>
      <xdr:rowOff>19050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592"/>
        <a:stretch/>
      </xdr:blipFill>
      <xdr:spPr>
        <a:xfrm>
          <a:off x="0" y="0"/>
          <a:ext cx="15915985" cy="409575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76200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412460</xdr:colOff>
      <xdr:row>1</xdr:row>
      <xdr:rowOff>371475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3660"/>
        <a:stretch/>
      </xdr:blipFill>
      <xdr:spPr>
        <a:xfrm>
          <a:off x="0" y="0"/>
          <a:ext cx="15915985" cy="7620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1</xdr:col>
      <xdr:colOff>34925</xdr:colOff>
      <xdr:row>0</xdr:row>
      <xdr:rowOff>19050</xdr:rowOff>
    </xdr:from>
    <xdr:to>
      <xdr:col>1</xdr:col>
      <xdr:colOff>377825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2</xdr:col>
      <xdr:colOff>911225</xdr:colOff>
      <xdr:row>0</xdr:row>
      <xdr:rowOff>47626</xdr:rowOff>
    </xdr:from>
    <xdr:to>
      <xdr:col>4</xdr:col>
      <xdr:colOff>38100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30375" y="47626"/>
          <a:ext cx="112712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716280</xdr:colOff>
          <xdr:row>1</xdr:row>
          <xdr:rowOff>60960</xdr:rowOff>
        </xdr:from>
        <xdr:to>
          <xdr:col>3</xdr:col>
          <xdr:colOff>617220</xdr:colOff>
          <xdr:row>1</xdr:row>
          <xdr:rowOff>320040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373380</xdr:colOff>
          <xdr:row>1</xdr:row>
          <xdr:rowOff>60960</xdr:rowOff>
        </xdr:from>
        <xdr:to>
          <xdr:col>6</xdr:col>
          <xdr:colOff>160020</xdr:colOff>
          <xdr:row>1</xdr:row>
          <xdr:rowOff>320040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60960</xdr:rowOff>
        </xdr:from>
        <xdr:to>
          <xdr:col>7</xdr:col>
          <xdr:colOff>670560</xdr:colOff>
          <xdr:row>1</xdr:row>
          <xdr:rowOff>320040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676276</xdr:colOff>
      <xdr:row>1</xdr:row>
      <xdr:rowOff>47625</xdr:rowOff>
    </xdr:from>
    <xdr:to>
      <xdr:col>8</xdr:col>
      <xdr:colOff>79376</xdr:colOff>
      <xdr:row>1</xdr:row>
      <xdr:rowOff>326384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51476" y="434975"/>
          <a:ext cx="27305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1822451</xdr:colOff>
      <xdr:row>1</xdr:row>
      <xdr:rowOff>44451</xdr:rowOff>
    </xdr:from>
    <xdr:to>
      <xdr:col>12</xdr:col>
      <xdr:colOff>92076</xdr:colOff>
      <xdr:row>1</xdr:row>
      <xdr:rowOff>330201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9829801" y="4318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1249680</xdr:colOff>
          <xdr:row>0</xdr:row>
          <xdr:rowOff>22860</xdr:rowOff>
        </xdr:from>
        <xdr:to>
          <xdr:col>12</xdr:col>
          <xdr:colOff>213360</xdr:colOff>
          <xdr:row>0</xdr:row>
          <xdr:rowOff>289560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241301</xdr:colOff>
      <xdr:row>0</xdr:row>
      <xdr:rowOff>12700</xdr:rowOff>
    </xdr:from>
    <xdr:to>
      <xdr:col>12</xdr:col>
      <xdr:colOff>520701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8331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682625</xdr:colOff>
      <xdr:row>0</xdr:row>
      <xdr:rowOff>34926</xdr:rowOff>
    </xdr:from>
    <xdr:to>
      <xdr:col>11</xdr:col>
      <xdr:colOff>1060450</xdr:colOff>
      <xdr:row>0</xdr:row>
      <xdr:rowOff>320676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7947025" y="349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12</xdr:col>
      <xdr:colOff>184150</xdr:colOff>
      <xdr:row>1</xdr:row>
      <xdr:rowOff>12700</xdr:rowOff>
    </xdr:from>
    <xdr:to>
      <xdr:col>12</xdr:col>
      <xdr:colOff>532130</xdr:colOff>
      <xdr:row>1</xdr:row>
      <xdr:rowOff>368300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432540" y="393700"/>
          <a:ext cx="4241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63500</xdr:rowOff>
    </xdr:from>
    <xdr:to>
      <xdr:col>1</xdr:col>
      <xdr:colOff>725391</xdr:colOff>
      <xdr:row>1</xdr:row>
      <xdr:rowOff>339217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0" y="45085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57150</xdr:rowOff>
    </xdr:from>
    <xdr:to>
      <xdr:col>4</xdr:col>
      <xdr:colOff>378902</xdr:colOff>
      <xdr:row>1</xdr:row>
      <xdr:rowOff>332867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2463800" y="44450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50800</xdr:rowOff>
    </xdr:from>
    <xdr:to>
      <xdr:col>6</xdr:col>
      <xdr:colOff>632987</xdr:colOff>
      <xdr:row>1</xdr:row>
      <xdr:rowOff>326517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4076700" y="43815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13</xdr:col>
      <xdr:colOff>279400</xdr:colOff>
      <xdr:row>0</xdr:row>
      <xdr:rowOff>31750</xdr:rowOff>
    </xdr:from>
    <xdr:to>
      <xdr:col>16</xdr:col>
      <xdr:colOff>222585</xdr:colOff>
      <xdr:row>3</xdr:row>
      <xdr:rowOff>127144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684000" y="31750"/>
          <a:ext cx="2400635" cy="10288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352135</xdr:colOff>
      <xdr:row>2</xdr:row>
      <xdr:rowOff>247650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3660"/>
        <a:stretch/>
      </xdr:blipFill>
      <xdr:spPr>
        <a:xfrm>
          <a:off x="0" y="0"/>
          <a:ext cx="15903285" cy="101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542925</xdr:colOff>
      <xdr:row>0</xdr:row>
      <xdr:rowOff>44451</xdr:rowOff>
    </xdr:from>
    <xdr:to>
      <xdr:col>1</xdr:col>
      <xdr:colOff>1064895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2</xdr:col>
      <xdr:colOff>36830</xdr:colOff>
      <xdr:row>0</xdr:row>
      <xdr:rowOff>47626</xdr:rowOff>
    </xdr:from>
    <xdr:to>
      <xdr:col>3</xdr:col>
      <xdr:colOff>264160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11</xdr:col>
      <xdr:colOff>810260</xdr:colOff>
      <xdr:row>0</xdr:row>
      <xdr:rowOff>31750</xdr:rowOff>
    </xdr:from>
    <xdr:to>
      <xdr:col>12</xdr:col>
      <xdr:colOff>254635</xdr:colOff>
      <xdr:row>0</xdr:row>
      <xdr:rowOff>317500</xdr:rowOff>
    </xdr:to>
    <xdr:sp macro="[0]!basic_item_reg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0487660" y="31750"/>
          <a:ext cx="125793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1762760</xdr:colOff>
      <xdr:row>1</xdr:row>
      <xdr:rowOff>207010</xdr:rowOff>
    </xdr:from>
    <xdr:to>
      <xdr:col>12</xdr:col>
      <xdr:colOff>297180</xdr:colOff>
      <xdr:row>2</xdr:row>
      <xdr:rowOff>181610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440160" y="588010"/>
          <a:ext cx="34798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83820</xdr:colOff>
          <xdr:row>0</xdr:row>
          <xdr:rowOff>0</xdr:rowOff>
        </xdr:from>
        <xdr:to>
          <xdr:col>8</xdr:col>
          <xdr:colOff>502920</xdr:colOff>
          <xdr:row>2</xdr:row>
          <xdr:rowOff>236220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281940</xdr:colOff>
          <xdr:row>0</xdr:row>
          <xdr:rowOff>0</xdr:rowOff>
        </xdr:from>
        <xdr:to>
          <xdr:col>11</xdr:col>
          <xdr:colOff>365760</xdr:colOff>
          <xdr:row>2</xdr:row>
          <xdr:rowOff>236220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802640</xdr:colOff>
      <xdr:row>1</xdr:row>
      <xdr:rowOff>240030</xdr:rowOff>
    </xdr:from>
    <xdr:to>
      <xdr:col>11</xdr:col>
      <xdr:colOff>1703705</xdr:colOff>
      <xdr:row>2</xdr:row>
      <xdr:rowOff>144780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0480040" y="621030"/>
          <a:ext cx="9010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754380</xdr:colOff>
          <xdr:row>1</xdr:row>
          <xdr:rowOff>190500</xdr:rowOff>
        </xdr:from>
        <xdr:to>
          <xdr:col>3</xdr:col>
          <xdr:colOff>320040</xdr:colOff>
          <xdr:row>2</xdr:row>
          <xdr:rowOff>76200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88900</xdr:rowOff>
    </xdr:from>
    <xdr:to>
      <xdr:col>1</xdr:col>
      <xdr:colOff>737870</xdr:colOff>
      <xdr:row>2</xdr:row>
      <xdr:rowOff>167000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0" y="476250"/>
          <a:ext cx="1339850" cy="459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</a:t>
          </a:r>
          <a:endParaRPr lang="en-US" altLang="ko-KR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  <a:p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or PO no.)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1431290</xdr:colOff>
      <xdr:row>1</xdr:row>
      <xdr:rowOff>210820</xdr:rowOff>
    </xdr:from>
    <xdr:to>
      <xdr:col>5</xdr:col>
      <xdr:colOff>142240</xdr:colOff>
      <xdr:row>2</xdr:row>
      <xdr:rowOff>108579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60290" y="591820"/>
          <a:ext cx="27305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430530</xdr:colOff>
      <xdr:row>0</xdr:row>
      <xdr:rowOff>31750</xdr:rowOff>
    </xdr:from>
    <xdr:to>
      <xdr:col>15</xdr:col>
      <xdr:colOff>373715</xdr:colOff>
      <xdr:row>3</xdr:row>
      <xdr:rowOff>25544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21490" y="31750"/>
          <a:ext cx="2594945" cy="10224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297180</xdr:colOff>
          <xdr:row>1</xdr:row>
          <xdr:rowOff>213360</xdr:rowOff>
        </xdr:from>
        <xdr:to>
          <xdr:col>4</xdr:col>
          <xdr:colOff>1386840</xdr:colOff>
          <xdr:row>2</xdr:row>
          <xdr:rowOff>91440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50E575E-825A-4659-BBC2-6265D853A2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312420</xdr:colOff>
      <xdr:row>1</xdr:row>
      <xdr:rowOff>185420</xdr:rowOff>
    </xdr:from>
    <xdr:to>
      <xdr:col>4</xdr:col>
      <xdr:colOff>262084</xdr:colOff>
      <xdr:row>2</xdr:row>
      <xdr:rowOff>80137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88438104-E37F-4051-8C24-BD6A54FC8A3D}"/>
            </a:ext>
          </a:extLst>
        </xdr:cNvPr>
        <xdr:cNvSpPr txBox="1"/>
      </xdr:nvSpPr>
      <xdr:spPr>
        <a:xfrm>
          <a:off x="3078480" y="566420"/>
          <a:ext cx="61260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13.emf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N1:N19"/>
  <sheetViews>
    <sheetView showGridLines="0" workbookViewId="0">
      <pane ySplit="1" topLeftCell="A2" activePane="bottomLeft" state="frozen"/>
      <selection pane="bottomLeft" activeCell="K8" sqref="K8"/>
    </sheetView>
  </sheetViews>
  <sheetFormatPr defaultColWidth="8.77734375" defaultRowHeight="13.8" x14ac:dyDescent="0.2"/>
  <cols>
    <col min="1" max="3" width="8.77734375" style="2"/>
    <col min="4" max="4" width="8.77734375" style="2" customWidth="1"/>
    <col min="5" max="5" width="8.44140625" style="2" customWidth="1"/>
    <col min="6" max="25" width="12.88671875" style="2" customWidth="1"/>
    <col min="26" max="16384" width="8.77734375" style="2"/>
  </cols>
  <sheetData>
    <row r="1" s="17" customFormat="1" ht="30.45" customHeight="1" x14ac:dyDescent="0.2"/>
    <row r="19" spans="14:14" x14ac:dyDescent="0.2">
      <c r="N19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M7"/>
  <sheetViews>
    <sheetView showGridLines="0" topLeftCell="B1" workbookViewId="0">
      <pane ySplit="4" topLeftCell="A5" activePane="bottomLeft" state="frozen"/>
      <selection pane="bottomLeft" activeCell="E16" sqref="E16"/>
    </sheetView>
  </sheetViews>
  <sheetFormatPr defaultColWidth="8.77734375" defaultRowHeight="12" x14ac:dyDescent="0.2"/>
  <cols>
    <col min="1" max="1" width="8.44140625" style="20" hidden="1" customWidth="1"/>
    <col min="2" max="2" width="12.6640625" style="20" customWidth="1"/>
    <col min="3" max="4" width="15.6640625" style="20" customWidth="1"/>
    <col min="5" max="6" width="8.6640625" style="20" customWidth="1"/>
    <col min="7" max="9" width="13.6640625" style="20" customWidth="1"/>
    <col min="10" max="11" width="11.6640625" style="20" customWidth="1"/>
    <col min="12" max="12" width="40.6640625" style="20" customWidth="1"/>
    <col min="13" max="24" width="12.88671875" style="20" customWidth="1"/>
    <col min="25" max="16384" width="8.77734375" style="20"/>
  </cols>
  <sheetData>
    <row r="1" spans="1:13" s="17" customFormat="1" ht="30.45" customHeight="1" x14ac:dyDescent="0.2"/>
    <row r="2" spans="1:13" s="2" customFormat="1" ht="30" customHeight="1" x14ac:dyDescent="0.2"/>
    <row r="3" spans="1:13" s="2" customFormat="1" ht="13.8" x14ac:dyDescent="0.2">
      <c r="M3"/>
    </row>
    <row r="4" spans="1:13" s="18" customFormat="1" x14ac:dyDescent="0.2">
      <c r="A4" s="19" t="s">
        <v>2134</v>
      </c>
      <c r="B4" s="23" t="s">
        <v>2271</v>
      </c>
      <c r="C4" s="23" t="s">
        <v>2272</v>
      </c>
      <c r="D4" s="23" t="s">
        <v>2273</v>
      </c>
      <c r="E4" s="23" t="s">
        <v>2274</v>
      </c>
      <c r="F4" s="23" t="s">
        <v>2275</v>
      </c>
      <c r="G4" s="23" t="s">
        <v>2276</v>
      </c>
      <c r="H4" s="23" t="s">
        <v>2277</v>
      </c>
      <c r="I4" s="23" t="s">
        <v>2278</v>
      </c>
      <c r="J4" s="23" t="s">
        <v>2279</v>
      </c>
      <c r="K4" s="19" t="s">
        <v>2135</v>
      </c>
      <c r="L4" s="23" t="s">
        <v>2280</v>
      </c>
      <c r="M4" s="24" t="s">
        <v>2293</v>
      </c>
    </row>
    <row r="5" spans="1:13" x14ac:dyDescent="0.2">
      <c r="A5" s="20">
        <v>331</v>
      </c>
      <c r="B5" s="20" t="s">
        <v>81</v>
      </c>
      <c r="C5" s="20" t="s">
        <v>21</v>
      </c>
      <c r="D5" s="20" t="s">
        <v>1014</v>
      </c>
      <c r="E5" s="20" t="s">
        <v>2357</v>
      </c>
      <c r="F5" s="20">
        <v>2021</v>
      </c>
      <c r="G5" s="20" t="s">
        <v>2371</v>
      </c>
      <c r="H5" s="20" t="s">
        <v>2372</v>
      </c>
      <c r="I5" s="20" t="s">
        <v>2926</v>
      </c>
      <c r="J5" s="20" t="s">
        <v>2923</v>
      </c>
      <c r="L5" s="20" t="s">
        <v>2375</v>
      </c>
    </row>
    <row r="6" spans="1:13" x14ac:dyDescent="0.2">
      <c r="A6" s="20">
        <v>332</v>
      </c>
      <c r="B6" s="20" t="s">
        <v>2927</v>
      </c>
      <c r="C6" s="20" t="s">
        <v>21</v>
      </c>
      <c r="D6" s="20" t="s">
        <v>2928</v>
      </c>
      <c r="E6" s="20" t="s">
        <v>2357</v>
      </c>
      <c r="F6" s="20">
        <v>2021</v>
      </c>
      <c r="G6" s="20" t="s">
        <v>2371</v>
      </c>
      <c r="H6" s="20" t="s">
        <v>2372</v>
      </c>
      <c r="I6" s="20" t="s">
        <v>2926</v>
      </c>
      <c r="J6" s="20" t="s">
        <v>2925</v>
      </c>
      <c r="L6" s="20" t="s">
        <v>2375</v>
      </c>
    </row>
    <row r="7" spans="1:13" x14ac:dyDescent="0.2">
      <c r="A7" s="20">
        <v>524</v>
      </c>
      <c r="B7" s="20" t="s">
        <v>2929</v>
      </c>
      <c r="C7" s="20" t="s">
        <v>2930</v>
      </c>
      <c r="D7" s="20" t="s">
        <v>2931</v>
      </c>
      <c r="E7" s="20" t="s">
        <v>2369</v>
      </c>
      <c r="F7" s="20">
        <v>2022</v>
      </c>
      <c r="G7" s="20" t="s">
        <v>2924</v>
      </c>
      <c r="H7" s="20" t="s">
        <v>2932</v>
      </c>
      <c r="I7" s="20" t="s">
        <v>2926</v>
      </c>
      <c r="J7" s="20" t="s">
        <v>2923</v>
      </c>
      <c r="L7" s="20" t="s">
        <v>2933</v>
      </c>
    </row>
  </sheetData>
  <phoneticPr fontId="2" type="noConversion"/>
  <conditionalFormatting sqref="A5:L10000">
    <cfRule type="notContainsBlanks" dxfId="10" priority="4">
      <formula>LEN(TRIM(A5))&gt;0</formula>
    </cfRule>
  </conditionalFormatting>
  <conditionalFormatting sqref="M1:M2 M4:M1048576">
    <cfRule type="cellIs" dxfId="9" priority="1" operator="equal">
      <formula>"Updated"</formula>
    </cfRule>
    <cfRule type="cellIs" dxfId="8" priority="2" operator="equal">
      <formula>"Revised"</formula>
    </cfRule>
  </conditionalFormatting>
  <dataValidations count="1">
    <dataValidation type="list" allowBlank="1" showInputMessage="1" showErrorMessage="1" sqref="M5:M1048576" xr:uid="{6A4AD18A-4FF2-4FC0-B6EA-19A177A6A996}">
      <formula1>"Revised,Updated"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TextBox1">
          <controlPr defaultSize="0" autoLine="0" r:id="rId5">
            <anchor>
              <from>
                <xdr:col>11</xdr:col>
                <xdr:colOff>1249680</xdr:colOff>
                <xdr:row>0</xdr:row>
                <xdr:rowOff>22860</xdr:rowOff>
              </from>
              <to>
                <xdr:col>12</xdr:col>
                <xdr:colOff>7620</xdr:colOff>
                <xdr:row>0</xdr:row>
                <xdr:rowOff>289560</xdr:rowOff>
              </to>
            </anchor>
          </controlPr>
        </control>
      </mc:Choice>
      <mc:Fallback>
        <control shapeId="7172" r:id="rId4" name="TextBox1"/>
      </mc:Fallback>
    </mc:AlternateContent>
    <mc:AlternateContent xmlns:mc="http://schemas.openxmlformats.org/markup-compatibility/2006">
      <mc:Choice Requires="x14">
        <control shapeId="7169" r:id="rId6" name="ComboBox1">
          <controlPr defaultSize="0" autoLine="0" listFillRange="code!$A$2:$A$3" r:id="rId7">
            <anchor>
              <from>
                <xdr:col>1</xdr:col>
                <xdr:colOff>716280</xdr:colOff>
                <xdr:row>1</xdr:row>
                <xdr:rowOff>60960</xdr:rowOff>
              </from>
              <to>
                <xdr:col>3</xdr:col>
                <xdr:colOff>472440</xdr:colOff>
                <xdr:row>1</xdr:row>
                <xdr:rowOff>312420</xdr:rowOff>
              </to>
            </anchor>
          </controlPr>
        </control>
      </mc:Choice>
      <mc:Fallback>
        <control shapeId="7169" r:id="rId6" name="ComboBox1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7" r:id="rId9">
            <anchor>
              <from>
                <xdr:col>4</xdr:col>
                <xdr:colOff>373380</xdr:colOff>
                <xdr:row>1</xdr:row>
                <xdr:rowOff>60960</xdr:rowOff>
              </from>
              <to>
                <xdr:col>6</xdr:col>
                <xdr:colOff>76200</xdr:colOff>
                <xdr:row>1</xdr:row>
                <xdr:rowOff>312420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71" r:id="rId10" name="ComboBox3">
          <controlPr defaultSize="0" autoLine="0" listFillRange="code!$C$2:$C$6" r:id="rId11">
            <anchor>
              <from>
                <xdr:col>6</xdr:col>
                <xdr:colOff>647700</xdr:colOff>
                <xdr:row>1</xdr:row>
                <xdr:rowOff>60960</xdr:rowOff>
              </from>
              <to>
                <xdr:col>7</xdr:col>
                <xdr:colOff>601980</xdr:colOff>
                <xdr:row>1</xdr:row>
                <xdr:rowOff>312420</xdr:rowOff>
              </to>
            </anchor>
          </controlPr>
        </control>
      </mc:Choice>
      <mc:Fallback>
        <control shapeId="7171" r:id="rId10" name="ComboBox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B12D918-B323-4592-B2AE-82A9736F9BD0}">
          <x14:formula1>
            <xm:f>validation!$A$2:$A$57</xm:f>
          </x14:formula1>
          <xm:sqref>C5:C10000</xm:sqref>
        </x14:dataValidation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A7E3CDC3-62F9-4DFD-94C3-F9E8DBFCA065}">
          <x14:formula1>
            <xm:f>validation!$H$2:$H$5</xm:f>
          </x14:formula1>
          <xm:sqref>K5:K10000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N27"/>
  <sheetViews>
    <sheetView showGridLines="0" tabSelected="1" workbookViewId="0">
      <pane ySplit="4" topLeftCell="A5" activePane="bottomLeft" state="frozen"/>
      <selection pane="bottomLeft" activeCell="G12" sqref="G12"/>
    </sheetView>
  </sheetViews>
  <sheetFormatPr defaultColWidth="8.77734375" defaultRowHeight="13.8" x14ac:dyDescent="0.2"/>
  <cols>
    <col min="1" max="1" width="8.77734375" style="2" customWidth="1"/>
    <col min="2" max="3" width="15.77734375" style="2" customWidth="1"/>
    <col min="4" max="4" width="9.6640625" style="2" customWidth="1"/>
    <col min="5" max="5" width="22.77734375" style="2" customWidth="1"/>
    <col min="6" max="6" width="10.77734375" style="2" customWidth="1"/>
    <col min="7" max="7" width="15.77734375" style="2" customWidth="1"/>
    <col min="8" max="8" width="8.77734375" style="2" customWidth="1"/>
    <col min="9" max="9" width="11.6640625" style="35" customWidth="1"/>
    <col min="10" max="10" width="10.6640625" style="38" customWidth="1"/>
    <col min="11" max="11" width="10.6640625" style="39" customWidth="1"/>
    <col min="12" max="12" width="26.44140625" style="2" customWidth="1"/>
    <col min="13" max="25" width="12.88671875" style="2" customWidth="1"/>
    <col min="26" max="16384" width="8.77734375" style="2"/>
  </cols>
  <sheetData>
    <row r="1" spans="1:13" s="17" customFormat="1" ht="30.45" customHeight="1" x14ac:dyDescent="0.2">
      <c r="I1" s="36"/>
      <c r="J1" s="40"/>
      <c r="K1" s="40"/>
    </row>
    <row r="2" spans="1:13" ht="30" customHeight="1" x14ac:dyDescent="0.2">
      <c r="J2" s="41"/>
      <c r="K2" s="41"/>
    </row>
    <row r="3" spans="1:13" ht="21" customHeight="1" x14ac:dyDescent="0.2">
      <c r="J3" s="41"/>
      <c r="K3" s="41"/>
    </row>
    <row r="4" spans="1:13" s="18" customFormat="1" ht="12" x14ac:dyDescent="0.2">
      <c r="A4" s="19" t="s">
        <v>2134</v>
      </c>
      <c r="B4" s="23" t="s">
        <v>2402</v>
      </c>
      <c r="C4" s="23" t="s">
        <v>2403</v>
      </c>
      <c r="D4" s="19" t="s">
        <v>2405</v>
      </c>
      <c r="E4" s="19" t="s">
        <v>2413</v>
      </c>
      <c r="F4" s="19" t="s">
        <v>2407</v>
      </c>
      <c r="G4" s="19" t="s">
        <v>2417</v>
      </c>
      <c r="H4" s="19" t="s">
        <v>2409</v>
      </c>
      <c r="I4" s="37" t="s">
        <v>2415</v>
      </c>
      <c r="J4" s="42" t="s">
        <v>2410</v>
      </c>
      <c r="K4" s="42" t="s">
        <v>2411</v>
      </c>
      <c r="L4" s="19" t="s">
        <v>2414</v>
      </c>
      <c r="M4" s="24" t="s">
        <v>2293</v>
      </c>
    </row>
    <row r="5" spans="1:13" x14ac:dyDescent="0.2">
      <c r="A5" s="2">
        <v>463</v>
      </c>
      <c r="B5" s="2" t="s">
        <v>986</v>
      </c>
      <c r="C5" s="2" t="s">
        <v>1041</v>
      </c>
      <c r="D5" s="2" t="s">
        <v>2922</v>
      </c>
      <c r="E5" s="2" t="s">
        <v>2454</v>
      </c>
      <c r="F5" s="2" t="s">
        <v>2418</v>
      </c>
      <c r="I5" s="35">
        <v>44110</v>
      </c>
      <c r="J5" s="38">
        <v>205</v>
      </c>
      <c r="K5" s="39">
        <v>21.91</v>
      </c>
      <c r="M5" s="2" t="s">
        <v>2934</v>
      </c>
    </row>
    <row r="6" spans="1:13" x14ac:dyDescent="0.2">
      <c r="A6" s="2">
        <v>464</v>
      </c>
      <c r="B6" s="2" t="s">
        <v>986</v>
      </c>
      <c r="C6" s="2" t="s">
        <v>1041</v>
      </c>
      <c r="D6" s="2" t="s">
        <v>2922</v>
      </c>
      <c r="E6" s="2" t="s">
        <v>2454</v>
      </c>
      <c r="F6" s="2" t="s">
        <v>2418</v>
      </c>
      <c r="I6" s="35">
        <v>44110</v>
      </c>
      <c r="J6" s="38">
        <v>593</v>
      </c>
      <c r="K6" s="39">
        <v>21.91</v>
      </c>
      <c r="M6" s="2" t="s">
        <v>2934</v>
      </c>
    </row>
    <row r="7" spans="1:13" x14ac:dyDescent="0.2">
      <c r="A7" s="2">
        <v>465</v>
      </c>
      <c r="B7" s="2" t="s">
        <v>986</v>
      </c>
      <c r="C7" s="2" t="s">
        <v>1041</v>
      </c>
      <c r="D7" s="2" t="s">
        <v>2922</v>
      </c>
      <c r="E7" s="2" t="s">
        <v>2454</v>
      </c>
      <c r="F7" s="2" t="s">
        <v>2418</v>
      </c>
      <c r="I7" s="35">
        <v>44110</v>
      </c>
      <c r="J7" s="38">
        <v>664</v>
      </c>
      <c r="K7" s="39">
        <v>21.91</v>
      </c>
      <c r="M7" s="2" t="s">
        <v>2934</v>
      </c>
    </row>
    <row r="8" spans="1:13" x14ac:dyDescent="0.2">
      <c r="A8" s="2">
        <v>466</v>
      </c>
      <c r="B8" s="2" t="s">
        <v>986</v>
      </c>
      <c r="C8" s="2" t="s">
        <v>1041</v>
      </c>
      <c r="D8" s="2" t="s">
        <v>2922</v>
      </c>
      <c r="E8" s="2" t="s">
        <v>2454</v>
      </c>
      <c r="F8" s="2" t="s">
        <v>2418</v>
      </c>
      <c r="I8" s="35">
        <v>44110</v>
      </c>
      <c r="J8" s="38">
        <v>485</v>
      </c>
      <c r="K8" s="39">
        <v>21.91</v>
      </c>
      <c r="M8" s="2" t="s">
        <v>2934</v>
      </c>
    </row>
    <row r="9" spans="1:13" x14ac:dyDescent="0.2">
      <c r="A9" s="2">
        <v>467</v>
      </c>
      <c r="B9" s="2" t="s">
        <v>986</v>
      </c>
      <c r="C9" s="2" t="s">
        <v>1041</v>
      </c>
      <c r="D9" s="2" t="s">
        <v>2922</v>
      </c>
      <c r="E9" s="2" t="s">
        <v>2454</v>
      </c>
      <c r="F9" s="2" t="s">
        <v>2418</v>
      </c>
      <c r="I9" s="35">
        <v>44110</v>
      </c>
      <c r="J9" s="38">
        <v>345</v>
      </c>
      <c r="K9" s="39">
        <v>21.91</v>
      </c>
      <c r="M9" s="2" t="s">
        <v>2934</v>
      </c>
    </row>
    <row r="10" spans="1:13" x14ac:dyDescent="0.2">
      <c r="A10" s="2">
        <v>468</v>
      </c>
      <c r="B10" s="2" t="s">
        <v>986</v>
      </c>
      <c r="C10" s="2" t="s">
        <v>1041</v>
      </c>
      <c r="D10" s="2" t="s">
        <v>2922</v>
      </c>
      <c r="E10" s="2" t="s">
        <v>2454</v>
      </c>
      <c r="F10" s="2" t="s">
        <v>2418</v>
      </c>
      <c r="I10" s="35">
        <v>44110</v>
      </c>
      <c r="J10" s="38">
        <v>7</v>
      </c>
      <c r="K10" s="39">
        <v>21.91</v>
      </c>
      <c r="M10" s="2" t="s">
        <v>2934</v>
      </c>
    </row>
    <row r="11" spans="1:13" x14ac:dyDescent="0.2">
      <c r="A11" s="2">
        <v>469</v>
      </c>
      <c r="B11" s="2" t="s">
        <v>986</v>
      </c>
      <c r="C11" s="2" t="s">
        <v>1042</v>
      </c>
      <c r="D11" s="2" t="s">
        <v>2922</v>
      </c>
      <c r="E11" s="2" t="s">
        <v>2454</v>
      </c>
      <c r="F11" s="2" t="s">
        <v>2418</v>
      </c>
      <c r="I11" s="35">
        <v>44110</v>
      </c>
      <c r="J11" s="38">
        <v>283</v>
      </c>
      <c r="K11" s="39">
        <v>24.3</v>
      </c>
      <c r="M11" s="2" t="s">
        <v>2934</v>
      </c>
    </row>
    <row r="12" spans="1:13" x14ac:dyDescent="0.2">
      <c r="A12" s="2">
        <v>470</v>
      </c>
      <c r="B12" s="2" t="s">
        <v>986</v>
      </c>
      <c r="C12" s="2" t="s">
        <v>1042</v>
      </c>
      <c r="D12" s="2" t="s">
        <v>2922</v>
      </c>
      <c r="E12" s="2" t="s">
        <v>2454</v>
      </c>
      <c r="F12" s="2" t="s">
        <v>2418</v>
      </c>
      <c r="I12" s="35">
        <v>44110</v>
      </c>
      <c r="J12" s="38">
        <v>690</v>
      </c>
      <c r="K12" s="39">
        <v>24.3</v>
      </c>
      <c r="M12" s="2" t="s">
        <v>2934</v>
      </c>
    </row>
    <row r="13" spans="1:13" x14ac:dyDescent="0.2">
      <c r="A13" s="2">
        <v>471</v>
      </c>
      <c r="B13" s="2" t="s">
        <v>986</v>
      </c>
      <c r="C13" s="2" t="s">
        <v>1042</v>
      </c>
      <c r="D13" s="2" t="s">
        <v>2922</v>
      </c>
      <c r="E13" s="2" t="s">
        <v>2454</v>
      </c>
      <c r="F13" s="2" t="s">
        <v>2418</v>
      </c>
      <c r="I13" s="35">
        <v>44110</v>
      </c>
      <c r="J13" s="38">
        <v>1098</v>
      </c>
      <c r="K13" s="39">
        <v>24.3</v>
      </c>
      <c r="M13" s="2" t="s">
        <v>2934</v>
      </c>
    </row>
    <row r="14" spans="1:13" x14ac:dyDescent="0.2">
      <c r="A14" s="2">
        <v>472</v>
      </c>
      <c r="B14" s="2" t="s">
        <v>986</v>
      </c>
      <c r="C14" s="2" t="s">
        <v>1042</v>
      </c>
      <c r="D14" s="2" t="s">
        <v>2922</v>
      </c>
      <c r="E14" s="2" t="s">
        <v>2454</v>
      </c>
      <c r="F14" s="2" t="s">
        <v>2418</v>
      </c>
      <c r="I14" s="35">
        <v>44110</v>
      </c>
      <c r="J14" s="38">
        <v>853</v>
      </c>
      <c r="K14" s="39">
        <v>24.3</v>
      </c>
      <c r="M14" s="2" t="s">
        <v>2934</v>
      </c>
    </row>
    <row r="15" spans="1:13" x14ac:dyDescent="0.2">
      <c r="A15" s="2">
        <v>473</v>
      </c>
      <c r="B15" s="2" t="s">
        <v>986</v>
      </c>
      <c r="C15" s="2" t="s">
        <v>1042</v>
      </c>
      <c r="D15" s="2" t="s">
        <v>2922</v>
      </c>
      <c r="E15" s="2" t="s">
        <v>2454</v>
      </c>
      <c r="F15" s="2" t="s">
        <v>2418</v>
      </c>
      <c r="I15" s="35">
        <v>44110</v>
      </c>
      <c r="J15" s="38">
        <v>425</v>
      </c>
      <c r="K15" s="39">
        <v>24.3</v>
      </c>
      <c r="M15" s="2" t="s">
        <v>2934</v>
      </c>
    </row>
    <row r="16" spans="1:13" x14ac:dyDescent="0.2">
      <c r="A16" s="2">
        <v>474</v>
      </c>
      <c r="B16" s="2" t="s">
        <v>986</v>
      </c>
      <c r="C16" s="2" t="s">
        <v>1042</v>
      </c>
      <c r="D16" s="2" t="s">
        <v>2922</v>
      </c>
      <c r="E16" s="2" t="s">
        <v>2454</v>
      </c>
      <c r="F16" s="2" t="s">
        <v>2418</v>
      </c>
      <c r="I16" s="35">
        <v>44110</v>
      </c>
      <c r="J16" s="38">
        <v>6</v>
      </c>
      <c r="K16" s="39">
        <v>24.3</v>
      </c>
      <c r="M16" s="2" t="s">
        <v>2934</v>
      </c>
    </row>
    <row r="17" spans="1:14" x14ac:dyDescent="0.2">
      <c r="A17" s="2">
        <v>1933</v>
      </c>
      <c r="B17" s="2" t="s">
        <v>986</v>
      </c>
      <c r="C17" s="2" t="s">
        <v>1427</v>
      </c>
      <c r="D17" s="2" t="s">
        <v>2922</v>
      </c>
      <c r="E17" s="2" t="s">
        <v>2454</v>
      </c>
      <c r="F17" s="2" t="s">
        <v>2418</v>
      </c>
      <c r="I17" s="35">
        <v>44265</v>
      </c>
      <c r="J17" s="38">
        <v>5</v>
      </c>
      <c r="K17" s="39">
        <v>7.98</v>
      </c>
      <c r="M17" s="2" t="s">
        <v>2934</v>
      </c>
      <c r="N17"/>
    </row>
    <row r="18" spans="1:14" x14ac:dyDescent="0.2">
      <c r="A18" s="2">
        <v>1934</v>
      </c>
      <c r="B18" s="2" t="s">
        <v>986</v>
      </c>
      <c r="C18" s="2" t="s">
        <v>1427</v>
      </c>
      <c r="D18" s="2" t="s">
        <v>2922</v>
      </c>
      <c r="E18" s="2" t="s">
        <v>2454</v>
      </c>
      <c r="F18" s="2" t="s">
        <v>2418</v>
      </c>
      <c r="I18" s="35">
        <v>44265</v>
      </c>
      <c r="J18" s="38">
        <v>23</v>
      </c>
      <c r="K18" s="39">
        <v>7.98</v>
      </c>
      <c r="M18" s="2" t="s">
        <v>2934</v>
      </c>
    </row>
    <row r="19" spans="1:14" x14ac:dyDescent="0.2">
      <c r="A19" s="2">
        <v>1935</v>
      </c>
      <c r="B19" s="2" t="s">
        <v>986</v>
      </c>
      <c r="C19" s="2" t="s">
        <v>1427</v>
      </c>
      <c r="D19" s="2" t="s">
        <v>2922</v>
      </c>
      <c r="E19" s="2" t="s">
        <v>2454</v>
      </c>
      <c r="F19" s="2" t="s">
        <v>2418</v>
      </c>
      <c r="I19" s="35">
        <v>44265</v>
      </c>
      <c r="J19" s="38">
        <v>35</v>
      </c>
      <c r="K19" s="39">
        <v>7.98</v>
      </c>
      <c r="M19" s="2" t="s">
        <v>2934</v>
      </c>
    </row>
    <row r="20" spans="1:14" x14ac:dyDescent="0.2">
      <c r="A20" s="2">
        <v>1936</v>
      </c>
      <c r="B20" s="2" t="s">
        <v>986</v>
      </c>
      <c r="C20" s="2" t="s">
        <v>1427</v>
      </c>
      <c r="D20" s="2" t="s">
        <v>2922</v>
      </c>
      <c r="E20" s="2" t="s">
        <v>2454</v>
      </c>
      <c r="F20" s="2" t="s">
        <v>2418</v>
      </c>
      <c r="I20" s="35">
        <v>44265</v>
      </c>
      <c r="J20" s="38">
        <v>27</v>
      </c>
      <c r="K20" s="39">
        <v>7.98</v>
      </c>
      <c r="M20" s="2" t="s">
        <v>2934</v>
      </c>
    </row>
    <row r="21" spans="1:14" x14ac:dyDescent="0.2">
      <c r="A21" s="2">
        <v>1937</v>
      </c>
      <c r="B21" s="2" t="s">
        <v>986</v>
      </c>
      <c r="C21" s="2" t="s">
        <v>1427</v>
      </c>
      <c r="D21" s="2" t="s">
        <v>2922</v>
      </c>
      <c r="E21" s="2" t="s">
        <v>2454</v>
      </c>
      <c r="F21" s="2" t="s">
        <v>2418</v>
      </c>
      <c r="I21" s="35">
        <v>44265</v>
      </c>
      <c r="J21" s="38">
        <v>4</v>
      </c>
      <c r="K21" s="39">
        <v>7.98</v>
      </c>
      <c r="M21" s="2" t="s">
        <v>2934</v>
      </c>
    </row>
    <row r="22" spans="1:14" x14ac:dyDescent="0.2">
      <c r="A22" s="2">
        <v>1938</v>
      </c>
      <c r="B22" s="2" t="s">
        <v>986</v>
      </c>
      <c r="C22" s="2" t="s">
        <v>1427</v>
      </c>
      <c r="D22" s="2" t="s">
        <v>2922</v>
      </c>
      <c r="E22" s="2" t="s">
        <v>2454</v>
      </c>
      <c r="F22" s="2" t="s">
        <v>2418</v>
      </c>
      <c r="I22" s="35">
        <v>44265</v>
      </c>
      <c r="J22" s="38">
        <v>1</v>
      </c>
      <c r="K22" s="39">
        <v>7.98</v>
      </c>
      <c r="M22" s="2" t="s">
        <v>2934</v>
      </c>
    </row>
    <row r="23" spans="1:14" x14ac:dyDescent="0.2">
      <c r="A23" s="2">
        <v>1954</v>
      </c>
      <c r="B23" s="2" t="s">
        <v>986</v>
      </c>
      <c r="C23" s="2" t="s">
        <v>1428</v>
      </c>
      <c r="D23" s="2" t="s">
        <v>2922</v>
      </c>
      <c r="E23" s="2" t="s">
        <v>2454</v>
      </c>
      <c r="F23" s="2" t="s">
        <v>2418</v>
      </c>
      <c r="I23" s="35">
        <v>44265</v>
      </c>
      <c r="J23" s="38">
        <v>3</v>
      </c>
      <c r="K23" s="39">
        <v>7.87</v>
      </c>
      <c r="M23" s="2" t="s">
        <v>2934</v>
      </c>
    </row>
    <row r="24" spans="1:14" x14ac:dyDescent="0.2">
      <c r="A24" s="2">
        <v>1955</v>
      </c>
      <c r="B24" s="2" t="s">
        <v>986</v>
      </c>
      <c r="C24" s="2" t="s">
        <v>1428</v>
      </c>
      <c r="D24" s="2" t="s">
        <v>2922</v>
      </c>
      <c r="E24" s="2" t="s">
        <v>2454</v>
      </c>
      <c r="F24" s="2" t="s">
        <v>2418</v>
      </c>
      <c r="I24" s="35">
        <v>44265</v>
      </c>
      <c r="J24" s="38">
        <v>12</v>
      </c>
      <c r="K24" s="39">
        <v>7.87</v>
      </c>
      <c r="M24" s="2" t="s">
        <v>2934</v>
      </c>
    </row>
    <row r="25" spans="1:14" x14ac:dyDescent="0.2">
      <c r="A25" s="2">
        <v>1956</v>
      </c>
      <c r="B25" s="2" t="s">
        <v>986</v>
      </c>
      <c r="C25" s="2" t="s">
        <v>1428</v>
      </c>
      <c r="D25" s="2" t="s">
        <v>2922</v>
      </c>
      <c r="E25" s="2" t="s">
        <v>2454</v>
      </c>
      <c r="F25" s="2" t="s">
        <v>2418</v>
      </c>
      <c r="I25" s="35">
        <v>44265</v>
      </c>
      <c r="J25" s="38">
        <v>25</v>
      </c>
      <c r="K25" s="39">
        <v>7.87</v>
      </c>
      <c r="M25" s="2" t="s">
        <v>2934</v>
      </c>
    </row>
    <row r="26" spans="1:14" x14ac:dyDescent="0.2">
      <c r="A26" s="2">
        <v>1957</v>
      </c>
      <c r="B26" s="2" t="s">
        <v>986</v>
      </c>
      <c r="C26" s="2" t="s">
        <v>1428</v>
      </c>
      <c r="D26" s="2" t="s">
        <v>2922</v>
      </c>
      <c r="E26" s="2" t="s">
        <v>2454</v>
      </c>
      <c r="F26" s="2" t="s">
        <v>2418</v>
      </c>
      <c r="I26" s="35">
        <v>44265</v>
      </c>
      <c r="J26" s="38">
        <v>14</v>
      </c>
      <c r="K26" s="39">
        <v>7.87</v>
      </c>
      <c r="M26" s="2" t="s">
        <v>2934</v>
      </c>
    </row>
    <row r="27" spans="1:14" x14ac:dyDescent="0.2">
      <c r="A27" s="2">
        <v>1958</v>
      </c>
      <c r="B27" s="2" t="s">
        <v>986</v>
      </c>
      <c r="C27" s="2" t="s">
        <v>1428</v>
      </c>
      <c r="D27" s="2" t="s">
        <v>2922</v>
      </c>
      <c r="E27" s="2" t="s">
        <v>2454</v>
      </c>
      <c r="F27" s="2" t="s">
        <v>2418</v>
      </c>
      <c r="I27" s="35">
        <v>44265</v>
      </c>
      <c r="J27" s="38">
        <v>14</v>
      </c>
      <c r="K27" s="39">
        <v>7.87</v>
      </c>
      <c r="M27" s="2" t="s">
        <v>2934</v>
      </c>
    </row>
  </sheetData>
  <phoneticPr fontId="2" type="noConversion"/>
  <conditionalFormatting sqref="M4">
    <cfRule type="cellIs" dxfId="7" priority="6" operator="equal">
      <formula>"Updated"</formula>
    </cfRule>
    <cfRule type="cellIs" dxfId="6" priority="7" operator="equal">
      <formula>"Revised"</formula>
    </cfRule>
  </conditionalFormatting>
  <conditionalFormatting sqref="M1:M1048576">
    <cfRule type="cellIs" dxfId="5" priority="1" operator="equal">
      <formula>"Deleted"</formula>
    </cfRule>
    <cfRule type="cellIs" dxfId="4" priority="2" operator="equal">
      <formula>"Activate"</formula>
    </cfRule>
    <cfRule type="cellIs" dxfId="3" priority="3" operator="equal">
      <formula>"Delete"</formula>
    </cfRule>
    <cfRule type="cellIs" dxfId="2" priority="4" operator="equal">
      <formula>"Revised"</formula>
    </cfRule>
    <cfRule type="cellIs" dxfId="1" priority="5" operator="equal">
      <formula>"Updated"</formula>
    </cfRule>
  </conditionalFormatting>
  <dataValidations count="1"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9" r:id="rId4" name="ComboBox1">
          <controlPr defaultSize="0" autoLine="0" listFillRange="code!$E$2:$E$3" r:id="rId5">
            <anchor>
              <from>
                <xdr:col>4</xdr:col>
                <xdr:colOff>297180</xdr:colOff>
                <xdr:row>1</xdr:row>
                <xdr:rowOff>213360</xdr:rowOff>
              </from>
              <to>
                <xdr:col>4</xdr:col>
                <xdr:colOff>1386840</xdr:colOff>
                <xdr:row>2</xdr:row>
                <xdr:rowOff>91440</xdr:rowOff>
              </to>
            </anchor>
          </controlPr>
        </control>
      </mc:Choice>
      <mc:Fallback>
        <control shapeId="8219" r:id="rId4" name="ComboBox1"/>
      </mc:Fallback>
    </mc:AlternateContent>
    <mc:AlternateContent xmlns:mc="http://schemas.openxmlformats.org/markup-compatibility/2006">
      <mc:Choice Requires="x14">
        <control shapeId="8198" r:id="rId6" name="TextBox1">
          <controlPr defaultSize="0" autoLine="0" r:id="rId7">
            <anchor>
              <from>
                <xdr:col>1</xdr:col>
                <xdr:colOff>754380</xdr:colOff>
                <xdr:row>1</xdr:row>
                <xdr:rowOff>190500</xdr:rowOff>
              </from>
              <to>
                <xdr:col>3</xdr:col>
                <xdr:colOff>137160</xdr:colOff>
                <xdr:row>2</xdr:row>
                <xdr:rowOff>76200</xdr:rowOff>
              </to>
            </anchor>
          </controlPr>
        </control>
      </mc:Choice>
      <mc:Fallback>
        <control shapeId="8198" r:id="rId6" name="Text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6</xdr:col>
                <xdr:colOff>83820</xdr:colOff>
                <xdr:row>0</xdr:row>
                <xdr:rowOff>0</xdr:rowOff>
              </from>
              <to>
                <xdr:col>8</xdr:col>
                <xdr:colOff>502920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8</xdr:col>
                <xdr:colOff>281940</xdr:colOff>
                <xdr:row>0</xdr:row>
                <xdr:rowOff>0</xdr:rowOff>
              </from>
              <to>
                <xdr:col>11</xdr:col>
                <xdr:colOff>365760</xdr:colOff>
                <xdr:row>2</xdr:row>
                <xdr:rowOff>236220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A415FB6E-5107-4988-AD0B-48AB05E22E0D}">
          <x14:formula1>
            <xm:f>validation!$L$2:$L$26</xm:f>
          </x14:formula1>
          <xm:sqref>E5:E10000</xm:sqref>
        </x14:dataValidation>
        <x14:dataValidation type="list" allowBlank="1" showInputMessage="1" showErrorMessage="1" xr:uid="{43BBCB13-A663-4591-BC54-F42EA78ACF9B}">
          <x14:formula1>
            <xm:f>validation!$N$2:$N$4</xm:f>
          </x14:formula1>
          <xm:sqref>G5:G10000</xm:sqref>
        </x14:dataValidation>
        <x14:dataValidation type="list" allowBlank="1" showInputMessage="1" showErrorMessage="1" xr:uid="{386D55FD-E285-4D7E-942E-D11801442128}">
          <x14:formula1>
            <xm:f>validation!$O$2:$O$470</xm:f>
          </x14:formula1>
          <xm:sqref>H5:H10000</xm:sqref>
        </x14:dataValidation>
        <x14:dataValidation type="list" allowBlank="1" showInputMessage="1" showErrorMessage="1" xr:uid="{F4EA0B4F-EEE5-44CD-A8EE-F5AD449E4A91}">
          <x14:formula1>
            <xm:f>validation!$M$2:$M$7</xm:f>
          </x14:formula1>
          <xm:sqref>F5:F10000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Y36"/>
  <sheetViews>
    <sheetView workbookViewId="0">
      <selection activeCell="I16" sqref="I16"/>
    </sheetView>
  </sheetViews>
  <sheetFormatPr defaultRowHeight="13.2" x14ac:dyDescent="0.2"/>
  <cols>
    <col min="1" max="1" width="25.21875" customWidth="1"/>
    <col min="2" max="2" width="11.77734375" customWidth="1"/>
    <col min="3" max="3" width="14.44140625" customWidth="1"/>
    <col min="4" max="4" width="21.88671875" customWidth="1"/>
    <col min="5" max="5" width="13.77734375" customWidth="1"/>
    <col min="6" max="6" width="17" bestFit="1" customWidth="1"/>
    <col min="7" max="7" width="19.44140625" customWidth="1"/>
    <col min="9" max="9" width="27.77734375" style="22" bestFit="1" customWidth="1"/>
    <col min="10" max="10" width="14.77734375" style="22" bestFit="1" customWidth="1"/>
    <col min="11" max="11" width="64.77734375" style="22" bestFit="1" customWidth="1"/>
    <col min="12" max="12" width="48.44140625" style="22" bestFit="1" customWidth="1"/>
    <col min="14" max="14" width="4.44140625" bestFit="1" customWidth="1"/>
    <col min="15" max="15" width="10.44140625" bestFit="1" customWidth="1"/>
    <col min="16" max="16" width="8.44140625" bestFit="1" customWidth="1"/>
    <col min="17" max="17" width="14.77734375" bestFit="1" customWidth="1"/>
    <col min="18" max="18" width="3.44140625" bestFit="1" customWidth="1"/>
    <col min="19" max="19" width="5.44140625" bestFit="1" customWidth="1"/>
    <col min="20" max="21" width="6.44140625" bestFit="1" customWidth="1"/>
    <col min="22" max="22" width="10.44140625" bestFit="1" customWidth="1"/>
    <col min="23" max="23" width="8.44140625" bestFit="1" customWidth="1"/>
    <col min="25" max="25" width="48.44140625" bestFit="1" customWidth="1"/>
  </cols>
  <sheetData>
    <row r="1" spans="1:25" x14ac:dyDescent="0.2">
      <c r="A1" t="s">
        <v>2095</v>
      </c>
      <c r="B1" t="s">
        <v>2089</v>
      </c>
      <c r="C1" t="s">
        <v>2096</v>
      </c>
      <c r="D1" t="s">
        <v>2097</v>
      </c>
      <c r="E1" t="s">
        <v>2936</v>
      </c>
      <c r="G1" s="25" t="s">
        <v>2133</v>
      </c>
      <c r="I1" s="26" t="str">
        <f>"id : "&amp;J1</f>
        <v>id : 332</v>
      </c>
      <c r="J1" s="27">
        <v>332</v>
      </c>
      <c r="K1" s="27" t="str">
        <f>"Gender : "&amp;L1</f>
        <v>Gender : Mens</v>
      </c>
      <c r="L1" s="32" t="s">
        <v>2371</v>
      </c>
      <c r="N1">
        <v>542</v>
      </c>
      <c r="O1" t="s">
        <v>496</v>
      </c>
      <c r="P1" t="s">
        <v>488</v>
      </c>
      <c r="Q1" t="s">
        <v>1582</v>
      </c>
      <c r="R1" t="s">
        <v>2368</v>
      </c>
      <c r="S1">
        <v>2021</v>
      </c>
      <c r="T1" t="s">
        <v>2371</v>
      </c>
      <c r="U1" t="s">
        <v>2372</v>
      </c>
      <c r="V1" t="s">
        <v>2373</v>
      </c>
      <c r="W1" t="s">
        <v>2356</v>
      </c>
      <c r="Y1" t="s">
        <v>2377</v>
      </c>
    </row>
    <row r="2" spans="1:25" x14ac:dyDescent="0.2">
      <c r="A2" t="s">
        <v>2090</v>
      </c>
      <c r="B2" t="s">
        <v>2365</v>
      </c>
      <c r="C2" t="s">
        <v>2360</v>
      </c>
      <c r="D2" t="s">
        <v>2098</v>
      </c>
      <c r="E2" t="s">
        <v>2937</v>
      </c>
      <c r="F2" t="s">
        <v>2281</v>
      </c>
      <c r="G2">
        <v>2019</v>
      </c>
      <c r="I2" s="28" t="str">
        <f>"Indent No.: "&amp;J2</f>
        <v>Indent No.: DHGI-2118T</v>
      </c>
      <c r="J2" s="29" t="s">
        <v>2935</v>
      </c>
      <c r="K2" s="29" t="str">
        <f>"Fabric Type : "&amp;L2</f>
        <v>Fabric Type : Woven</v>
      </c>
      <c r="L2" s="33" t="s">
        <v>2372</v>
      </c>
      <c r="N2">
        <v>543</v>
      </c>
      <c r="O2" t="s">
        <v>582</v>
      </c>
      <c r="P2" t="s">
        <v>488</v>
      </c>
      <c r="Q2" t="s">
        <v>1689</v>
      </c>
      <c r="R2" t="s">
        <v>2368</v>
      </c>
      <c r="S2">
        <v>2021</v>
      </c>
      <c r="T2" t="s">
        <v>2370</v>
      </c>
      <c r="U2" t="s">
        <v>2372</v>
      </c>
      <c r="V2" t="s">
        <v>2373</v>
      </c>
      <c r="W2" t="s">
        <v>2356</v>
      </c>
      <c r="Y2" t="s">
        <v>2375</v>
      </c>
    </row>
    <row r="3" spans="1:25" x14ac:dyDescent="0.2">
      <c r="A3" t="s">
        <v>2091</v>
      </c>
      <c r="B3" t="s">
        <v>2366</v>
      </c>
      <c r="C3" t="s">
        <v>2361</v>
      </c>
      <c r="D3" t="s">
        <v>2099</v>
      </c>
      <c r="E3" t="s">
        <v>2938</v>
      </c>
      <c r="F3" t="s">
        <v>2282</v>
      </c>
      <c r="G3">
        <v>2020</v>
      </c>
      <c r="I3" s="28" t="str">
        <f>"Brand name : "&amp;J3</f>
        <v>Brand name : A&amp;F</v>
      </c>
      <c r="J3" s="29" t="s">
        <v>21</v>
      </c>
      <c r="K3" s="29" t="str">
        <f>"Garment Type : "&amp;L3</f>
        <v>Garment Type : Swimwear</v>
      </c>
      <c r="L3" s="33" t="s">
        <v>2926</v>
      </c>
      <c r="N3">
        <v>544</v>
      </c>
      <c r="O3" t="s">
        <v>581</v>
      </c>
      <c r="P3" t="s">
        <v>488</v>
      </c>
      <c r="Q3" t="s">
        <v>1676</v>
      </c>
      <c r="R3" t="s">
        <v>2368</v>
      </c>
      <c r="S3">
        <v>2021</v>
      </c>
      <c r="T3" t="s">
        <v>2370</v>
      </c>
      <c r="U3" t="s">
        <v>2372</v>
      </c>
      <c r="V3" t="s">
        <v>2373</v>
      </c>
      <c r="W3" t="s">
        <v>2356</v>
      </c>
      <c r="Y3" t="s">
        <v>2375</v>
      </c>
    </row>
    <row r="4" spans="1:25" x14ac:dyDescent="0.2">
      <c r="B4" t="s">
        <v>2092</v>
      </c>
      <c r="C4" t="s">
        <v>2362</v>
      </c>
      <c r="D4" t="s">
        <v>2100</v>
      </c>
      <c r="F4" t="s">
        <v>2283</v>
      </c>
      <c r="G4">
        <v>2021</v>
      </c>
      <c r="I4" s="28" t="str">
        <f>"Design No.: "&amp;J4</f>
        <v>Design No.: 133S0153-T</v>
      </c>
      <c r="J4" s="29" t="s">
        <v>2928</v>
      </c>
      <c r="K4" s="29" t="str">
        <f>"Order Type : "&amp;L4</f>
        <v>Order Type : Test</v>
      </c>
      <c r="L4" s="33" t="s">
        <v>2925</v>
      </c>
      <c r="N4">
        <v>545</v>
      </c>
      <c r="O4" t="s">
        <v>532</v>
      </c>
      <c r="P4" t="s">
        <v>488</v>
      </c>
      <c r="Q4" t="s">
        <v>1603</v>
      </c>
      <c r="R4" t="s">
        <v>2368</v>
      </c>
      <c r="S4">
        <v>2021</v>
      </c>
      <c r="T4" t="s">
        <v>2370</v>
      </c>
      <c r="U4" t="s">
        <v>2372</v>
      </c>
      <c r="V4" t="s">
        <v>2373</v>
      </c>
      <c r="W4" t="s">
        <v>2356</v>
      </c>
      <c r="Y4" t="s">
        <v>2375</v>
      </c>
    </row>
    <row r="5" spans="1:25" x14ac:dyDescent="0.2">
      <c r="B5" t="s">
        <v>2093</v>
      </c>
      <c r="C5" t="s">
        <v>2363</v>
      </c>
      <c r="D5" t="s">
        <v>2101</v>
      </c>
      <c r="F5" t="s">
        <v>2284</v>
      </c>
      <c r="G5">
        <v>2022</v>
      </c>
      <c r="I5" s="28" t="str">
        <f>"Season : "&amp;J5</f>
        <v>Season : SP</v>
      </c>
      <c r="J5" s="29" t="s">
        <v>2357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2368</v>
      </c>
      <c r="S5">
        <v>2021</v>
      </c>
      <c r="T5" t="s">
        <v>2358</v>
      </c>
      <c r="U5" t="s">
        <v>2372</v>
      </c>
      <c r="V5" t="s">
        <v>2373</v>
      </c>
      <c r="W5" t="s">
        <v>2356</v>
      </c>
      <c r="Y5" t="s">
        <v>2377</v>
      </c>
    </row>
    <row r="6" spans="1:25" ht="13.8" thickBot="1" x14ac:dyDescent="0.25">
      <c r="B6" t="s">
        <v>2094</v>
      </c>
      <c r="C6" t="s">
        <v>2364</v>
      </c>
      <c r="D6" t="s">
        <v>2102</v>
      </c>
      <c r="F6" t="s">
        <v>2285</v>
      </c>
      <c r="I6" s="30" t="str">
        <f>"Year : "&amp;J6</f>
        <v>Year : 2021</v>
      </c>
      <c r="J6" s="31">
        <v>2021</v>
      </c>
      <c r="K6" s="31" t="str">
        <f>"Manufacturer : "&amp;L6</f>
        <v>Manufacturer : Phu Thinh Export Garment Joint Stock Company</v>
      </c>
      <c r="L6" s="34" t="s">
        <v>2375</v>
      </c>
      <c r="N6">
        <v>547</v>
      </c>
      <c r="O6" t="s">
        <v>530</v>
      </c>
      <c r="P6" t="s">
        <v>488</v>
      </c>
      <c r="Q6" t="s">
        <v>1602</v>
      </c>
      <c r="R6" t="s">
        <v>2368</v>
      </c>
      <c r="S6">
        <v>2021</v>
      </c>
      <c r="T6" t="s">
        <v>2358</v>
      </c>
      <c r="U6" t="s">
        <v>2372</v>
      </c>
      <c r="V6" t="s">
        <v>2373</v>
      </c>
      <c r="W6" t="s">
        <v>2356</v>
      </c>
      <c r="Y6" t="s">
        <v>2374</v>
      </c>
    </row>
    <row r="7" spans="1:25" x14ac:dyDescent="0.2">
      <c r="B7" t="s">
        <v>2367</v>
      </c>
      <c r="D7" t="s">
        <v>2103</v>
      </c>
      <c r="F7" t="s">
        <v>2286</v>
      </c>
      <c r="N7">
        <v>548</v>
      </c>
      <c r="O7" t="s">
        <v>529</v>
      </c>
      <c r="P7" t="s">
        <v>488</v>
      </c>
      <c r="Q7" t="s">
        <v>1601</v>
      </c>
      <c r="R7" t="s">
        <v>2368</v>
      </c>
      <c r="S7">
        <v>2021</v>
      </c>
      <c r="T7" t="s">
        <v>2358</v>
      </c>
      <c r="U7" t="s">
        <v>2372</v>
      </c>
      <c r="V7" t="s">
        <v>2373</v>
      </c>
      <c r="W7" t="s">
        <v>2356</v>
      </c>
      <c r="Y7" t="s">
        <v>2374</v>
      </c>
    </row>
    <row r="8" spans="1:25" x14ac:dyDescent="0.2">
      <c r="D8" t="s">
        <v>2104</v>
      </c>
      <c r="F8" t="s">
        <v>2287</v>
      </c>
      <c r="N8">
        <v>549</v>
      </c>
      <c r="O8" t="s">
        <v>730</v>
      </c>
      <c r="P8" t="s">
        <v>488</v>
      </c>
      <c r="Q8" t="s">
        <v>2378</v>
      </c>
      <c r="R8" t="s">
        <v>2368</v>
      </c>
      <c r="S8">
        <v>2021</v>
      </c>
      <c r="T8" t="s">
        <v>2371</v>
      </c>
      <c r="U8" t="s">
        <v>2372</v>
      </c>
      <c r="V8" t="s">
        <v>2373</v>
      </c>
      <c r="W8" t="s">
        <v>2356</v>
      </c>
      <c r="Y8" t="s">
        <v>2374</v>
      </c>
    </row>
    <row r="9" spans="1:25" x14ac:dyDescent="0.2">
      <c r="D9" t="s">
        <v>2105</v>
      </c>
      <c r="F9" t="s">
        <v>2288</v>
      </c>
      <c r="N9">
        <v>535</v>
      </c>
      <c r="O9" t="s">
        <v>2379</v>
      </c>
      <c r="P9" t="s">
        <v>488</v>
      </c>
      <c r="Q9" t="s">
        <v>1854</v>
      </c>
      <c r="R9" t="s">
        <v>2368</v>
      </c>
      <c r="S9">
        <v>2020</v>
      </c>
      <c r="T9" t="s">
        <v>2371</v>
      </c>
      <c r="U9" t="s">
        <v>2372</v>
      </c>
      <c r="V9" t="s">
        <v>2373</v>
      </c>
      <c r="W9" t="s">
        <v>2356</v>
      </c>
      <c r="Y9" t="s">
        <v>2374</v>
      </c>
    </row>
    <row r="10" spans="1:25" x14ac:dyDescent="0.2">
      <c r="D10" t="s">
        <v>2106</v>
      </c>
      <c r="F10" t="s">
        <v>2289</v>
      </c>
      <c r="N10">
        <v>536</v>
      </c>
      <c r="O10" t="s">
        <v>2380</v>
      </c>
      <c r="P10" t="s">
        <v>488</v>
      </c>
      <c r="Q10" t="s">
        <v>2381</v>
      </c>
      <c r="R10" t="s">
        <v>2368</v>
      </c>
      <c r="S10">
        <v>2020</v>
      </c>
      <c r="T10" t="s">
        <v>2358</v>
      </c>
      <c r="U10" t="s">
        <v>2372</v>
      </c>
      <c r="V10" t="s">
        <v>2373</v>
      </c>
      <c r="W10" t="s">
        <v>2356</v>
      </c>
      <c r="Y10" t="s">
        <v>2374</v>
      </c>
    </row>
    <row r="11" spans="1:25" x14ac:dyDescent="0.2">
      <c r="D11" t="s">
        <v>2107</v>
      </c>
      <c r="F11" t="s">
        <v>2290</v>
      </c>
      <c r="N11">
        <v>537</v>
      </c>
      <c r="O11" t="s">
        <v>2382</v>
      </c>
      <c r="P11" t="s">
        <v>488</v>
      </c>
      <c r="Q11" t="s">
        <v>2383</v>
      </c>
      <c r="R11" t="s">
        <v>2368</v>
      </c>
      <c r="S11">
        <v>2020</v>
      </c>
      <c r="T11" t="s">
        <v>2370</v>
      </c>
      <c r="U11" t="s">
        <v>2372</v>
      </c>
      <c r="V11" t="s">
        <v>2373</v>
      </c>
      <c r="W11" t="s">
        <v>2356</v>
      </c>
      <c r="Y11" t="s">
        <v>2374</v>
      </c>
    </row>
    <row r="12" spans="1:25" x14ac:dyDescent="0.2">
      <c r="D12" t="s">
        <v>2108</v>
      </c>
      <c r="F12" t="s">
        <v>2291</v>
      </c>
      <c r="N12">
        <v>538</v>
      </c>
      <c r="O12" t="s">
        <v>2384</v>
      </c>
      <c r="P12" t="s">
        <v>488</v>
      </c>
      <c r="Q12" t="s">
        <v>2385</v>
      </c>
      <c r="R12" t="s">
        <v>2368</v>
      </c>
      <c r="S12">
        <v>2020</v>
      </c>
      <c r="T12" t="s">
        <v>2370</v>
      </c>
      <c r="U12" t="s">
        <v>2372</v>
      </c>
      <c r="V12" t="s">
        <v>2373</v>
      </c>
      <c r="W12" t="s">
        <v>2356</v>
      </c>
      <c r="Y12" t="s">
        <v>2374</v>
      </c>
    </row>
    <row r="13" spans="1:25" x14ac:dyDescent="0.2">
      <c r="D13" t="s">
        <v>2109</v>
      </c>
      <c r="F13" t="s">
        <v>2292</v>
      </c>
      <c r="N13">
        <v>539</v>
      </c>
      <c r="O13" t="s">
        <v>2386</v>
      </c>
      <c r="P13" t="s">
        <v>488</v>
      </c>
      <c r="Q13" t="s">
        <v>2387</v>
      </c>
      <c r="R13" t="s">
        <v>2368</v>
      </c>
      <c r="S13">
        <v>2020</v>
      </c>
      <c r="T13" t="s">
        <v>2358</v>
      </c>
      <c r="U13" t="s">
        <v>2372</v>
      </c>
      <c r="V13" t="s">
        <v>2373</v>
      </c>
      <c r="W13" t="s">
        <v>2356</v>
      </c>
      <c r="Y13" t="s">
        <v>2377</v>
      </c>
    </row>
    <row r="14" spans="1:25" x14ac:dyDescent="0.2">
      <c r="D14" t="s">
        <v>2110</v>
      </c>
      <c r="N14">
        <v>550</v>
      </c>
      <c r="O14" t="s">
        <v>2388</v>
      </c>
      <c r="P14" t="s">
        <v>488</v>
      </c>
      <c r="Q14" t="s">
        <v>2389</v>
      </c>
      <c r="R14" t="s">
        <v>2368</v>
      </c>
      <c r="S14">
        <v>2019</v>
      </c>
      <c r="T14" t="s">
        <v>2371</v>
      </c>
      <c r="U14" t="s">
        <v>2372</v>
      </c>
      <c r="V14" t="s">
        <v>2373</v>
      </c>
      <c r="W14" t="s">
        <v>2356</v>
      </c>
      <c r="Y14" t="s">
        <v>2359</v>
      </c>
    </row>
    <row r="15" spans="1:25" x14ac:dyDescent="0.2">
      <c r="D15" t="s">
        <v>2111</v>
      </c>
      <c r="F15" s="25" t="s">
        <v>2296</v>
      </c>
      <c r="N15">
        <v>551</v>
      </c>
      <c r="O15" t="s">
        <v>2390</v>
      </c>
      <c r="P15" t="s">
        <v>488</v>
      </c>
      <c r="Q15" t="s">
        <v>2391</v>
      </c>
      <c r="R15" t="s">
        <v>2368</v>
      </c>
      <c r="S15">
        <v>2019</v>
      </c>
      <c r="T15" t="s">
        <v>2371</v>
      </c>
      <c r="U15" t="s">
        <v>2372</v>
      </c>
      <c r="V15" t="s">
        <v>2373</v>
      </c>
      <c r="W15" t="s">
        <v>2356</v>
      </c>
      <c r="Y15" t="s">
        <v>2374</v>
      </c>
    </row>
    <row r="16" spans="1:25" x14ac:dyDescent="0.2">
      <c r="D16" t="s">
        <v>2112</v>
      </c>
      <c r="F16">
        <v>0</v>
      </c>
      <c r="N16">
        <v>552</v>
      </c>
      <c r="O16" t="s">
        <v>2392</v>
      </c>
      <c r="P16" t="s">
        <v>488</v>
      </c>
      <c r="Q16" t="s">
        <v>2393</v>
      </c>
      <c r="R16" t="s">
        <v>2357</v>
      </c>
      <c r="S16">
        <v>2020</v>
      </c>
      <c r="T16" t="s">
        <v>2371</v>
      </c>
      <c r="U16" t="s">
        <v>2372</v>
      </c>
      <c r="V16" t="s">
        <v>2373</v>
      </c>
      <c r="W16" t="s">
        <v>2356</v>
      </c>
      <c r="Y16" t="s">
        <v>2376</v>
      </c>
    </row>
    <row r="17" spans="4:25" x14ac:dyDescent="0.2">
      <c r="D17" t="s">
        <v>2113</v>
      </c>
      <c r="N17">
        <v>553</v>
      </c>
      <c r="O17" t="s">
        <v>2394</v>
      </c>
      <c r="P17" t="s">
        <v>488</v>
      </c>
      <c r="Q17" t="s">
        <v>2395</v>
      </c>
      <c r="R17" t="s">
        <v>2357</v>
      </c>
      <c r="S17">
        <v>2020</v>
      </c>
      <c r="T17" t="s">
        <v>2370</v>
      </c>
      <c r="U17" t="s">
        <v>2372</v>
      </c>
      <c r="V17" t="s">
        <v>2373</v>
      </c>
      <c r="W17" t="s">
        <v>2356</v>
      </c>
      <c r="Y17" t="s">
        <v>2376</v>
      </c>
    </row>
    <row r="18" spans="4:25" x14ac:dyDescent="0.2">
      <c r="D18" t="s">
        <v>2114</v>
      </c>
      <c r="N18">
        <v>554</v>
      </c>
      <c r="O18" t="s">
        <v>2396</v>
      </c>
      <c r="P18" t="s">
        <v>488</v>
      </c>
      <c r="Q18" t="s">
        <v>2397</v>
      </c>
      <c r="R18" t="s">
        <v>2357</v>
      </c>
      <c r="S18">
        <v>2020</v>
      </c>
      <c r="T18" t="s">
        <v>2370</v>
      </c>
      <c r="U18" t="s">
        <v>2372</v>
      </c>
      <c r="V18" t="s">
        <v>2373</v>
      </c>
      <c r="W18" t="s">
        <v>2356</v>
      </c>
      <c r="Y18" t="s">
        <v>2376</v>
      </c>
    </row>
    <row r="19" spans="4:25" x14ac:dyDescent="0.2">
      <c r="D19" t="s">
        <v>2115</v>
      </c>
      <c r="N19">
        <v>540</v>
      </c>
      <c r="O19" t="s">
        <v>2398</v>
      </c>
      <c r="P19" t="s">
        <v>488</v>
      </c>
      <c r="Q19" t="s">
        <v>2399</v>
      </c>
      <c r="R19" t="s">
        <v>2369</v>
      </c>
      <c r="S19">
        <v>2021</v>
      </c>
      <c r="T19" t="s">
        <v>2371</v>
      </c>
      <c r="U19" t="s">
        <v>2372</v>
      </c>
      <c r="V19" t="s">
        <v>2373</v>
      </c>
      <c r="W19" t="s">
        <v>2356</v>
      </c>
      <c r="Y19" t="s">
        <v>2375</v>
      </c>
    </row>
    <row r="20" spans="4:25" x14ac:dyDescent="0.2">
      <c r="D20" t="s">
        <v>2116</v>
      </c>
      <c r="N20">
        <v>541</v>
      </c>
      <c r="O20" t="s">
        <v>2400</v>
      </c>
      <c r="P20" t="s">
        <v>488</v>
      </c>
      <c r="Q20" t="s">
        <v>2401</v>
      </c>
      <c r="R20" t="s">
        <v>2369</v>
      </c>
      <c r="S20">
        <v>2021</v>
      </c>
      <c r="T20" t="s">
        <v>2371</v>
      </c>
      <c r="U20" t="s">
        <v>2372</v>
      </c>
      <c r="V20" t="s">
        <v>2373</v>
      </c>
      <c r="W20" t="s">
        <v>2356</v>
      </c>
      <c r="Y20" t="s">
        <v>2377</v>
      </c>
    </row>
    <row r="21" spans="4:25" x14ac:dyDescent="0.2">
      <c r="D21" t="s">
        <v>2117</v>
      </c>
    </row>
    <row r="22" spans="4:25" x14ac:dyDescent="0.2">
      <c r="D22" t="s">
        <v>2118</v>
      </c>
    </row>
    <row r="23" spans="4:25" x14ac:dyDescent="0.2">
      <c r="D23" t="s">
        <v>2119</v>
      </c>
    </row>
    <row r="24" spans="4:25" x14ac:dyDescent="0.2">
      <c r="D24" t="s">
        <v>2120</v>
      </c>
    </row>
    <row r="25" spans="4:25" x14ac:dyDescent="0.2">
      <c r="D25" t="s">
        <v>2121</v>
      </c>
    </row>
    <row r="26" spans="4:25" x14ac:dyDescent="0.2">
      <c r="D26" t="s">
        <v>2122</v>
      </c>
    </row>
    <row r="27" spans="4:25" x14ac:dyDescent="0.2">
      <c r="D27" t="s">
        <v>2123</v>
      </c>
    </row>
    <row r="28" spans="4:25" x14ac:dyDescent="0.2">
      <c r="D28" t="s">
        <v>2124</v>
      </c>
    </row>
    <row r="29" spans="4:25" x14ac:dyDescent="0.2">
      <c r="D29" t="s">
        <v>2125</v>
      </c>
    </row>
    <row r="30" spans="4:25" x14ac:dyDescent="0.2">
      <c r="D30" t="s">
        <v>2126</v>
      </c>
    </row>
    <row r="31" spans="4:25" x14ac:dyDescent="0.2">
      <c r="D31" t="s">
        <v>2127</v>
      </c>
    </row>
    <row r="32" spans="4:25" x14ac:dyDescent="0.2">
      <c r="D32" t="s">
        <v>2128</v>
      </c>
    </row>
    <row r="33" spans="4:4" x14ac:dyDescent="0.2">
      <c r="D33" t="s">
        <v>2129</v>
      </c>
    </row>
    <row r="34" spans="4:4" x14ac:dyDescent="0.2">
      <c r="D34" t="s">
        <v>2130</v>
      </c>
    </row>
    <row r="35" spans="4:4" x14ac:dyDescent="0.2">
      <c r="D35" t="s">
        <v>2131</v>
      </c>
    </row>
    <row r="36" spans="4:4" x14ac:dyDescent="0.2">
      <c r="D36" t="s">
        <v>2132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O470"/>
  <sheetViews>
    <sheetView topLeftCell="E1" workbookViewId="0">
      <pane ySplit="1" topLeftCell="A3" activePane="bottomLeft" state="frozen"/>
      <selection pane="bottomLeft" activeCell="O3" sqref="O3"/>
    </sheetView>
  </sheetViews>
  <sheetFormatPr defaultColWidth="8.77734375" defaultRowHeight="13.2" x14ac:dyDescent="0.2"/>
  <cols>
    <col min="1" max="1" width="31.109375" style="22" bestFit="1" customWidth="1"/>
    <col min="2" max="2" width="8" style="22" bestFit="1" customWidth="1"/>
    <col min="3" max="3" width="5.77734375" style="22" bestFit="1" customWidth="1"/>
    <col min="4" max="4" width="15.88671875" style="22" bestFit="1" customWidth="1"/>
    <col min="5" max="5" width="13.77734375" style="22" bestFit="1" customWidth="1"/>
    <col min="6" max="6" width="39.77734375" style="22" bestFit="1" customWidth="1"/>
    <col min="7" max="7" width="12.5546875" style="22" bestFit="1" customWidth="1"/>
    <col min="8" max="8" width="15" style="22" bestFit="1" customWidth="1"/>
    <col min="9" max="9" width="49.5546875" style="22" bestFit="1" customWidth="1"/>
    <col min="10" max="10" width="2.6640625" style="22" customWidth="1"/>
    <col min="11" max="15" width="14.33203125" style="22" customWidth="1"/>
    <col min="16" max="16384" width="8.77734375" style="22"/>
  </cols>
  <sheetData>
    <row r="1" spans="1:15" s="21" customFormat="1" x14ac:dyDescent="0.2">
      <c r="A1" s="21" t="s">
        <v>2136</v>
      </c>
      <c r="B1" s="21" t="s">
        <v>2137</v>
      </c>
      <c r="C1" s="21" t="s">
        <v>2138</v>
      </c>
      <c r="D1" s="21" t="s">
        <v>2139</v>
      </c>
      <c r="E1" s="21" t="s">
        <v>2140</v>
      </c>
      <c r="F1" s="21" t="s">
        <v>2141</v>
      </c>
      <c r="G1" s="21" t="s">
        <v>2142</v>
      </c>
      <c r="H1" s="21" t="s">
        <v>2143</v>
      </c>
      <c r="I1" s="21" t="s">
        <v>2144</v>
      </c>
      <c r="J1" s="43"/>
      <c r="K1" s="21" t="s">
        <v>2404</v>
      </c>
      <c r="L1" s="21" t="s">
        <v>2412</v>
      </c>
      <c r="M1" s="21" t="s">
        <v>2406</v>
      </c>
      <c r="N1" s="21" t="s">
        <v>2416</v>
      </c>
      <c r="O1" s="21" t="s">
        <v>2408</v>
      </c>
    </row>
    <row r="2" spans="1:15" x14ac:dyDescent="0.2">
      <c r="A2" s="22" t="s">
        <v>2300</v>
      </c>
      <c r="B2" s="22" t="s">
        <v>2145</v>
      </c>
      <c r="C2" s="22">
        <v>2019</v>
      </c>
      <c r="D2" s="22" t="s">
        <v>2151</v>
      </c>
      <c r="E2" s="22" t="s">
        <v>2162</v>
      </c>
      <c r="F2" s="22" t="s">
        <v>2166</v>
      </c>
      <c r="G2" s="22" t="s">
        <v>2216</v>
      </c>
      <c r="I2" s="22" t="s">
        <v>2220</v>
      </c>
      <c r="J2" s="44"/>
      <c r="K2" s="22" t="s">
        <v>2426</v>
      </c>
    </row>
    <row r="3" spans="1:15" x14ac:dyDescent="0.2">
      <c r="A3" s="22" t="s">
        <v>2301</v>
      </c>
      <c r="B3" s="22" t="s">
        <v>2146</v>
      </c>
      <c r="C3" s="22">
        <v>2020</v>
      </c>
      <c r="D3" s="22" t="s">
        <v>2152</v>
      </c>
      <c r="E3" s="22" t="s">
        <v>2163</v>
      </c>
      <c r="F3" s="22" t="s">
        <v>2167</v>
      </c>
      <c r="G3" s="22" t="s">
        <v>2217</v>
      </c>
      <c r="H3" s="22" t="s">
        <v>2294</v>
      </c>
      <c r="I3" s="22" t="s">
        <v>2221</v>
      </c>
      <c r="J3" s="44"/>
      <c r="K3" s="22" t="s">
        <v>2425</v>
      </c>
      <c r="L3" s="22" t="s">
        <v>2433</v>
      </c>
      <c r="M3" s="22" t="s">
        <v>2419</v>
      </c>
      <c r="N3" s="22" t="s">
        <v>2423</v>
      </c>
      <c r="O3" s="22" t="s">
        <v>2456</v>
      </c>
    </row>
    <row r="4" spans="1:15" x14ac:dyDescent="0.2">
      <c r="A4" s="22" t="s">
        <v>2302</v>
      </c>
      <c r="B4" s="22" t="s">
        <v>2147</v>
      </c>
      <c r="C4" s="22">
        <v>2021</v>
      </c>
      <c r="D4" s="22" t="s">
        <v>2153</v>
      </c>
      <c r="E4" s="22" t="s">
        <v>2164</v>
      </c>
      <c r="F4" s="22" t="s">
        <v>2168</v>
      </c>
      <c r="G4" s="22" t="s">
        <v>2218</v>
      </c>
      <c r="H4" s="22" t="s">
        <v>2295</v>
      </c>
      <c r="I4" s="22" t="s">
        <v>2222</v>
      </c>
      <c r="J4" s="44"/>
      <c r="K4" s="22" t="s">
        <v>2427</v>
      </c>
      <c r="L4" s="22" t="s">
        <v>2434</v>
      </c>
      <c r="M4" s="22" t="s">
        <v>1097</v>
      </c>
      <c r="N4" s="22" t="s">
        <v>2421</v>
      </c>
      <c r="O4" s="22" t="s">
        <v>2457</v>
      </c>
    </row>
    <row r="5" spans="1:15" x14ac:dyDescent="0.2">
      <c r="A5" s="22" t="s">
        <v>2303</v>
      </c>
      <c r="B5" s="22" t="s">
        <v>2148</v>
      </c>
      <c r="C5" s="22">
        <v>2022</v>
      </c>
      <c r="D5" s="22" t="s">
        <v>2154</v>
      </c>
      <c r="E5" s="22" t="s">
        <v>2165</v>
      </c>
      <c r="F5" s="22" t="s">
        <v>2169</v>
      </c>
      <c r="G5" s="22" t="s">
        <v>2299</v>
      </c>
      <c r="H5" s="22" t="s">
        <v>2297</v>
      </c>
      <c r="I5" s="22" t="s">
        <v>2223</v>
      </c>
      <c r="J5" s="44"/>
      <c r="K5" s="22" t="s">
        <v>2428</v>
      </c>
      <c r="L5" s="22" t="s">
        <v>2435</v>
      </c>
      <c r="M5" s="22" t="s">
        <v>1214</v>
      </c>
      <c r="O5" s="22" t="s">
        <v>2458</v>
      </c>
    </row>
    <row r="6" spans="1:15" x14ac:dyDescent="0.2">
      <c r="A6" s="22" t="s">
        <v>2304</v>
      </c>
      <c r="B6" s="22" t="s">
        <v>2149</v>
      </c>
      <c r="C6" s="22">
        <v>2023</v>
      </c>
      <c r="D6" s="22" t="s">
        <v>2155</v>
      </c>
      <c r="F6" s="22" t="s">
        <v>2170</v>
      </c>
      <c r="G6" s="22" t="s">
        <v>2219</v>
      </c>
      <c r="I6" s="22" t="s">
        <v>2224</v>
      </c>
      <c r="J6" s="44"/>
      <c r="K6" s="22" t="s">
        <v>2429</v>
      </c>
      <c r="L6" s="22" t="s">
        <v>2436</v>
      </c>
      <c r="M6" s="22" t="s">
        <v>945</v>
      </c>
      <c r="O6" s="22" t="s">
        <v>2459</v>
      </c>
    </row>
    <row r="7" spans="1:15" x14ac:dyDescent="0.2">
      <c r="A7" s="22" t="s">
        <v>2305</v>
      </c>
      <c r="B7" s="22" t="s">
        <v>2150</v>
      </c>
      <c r="D7" s="22" t="s">
        <v>2156</v>
      </c>
      <c r="F7" s="22" t="s">
        <v>2171</v>
      </c>
      <c r="I7" s="22" t="s">
        <v>2225</v>
      </c>
      <c r="J7" s="44"/>
      <c r="K7" s="22" t="s">
        <v>2430</v>
      </c>
      <c r="L7" s="22" t="s">
        <v>2437</v>
      </c>
      <c r="M7" s="22" t="s">
        <v>2418</v>
      </c>
      <c r="O7" s="22" t="s">
        <v>2460</v>
      </c>
    </row>
    <row r="8" spans="1:15" x14ac:dyDescent="0.2">
      <c r="A8" s="22" t="s">
        <v>2306</v>
      </c>
      <c r="B8" s="22" t="s">
        <v>2298</v>
      </c>
      <c r="D8" s="22" t="s">
        <v>2157</v>
      </c>
      <c r="F8" s="22" t="s">
        <v>2172</v>
      </c>
      <c r="I8" s="22" t="s">
        <v>2226</v>
      </c>
      <c r="J8" s="44"/>
      <c r="K8" s="22" t="s">
        <v>2431</v>
      </c>
      <c r="L8" s="22" t="s">
        <v>2438</v>
      </c>
      <c r="O8" s="22" t="s">
        <v>2461</v>
      </c>
    </row>
    <row r="9" spans="1:15" x14ac:dyDescent="0.2">
      <c r="A9" s="22" t="s">
        <v>2307</v>
      </c>
      <c r="D9" s="22" t="s">
        <v>2158</v>
      </c>
      <c r="F9" s="22" t="s">
        <v>2173</v>
      </c>
      <c r="I9" s="22" t="s">
        <v>2227</v>
      </c>
      <c r="J9" s="44"/>
      <c r="K9" s="22" t="s">
        <v>2432</v>
      </c>
      <c r="L9" s="22" t="s">
        <v>2420</v>
      </c>
      <c r="O9" s="22" t="s">
        <v>2462</v>
      </c>
    </row>
    <row r="10" spans="1:15" x14ac:dyDescent="0.2">
      <c r="A10" s="22" t="s">
        <v>2308</v>
      </c>
      <c r="D10" s="22" t="s">
        <v>2159</v>
      </c>
      <c r="F10" s="22" t="s">
        <v>2174</v>
      </c>
      <c r="I10" s="22" t="s">
        <v>2228</v>
      </c>
      <c r="J10" s="44"/>
      <c r="L10" s="22" t="s">
        <v>2439</v>
      </c>
      <c r="O10" s="22" t="s">
        <v>2463</v>
      </c>
    </row>
    <row r="11" spans="1:15" x14ac:dyDescent="0.2">
      <c r="A11" s="22" t="s">
        <v>2309</v>
      </c>
      <c r="D11" s="22" t="s">
        <v>2160</v>
      </c>
      <c r="F11" s="22" t="s">
        <v>2175</v>
      </c>
      <c r="I11" s="22" t="s">
        <v>2229</v>
      </c>
      <c r="J11" s="44"/>
      <c r="L11" s="22" t="s">
        <v>2440</v>
      </c>
      <c r="O11" s="22" t="s">
        <v>2464</v>
      </c>
    </row>
    <row r="12" spans="1:15" x14ac:dyDescent="0.2">
      <c r="A12" s="22" t="s">
        <v>2310</v>
      </c>
      <c r="D12" s="22" t="s">
        <v>2161</v>
      </c>
      <c r="F12" s="22" t="s">
        <v>2176</v>
      </c>
      <c r="I12" s="22" t="s">
        <v>2230</v>
      </c>
      <c r="J12" s="44"/>
      <c r="L12" s="22" t="s">
        <v>2441</v>
      </c>
      <c r="O12" s="22" t="s">
        <v>2465</v>
      </c>
    </row>
    <row r="13" spans="1:15" x14ac:dyDescent="0.2">
      <c r="A13" s="22" t="s">
        <v>2311</v>
      </c>
      <c r="F13" s="22" t="s">
        <v>2177</v>
      </c>
      <c r="I13" s="22" t="s">
        <v>2231</v>
      </c>
      <c r="J13" s="44"/>
      <c r="L13" s="22" t="s">
        <v>2442</v>
      </c>
      <c r="O13" s="22" t="s">
        <v>2466</v>
      </c>
    </row>
    <row r="14" spans="1:15" x14ac:dyDescent="0.2">
      <c r="A14" s="22" t="s">
        <v>2312</v>
      </c>
      <c r="F14" s="22" t="s">
        <v>2178</v>
      </c>
      <c r="I14" s="22" t="s">
        <v>2232</v>
      </c>
      <c r="J14" s="44"/>
      <c r="L14" s="22" t="s">
        <v>2443</v>
      </c>
      <c r="O14" s="22" t="s">
        <v>2467</v>
      </c>
    </row>
    <row r="15" spans="1:15" x14ac:dyDescent="0.2">
      <c r="A15" s="22" t="s">
        <v>2313</v>
      </c>
      <c r="F15" s="22" t="s">
        <v>2179</v>
      </c>
      <c r="I15" s="22" t="s">
        <v>2233</v>
      </c>
      <c r="J15" s="44"/>
      <c r="L15" s="22" t="s">
        <v>2444</v>
      </c>
      <c r="O15" s="22" t="s">
        <v>2468</v>
      </c>
    </row>
    <row r="16" spans="1:15" x14ac:dyDescent="0.2">
      <c r="A16" s="22" t="s">
        <v>2355</v>
      </c>
      <c r="F16" s="22" t="s">
        <v>2180</v>
      </c>
      <c r="I16" s="22" t="s">
        <v>2234</v>
      </c>
      <c r="J16" s="44"/>
      <c r="L16" s="22" t="s">
        <v>2445</v>
      </c>
      <c r="O16" s="22" t="s">
        <v>2469</v>
      </c>
    </row>
    <row r="17" spans="1:15" x14ac:dyDescent="0.2">
      <c r="A17" s="22" t="s">
        <v>2314</v>
      </c>
      <c r="F17" s="22" t="s">
        <v>2181</v>
      </c>
      <c r="I17" s="22" t="s">
        <v>2235</v>
      </c>
      <c r="J17" s="44"/>
      <c r="L17" s="22" t="s">
        <v>2446</v>
      </c>
      <c r="O17" s="22" t="s">
        <v>2470</v>
      </c>
    </row>
    <row r="18" spans="1:15" x14ac:dyDescent="0.2">
      <c r="A18" s="22" t="s">
        <v>2315</v>
      </c>
      <c r="F18" s="22" t="s">
        <v>2182</v>
      </c>
      <c r="I18" s="22" t="s">
        <v>2236</v>
      </c>
      <c r="J18" s="44"/>
      <c r="L18" s="22" t="s">
        <v>2447</v>
      </c>
      <c r="O18" s="22" t="s">
        <v>2471</v>
      </c>
    </row>
    <row r="19" spans="1:15" x14ac:dyDescent="0.2">
      <c r="A19" s="22" t="s">
        <v>2316</v>
      </c>
      <c r="F19" s="22" t="s">
        <v>2183</v>
      </c>
      <c r="I19" s="22" t="s">
        <v>2237</v>
      </c>
      <c r="J19" s="44"/>
      <c r="L19" s="22" t="s">
        <v>2448</v>
      </c>
      <c r="O19" s="22" t="s">
        <v>2472</v>
      </c>
    </row>
    <row r="20" spans="1:15" x14ac:dyDescent="0.2">
      <c r="A20" s="22" t="s">
        <v>2317</v>
      </c>
      <c r="F20" s="22" t="s">
        <v>2184</v>
      </c>
      <c r="I20" s="22" t="s">
        <v>2238</v>
      </c>
      <c r="J20" s="44"/>
      <c r="L20" s="22" t="s">
        <v>2449</v>
      </c>
      <c r="O20" s="22" t="s">
        <v>2473</v>
      </c>
    </row>
    <row r="21" spans="1:15" x14ac:dyDescent="0.2">
      <c r="A21" s="22" t="s">
        <v>2318</v>
      </c>
      <c r="F21" s="22" t="s">
        <v>2185</v>
      </c>
      <c r="I21" s="22" t="s">
        <v>2239</v>
      </c>
      <c r="J21" s="44"/>
      <c r="L21" s="22" t="s">
        <v>2450</v>
      </c>
      <c r="O21" s="22" t="s">
        <v>2474</v>
      </c>
    </row>
    <row r="22" spans="1:15" x14ac:dyDescent="0.2">
      <c r="A22" s="22" t="s">
        <v>2319</v>
      </c>
      <c r="F22" s="22" t="s">
        <v>2186</v>
      </c>
      <c r="I22" s="22" t="s">
        <v>2240</v>
      </c>
      <c r="J22" s="44"/>
      <c r="L22" s="22" t="s">
        <v>2451</v>
      </c>
      <c r="O22" s="22" t="s">
        <v>2475</v>
      </c>
    </row>
    <row r="23" spans="1:15" x14ac:dyDescent="0.2">
      <c r="A23" s="22" t="s">
        <v>2320</v>
      </c>
      <c r="F23" s="22" t="s">
        <v>2187</v>
      </c>
      <c r="I23" s="22" t="s">
        <v>2241</v>
      </c>
      <c r="J23" s="44"/>
      <c r="L23" s="22" t="s">
        <v>2452</v>
      </c>
      <c r="O23" s="22" t="s">
        <v>2476</v>
      </c>
    </row>
    <row r="24" spans="1:15" x14ac:dyDescent="0.2">
      <c r="A24" s="22" t="s">
        <v>2321</v>
      </c>
      <c r="F24" s="22" t="s">
        <v>2188</v>
      </c>
      <c r="I24" s="22" t="s">
        <v>2242</v>
      </c>
      <c r="J24" s="44"/>
      <c r="L24" s="22" t="s">
        <v>2453</v>
      </c>
      <c r="O24" s="22" t="s">
        <v>2477</v>
      </c>
    </row>
    <row r="25" spans="1:15" x14ac:dyDescent="0.2">
      <c r="A25" s="22" t="s">
        <v>2322</v>
      </c>
      <c r="F25" s="22" t="s">
        <v>2189</v>
      </c>
      <c r="I25" s="22" t="s">
        <v>2243</v>
      </c>
      <c r="J25" s="44"/>
      <c r="L25" s="22" t="s">
        <v>2454</v>
      </c>
      <c r="O25" s="22" t="s">
        <v>2478</v>
      </c>
    </row>
    <row r="26" spans="1:15" x14ac:dyDescent="0.2">
      <c r="A26" s="22" t="s">
        <v>2323</v>
      </c>
      <c r="F26" s="22" t="s">
        <v>2190</v>
      </c>
      <c r="I26" s="22" t="s">
        <v>2244</v>
      </c>
      <c r="J26" s="44"/>
      <c r="L26" s="22" t="s">
        <v>2455</v>
      </c>
      <c r="O26" s="22" t="s">
        <v>2479</v>
      </c>
    </row>
    <row r="27" spans="1:15" x14ac:dyDescent="0.2">
      <c r="A27" s="22" t="s">
        <v>2324</v>
      </c>
      <c r="F27" s="22" t="s">
        <v>2191</v>
      </c>
      <c r="I27" s="22" t="s">
        <v>2245</v>
      </c>
      <c r="J27" s="44"/>
      <c r="O27" s="22" t="s">
        <v>2480</v>
      </c>
    </row>
    <row r="28" spans="1:15" x14ac:dyDescent="0.2">
      <c r="A28" s="22" t="s">
        <v>2325</v>
      </c>
      <c r="F28" s="22" t="s">
        <v>2192</v>
      </c>
      <c r="I28" s="22" t="s">
        <v>2246</v>
      </c>
      <c r="J28" s="44"/>
      <c r="O28" s="22" t="s">
        <v>2481</v>
      </c>
    </row>
    <row r="29" spans="1:15" x14ac:dyDescent="0.2">
      <c r="A29" s="22" t="s">
        <v>2326</v>
      </c>
      <c r="F29" s="22" t="s">
        <v>2193</v>
      </c>
      <c r="I29" s="22" t="s">
        <v>2247</v>
      </c>
      <c r="J29" s="44"/>
      <c r="O29" s="22" t="s">
        <v>2482</v>
      </c>
    </row>
    <row r="30" spans="1:15" x14ac:dyDescent="0.2">
      <c r="A30" s="22" t="s">
        <v>2354</v>
      </c>
      <c r="F30" s="22" t="s">
        <v>2194</v>
      </c>
      <c r="I30" s="22" t="s">
        <v>2248</v>
      </c>
      <c r="J30" s="44"/>
      <c r="O30" s="22" t="s">
        <v>2483</v>
      </c>
    </row>
    <row r="31" spans="1:15" x14ac:dyDescent="0.2">
      <c r="A31" s="22" t="s">
        <v>2327</v>
      </c>
      <c r="F31" s="22" t="s">
        <v>2195</v>
      </c>
      <c r="I31" s="22" t="s">
        <v>2249</v>
      </c>
      <c r="J31" s="44"/>
      <c r="O31" s="22" t="s">
        <v>2484</v>
      </c>
    </row>
    <row r="32" spans="1:15" x14ac:dyDescent="0.2">
      <c r="A32" s="22" t="s">
        <v>2328</v>
      </c>
      <c r="F32" s="22" t="s">
        <v>2196</v>
      </c>
      <c r="I32" s="22" t="s">
        <v>2250</v>
      </c>
      <c r="J32" s="44"/>
      <c r="O32" s="22" t="s">
        <v>2485</v>
      </c>
    </row>
    <row r="33" spans="1:15" x14ac:dyDescent="0.2">
      <c r="A33" s="22" t="s">
        <v>2329</v>
      </c>
      <c r="F33" s="22" t="s">
        <v>2197</v>
      </c>
      <c r="I33" s="22" t="s">
        <v>2251</v>
      </c>
      <c r="J33" s="44"/>
      <c r="O33" s="22" t="s">
        <v>2486</v>
      </c>
    </row>
    <row r="34" spans="1:15" x14ac:dyDescent="0.2">
      <c r="A34" s="22" t="s">
        <v>2330</v>
      </c>
      <c r="F34" s="22" t="s">
        <v>2198</v>
      </c>
      <c r="I34" s="22" t="s">
        <v>2252</v>
      </c>
      <c r="J34" s="44"/>
      <c r="O34" s="22" t="s">
        <v>2487</v>
      </c>
    </row>
    <row r="35" spans="1:15" x14ac:dyDescent="0.2">
      <c r="A35" s="22" t="s">
        <v>2331</v>
      </c>
      <c r="F35" s="22" t="s">
        <v>2199</v>
      </c>
      <c r="I35" s="22" t="s">
        <v>2253</v>
      </c>
      <c r="J35" s="44"/>
      <c r="O35" s="22" t="s">
        <v>2488</v>
      </c>
    </row>
    <row r="36" spans="1:15" x14ac:dyDescent="0.2">
      <c r="A36" s="22" t="s">
        <v>2332</v>
      </c>
      <c r="F36" s="22" t="s">
        <v>2200</v>
      </c>
      <c r="I36" s="22" t="s">
        <v>2254</v>
      </c>
      <c r="J36" s="44"/>
      <c r="O36" s="22" t="s">
        <v>2489</v>
      </c>
    </row>
    <row r="37" spans="1:15" x14ac:dyDescent="0.2">
      <c r="A37" s="22" t="s">
        <v>2333</v>
      </c>
      <c r="F37" s="22" t="s">
        <v>2201</v>
      </c>
      <c r="I37" s="22" t="s">
        <v>2255</v>
      </c>
      <c r="J37" s="44"/>
      <c r="O37" s="22" t="s">
        <v>2490</v>
      </c>
    </row>
    <row r="38" spans="1:15" x14ac:dyDescent="0.2">
      <c r="A38" s="22" t="s">
        <v>2334</v>
      </c>
      <c r="F38" s="22" t="s">
        <v>2202</v>
      </c>
      <c r="I38" s="22" t="s">
        <v>2256</v>
      </c>
      <c r="J38" s="44"/>
      <c r="O38" s="22" t="s">
        <v>2491</v>
      </c>
    </row>
    <row r="39" spans="1:15" x14ac:dyDescent="0.2">
      <c r="A39" s="22" t="s">
        <v>2335</v>
      </c>
      <c r="F39" s="22" t="s">
        <v>2203</v>
      </c>
      <c r="I39" s="22" t="s">
        <v>2257</v>
      </c>
      <c r="J39" s="44"/>
      <c r="O39" s="22" t="s">
        <v>2492</v>
      </c>
    </row>
    <row r="40" spans="1:15" x14ac:dyDescent="0.2">
      <c r="A40" s="22" t="s">
        <v>2336</v>
      </c>
      <c r="F40" s="22" t="s">
        <v>2204</v>
      </c>
      <c r="I40" s="22" t="s">
        <v>2258</v>
      </c>
      <c r="J40" s="44"/>
      <c r="O40" s="22" t="s">
        <v>2493</v>
      </c>
    </row>
    <row r="41" spans="1:15" x14ac:dyDescent="0.2">
      <c r="A41" s="22" t="s">
        <v>2337</v>
      </c>
      <c r="F41" s="22" t="s">
        <v>2205</v>
      </c>
      <c r="I41" s="22" t="s">
        <v>2259</v>
      </c>
      <c r="J41" s="44"/>
      <c r="O41" s="22" t="s">
        <v>2494</v>
      </c>
    </row>
    <row r="42" spans="1:15" x14ac:dyDescent="0.2">
      <c r="A42" s="22" t="s">
        <v>2338</v>
      </c>
      <c r="F42" s="22" t="s">
        <v>2206</v>
      </c>
      <c r="I42" s="22" t="s">
        <v>2260</v>
      </c>
      <c r="J42" s="44"/>
      <c r="O42" s="22" t="s">
        <v>2495</v>
      </c>
    </row>
    <row r="43" spans="1:15" x14ac:dyDescent="0.2">
      <c r="A43" s="22" t="s">
        <v>2339</v>
      </c>
      <c r="F43" s="22" t="s">
        <v>2207</v>
      </c>
      <c r="I43" s="22" t="s">
        <v>2261</v>
      </c>
      <c r="J43" s="44"/>
      <c r="O43" s="22" t="s">
        <v>2496</v>
      </c>
    </row>
    <row r="44" spans="1:15" x14ac:dyDescent="0.2">
      <c r="A44" s="22" t="s">
        <v>2340</v>
      </c>
      <c r="F44" s="22" t="s">
        <v>2208</v>
      </c>
      <c r="I44" s="22" t="s">
        <v>2262</v>
      </c>
      <c r="J44" s="44"/>
      <c r="O44" s="22" t="s">
        <v>2497</v>
      </c>
    </row>
    <row r="45" spans="1:15" x14ac:dyDescent="0.2">
      <c r="A45" s="22" t="s">
        <v>2341</v>
      </c>
      <c r="F45" s="22" t="s">
        <v>2209</v>
      </c>
      <c r="I45" s="22" t="s">
        <v>2263</v>
      </c>
      <c r="J45" s="44"/>
      <c r="O45" s="22" t="s">
        <v>2498</v>
      </c>
    </row>
    <row r="46" spans="1:15" x14ac:dyDescent="0.2">
      <c r="A46" s="22" t="s">
        <v>2342</v>
      </c>
      <c r="F46" s="22" t="s">
        <v>2210</v>
      </c>
      <c r="I46" s="22" t="s">
        <v>2264</v>
      </c>
      <c r="J46" s="44"/>
      <c r="O46" s="22" t="s">
        <v>2499</v>
      </c>
    </row>
    <row r="47" spans="1:15" x14ac:dyDescent="0.2">
      <c r="A47" s="22" t="s">
        <v>2343</v>
      </c>
      <c r="F47" s="22" t="s">
        <v>2211</v>
      </c>
      <c r="I47" s="22" t="s">
        <v>2265</v>
      </c>
      <c r="J47" s="44"/>
      <c r="O47" s="22" t="s">
        <v>2500</v>
      </c>
    </row>
    <row r="48" spans="1:15" x14ac:dyDescent="0.2">
      <c r="A48" s="22" t="s">
        <v>2344</v>
      </c>
      <c r="F48" s="22" t="s">
        <v>2212</v>
      </c>
      <c r="I48" s="22" t="s">
        <v>2266</v>
      </c>
      <c r="J48" s="44"/>
      <c r="O48" s="22" t="s">
        <v>2501</v>
      </c>
    </row>
    <row r="49" spans="1:15" x14ac:dyDescent="0.2">
      <c r="A49" s="22" t="s">
        <v>2345</v>
      </c>
      <c r="F49" s="22" t="s">
        <v>2213</v>
      </c>
      <c r="I49" s="22" t="s">
        <v>2267</v>
      </c>
      <c r="J49" s="44"/>
      <c r="O49" s="22" t="s">
        <v>2502</v>
      </c>
    </row>
    <row r="50" spans="1:15" x14ac:dyDescent="0.2">
      <c r="A50" s="22" t="s">
        <v>2346</v>
      </c>
      <c r="F50" s="22" t="s">
        <v>2214</v>
      </c>
      <c r="I50" s="22" t="s">
        <v>2268</v>
      </c>
      <c r="J50" s="44"/>
      <c r="O50" s="22" t="s">
        <v>2503</v>
      </c>
    </row>
    <row r="51" spans="1:15" x14ac:dyDescent="0.2">
      <c r="A51" s="22" t="s">
        <v>2347</v>
      </c>
      <c r="F51" s="22" t="s">
        <v>2215</v>
      </c>
      <c r="I51" s="22" t="s">
        <v>2269</v>
      </c>
      <c r="J51" s="44"/>
      <c r="O51" s="22" t="s">
        <v>2504</v>
      </c>
    </row>
    <row r="52" spans="1:15" x14ac:dyDescent="0.2">
      <c r="A52" s="22" t="s">
        <v>2348</v>
      </c>
      <c r="I52" s="22" t="s">
        <v>2270</v>
      </c>
      <c r="J52" s="44"/>
      <c r="O52" s="22" t="s">
        <v>2505</v>
      </c>
    </row>
    <row r="53" spans="1:15" x14ac:dyDescent="0.2">
      <c r="A53" s="22" t="s">
        <v>2349</v>
      </c>
      <c r="I53" s="22" t="s">
        <v>2270</v>
      </c>
      <c r="J53" s="44"/>
      <c r="O53" s="22" t="s">
        <v>2506</v>
      </c>
    </row>
    <row r="54" spans="1:15" x14ac:dyDescent="0.2">
      <c r="A54" s="22" t="s">
        <v>2350</v>
      </c>
      <c r="O54" s="22" t="s">
        <v>2507</v>
      </c>
    </row>
    <row r="55" spans="1:15" x14ac:dyDescent="0.2">
      <c r="A55" s="22" t="s">
        <v>2351</v>
      </c>
      <c r="O55" s="22" t="s">
        <v>2508</v>
      </c>
    </row>
    <row r="56" spans="1:15" x14ac:dyDescent="0.2">
      <c r="A56" s="22" t="s">
        <v>2352</v>
      </c>
      <c r="O56" s="22" t="s">
        <v>2509</v>
      </c>
    </row>
    <row r="57" spans="1:15" x14ac:dyDescent="0.2">
      <c r="A57" s="22" t="s">
        <v>2353</v>
      </c>
      <c r="O57" s="22" t="s">
        <v>2510</v>
      </c>
    </row>
    <row r="58" spans="1:15" x14ac:dyDescent="0.2">
      <c r="O58" s="22" t="s">
        <v>2511</v>
      </c>
    </row>
    <row r="59" spans="1:15" x14ac:dyDescent="0.2">
      <c r="O59" s="22" t="s">
        <v>2512</v>
      </c>
    </row>
    <row r="60" spans="1:15" x14ac:dyDescent="0.2">
      <c r="O60" s="22" t="s">
        <v>2513</v>
      </c>
    </row>
    <row r="61" spans="1:15" x14ac:dyDescent="0.2">
      <c r="O61" s="22" t="s">
        <v>2514</v>
      </c>
    </row>
    <row r="62" spans="1:15" x14ac:dyDescent="0.2">
      <c r="O62" s="22" t="s">
        <v>2515</v>
      </c>
    </row>
    <row r="63" spans="1:15" x14ac:dyDescent="0.2">
      <c r="O63" s="22" t="s">
        <v>2516</v>
      </c>
    </row>
    <row r="64" spans="1:15" x14ac:dyDescent="0.2">
      <c r="O64" s="22" t="s">
        <v>2517</v>
      </c>
    </row>
    <row r="65" spans="15:15" x14ac:dyDescent="0.2">
      <c r="O65" s="22" t="s">
        <v>2518</v>
      </c>
    </row>
    <row r="66" spans="15:15" x14ac:dyDescent="0.2">
      <c r="O66" s="22" t="s">
        <v>2519</v>
      </c>
    </row>
    <row r="67" spans="15:15" x14ac:dyDescent="0.2">
      <c r="O67" s="22" t="s">
        <v>2520</v>
      </c>
    </row>
    <row r="68" spans="15:15" x14ac:dyDescent="0.2">
      <c r="O68" s="22" t="s">
        <v>2521</v>
      </c>
    </row>
    <row r="69" spans="15:15" x14ac:dyDescent="0.2">
      <c r="O69" s="22" t="s">
        <v>2522</v>
      </c>
    </row>
    <row r="70" spans="15:15" x14ac:dyDescent="0.2">
      <c r="O70" s="22" t="s">
        <v>2523</v>
      </c>
    </row>
    <row r="71" spans="15:15" x14ac:dyDescent="0.2">
      <c r="O71" s="22" t="s">
        <v>2524</v>
      </c>
    </row>
    <row r="72" spans="15:15" x14ac:dyDescent="0.2">
      <c r="O72" s="22" t="s">
        <v>2525</v>
      </c>
    </row>
    <row r="73" spans="15:15" x14ac:dyDescent="0.2">
      <c r="O73" s="22" t="s">
        <v>2526</v>
      </c>
    </row>
    <row r="74" spans="15:15" x14ac:dyDescent="0.2">
      <c r="O74" s="22" t="s">
        <v>2527</v>
      </c>
    </row>
    <row r="75" spans="15:15" x14ac:dyDescent="0.2">
      <c r="O75" s="22" t="s">
        <v>2528</v>
      </c>
    </row>
    <row r="76" spans="15:15" x14ac:dyDescent="0.2">
      <c r="O76" s="22" t="s">
        <v>2529</v>
      </c>
    </row>
    <row r="77" spans="15:15" x14ac:dyDescent="0.2">
      <c r="O77" s="22" t="s">
        <v>2530</v>
      </c>
    </row>
    <row r="78" spans="15:15" x14ac:dyDescent="0.2">
      <c r="O78" s="22" t="s">
        <v>2531</v>
      </c>
    </row>
    <row r="79" spans="15:15" x14ac:dyDescent="0.2">
      <c r="O79" s="22" t="s">
        <v>2532</v>
      </c>
    </row>
    <row r="80" spans="15:15" x14ac:dyDescent="0.2">
      <c r="O80" s="22" t="s">
        <v>2533</v>
      </c>
    </row>
    <row r="81" spans="15:15" x14ac:dyDescent="0.2">
      <c r="O81" s="22" t="s">
        <v>2534</v>
      </c>
    </row>
    <row r="82" spans="15:15" x14ac:dyDescent="0.2">
      <c r="O82" s="22" t="s">
        <v>2535</v>
      </c>
    </row>
    <row r="83" spans="15:15" x14ac:dyDescent="0.2">
      <c r="O83" s="22" t="s">
        <v>2536</v>
      </c>
    </row>
    <row r="84" spans="15:15" x14ac:dyDescent="0.2">
      <c r="O84" s="22" t="s">
        <v>2537</v>
      </c>
    </row>
    <row r="85" spans="15:15" x14ac:dyDescent="0.2">
      <c r="O85" s="22" t="s">
        <v>2538</v>
      </c>
    </row>
    <row r="86" spans="15:15" x14ac:dyDescent="0.2">
      <c r="O86" s="22" t="s">
        <v>2539</v>
      </c>
    </row>
    <row r="87" spans="15:15" x14ac:dyDescent="0.2">
      <c r="O87" s="22" t="s">
        <v>2540</v>
      </c>
    </row>
    <row r="88" spans="15:15" x14ac:dyDescent="0.2">
      <c r="O88" s="22" t="s">
        <v>2541</v>
      </c>
    </row>
    <row r="89" spans="15:15" x14ac:dyDescent="0.2">
      <c r="O89" s="22" t="s">
        <v>2542</v>
      </c>
    </row>
    <row r="90" spans="15:15" x14ac:dyDescent="0.2">
      <c r="O90" s="22" t="s">
        <v>2543</v>
      </c>
    </row>
    <row r="91" spans="15:15" x14ac:dyDescent="0.2">
      <c r="O91" s="22" t="s">
        <v>2544</v>
      </c>
    </row>
    <row r="92" spans="15:15" x14ac:dyDescent="0.2">
      <c r="O92" s="22" t="s">
        <v>2545</v>
      </c>
    </row>
    <row r="93" spans="15:15" x14ac:dyDescent="0.2">
      <c r="O93" s="22" t="s">
        <v>2546</v>
      </c>
    </row>
    <row r="94" spans="15:15" x14ac:dyDescent="0.2">
      <c r="O94" s="22" t="s">
        <v>2547</v>
      </c>
    </row>
    <row r="95" spans="15:15" x14ac:dyDescent="0.2">
      <c r="O95" s="22" t="s">
        <v>2548</v>
      </c>
    </row>
    <row r="96" spans="15:15" x14ac:dyDescent="0.2">
      <c r="O96" s="22" t="s">
        <v>2549</v>
      </c>
    </row>
    <row r="97" spans="15:15" x14ac:dyDescent="0.2">
      <c r="O97" s="22" t="s">
        <v>2550</v>
      </c>
    </row>
    <row r="98" spans="15:15" x14ac:dyDescent="0.2">
      <c r="O98" s="22" t="s">
        <v>2551</v>
      </c>
    </row>
    <row r="99" spans="15:15" x14ac:dyDescent="0.2">
      <c r="O99" s="22" t="s">
        <v>2552</v>
      </c>
    </row>
    <row r="100" spans="15:15" x14ac:dyDescent="0.2">
      <c r="O100" s="22" t="s">
        <v>2553</v>
      </c>
    </row>
    <row r="101" spans="15:15" x14ac:dyDescent="0.2">
      <c r="O101" s="22" t="s">
        <v>2554</v>
      </c>
    </row>
    <row r="102" spans="15:15" x14ac:dyDescent="0.2">
      <c r="O102" s="22" t="s">
        <v>2555</v>
      </c>
    </row>
    <row r="103" spans="15:15" x14ac:dyDescent="0.2">
      <c r="O103" s="22" t="s">
        <v>2556</v>
      </c>
    </row>
    <row r="104" spans="15:15" x14ac:dyDescent="0.2">
      <c r="O104" s="22" t="s">
        <v>2557</v>
      </c>
    </row>
    <row r="105" spans="15:15" x14ac:dyDescent="0.2">
      <c r="O105" s="22" t="s">
        <v>2558</v>
      </c>
    </row>
    <row r="106" spans="15:15" x14ac:dyDescent="0.2">
      <c r="O106" s="22" t="s">
        <v>2559</v>
      </c>
    </row>
    <row r="107" spans="15:15" x14ac:dyDescent="0.2">
      <c r="O107" s="22" t="s">
        <v>2560</v>
      </c>
    </row>
    <row r="108" spans="15:15" x14ac:dyDescent="0.2">
      <c r="O108" s="22" t="s">
        <v>2561</v>
      </c>
    </row>
    <row r="109" spans="15:15" x14ac:dyDescent="0.2">
      <c r="O109" s="22" t="s">
        <v>2562</v>
      </c>
    </row>
    <row r="110" spans="15:15" x14ac:dyDescent="0.2">
      <c r="O110" s="22" t="s">
        <v>2563</v>
      </c>
    </row>
    <row r="111" spans="15:15" x14ac:dyDescent="0.2">
      <c r="O111" s="22" t="s">
        <v>2564</v>
      </c>
    </row>
    <row r="112" spans="15:15" x14ac:dyDescent="0.2">
      <c r="O112" s="22" t="s">
        <v>2565</v>
      </c>
    </row>
    <row r="113" spans="15:15" x14ac:dyDescent="0.2">
      <c r="O113" s="22" t="s">
        <v>2566</v>
      </c>
    </row>
    <row r="114" spans="15:15" x14ac:dyDescent="0.2">
      <c r="O114" s="22" t="s">
        <v>2567</v>
      </c>
    </row>
    <row r="115" spans="15:15" x14ac:dyDescent="0.2">
      <c r="O115" s="22" t="s">
        <v>2568</v>
      </c>
    </row>
    <row r="116" spans="15:15" x14ac:dyDescent="0.2">
      <c r="O116" s="22" t="s">
        <v>2569</v>
      </c>
    </row>
    <row r="117" spans="15:15" x14ac:dyDescent="0.2">
      <c r="O117" s="22" t="s">
        <v>2570</v>
      </c>
    </row>
    <row r="118" spans="15:15" x14ac:dyDescent="0.2">
      <c r="O118" s="22" t="s">
        <v>2571</v>
      </c>
    </row>
    <row r="119" spans="15:15" x14ac:dyDescent="0.2">
      <c r="O119" s="22" t="s">
        <v>2572</v>
      </c>
    </row>
    <row r="120" spans="15:15" x14ac:dyDescent="0.2">
      <c r="O120" s="22" t="s">
        <v>2573</v>
      </c>
    </row>
    <row r="121" spans="15:15" x14ac:dyDescent="0.2">
      <c r="O121" s="22" t="s">
        <v>2574</v>
      </c>
    </row>
    <row r="122" spans="15:15" x14ac:dyDescent="0.2">
      <c r="O122" s="22" t="s">
        <v>2575</v>
      </c>
    </row>
    <row r="123" spans="15:15" x14ac:dyDescent="0.2">
      <c r="O123" s="22" t="s">
        <v>2576</v>
      </c>
    </row>
    <row r="124" spans="15:15" x14ac:dyDescent="0.2">
      <c r="O124" s="22" t="s">
        <v>2577</v>
      </c>
    </row>
    <row r="125" spans="15:15" x14ac:dyDescent="0.2">
      <c r="O125" s="22" t="s">
        <v>2578</v>
      </c>
    </row>
    <row r="126" spans="15:15" x14ac:dyDescent="0.2">
      <c r="O126" s="22" t="s">
        <v>2579</v>
      </c>
    </row>
    <row r="127" spans="15:15" x14ac:dyDescent="0.2">
      <c r="O127" s="22" t="s">
        <v>2580</v>
      </c>
    </row>
    <row r="128" spans="15:15" x14ac:dyDescent="0.2">
      <c r="O128" s="22" t="s">
        <v>2581</v>
      </c>
    </row>
    <row r="129" spans="15:15" x14ac:dyDescent="0.2">
      <c r="O129" s="22" t="s">
        <v>2582</v>
      </c>
    </row>
    <row r="130" spans="15:15" x14ac:dyDescent="0.2">
      <c r="O130" s="22" t="s">
        <v>2583</v>
      </c>
    </row>
    <row r="131" spans="15:15" x14ac:dyDescent="0.2">
      <c r="O131" s="22" t="s">
        <v>2584</v>
      </c>
    </row>
    <row r="132" spans="15:15" x14ac:dyDescent="0.2">
      <c r="O132" s="22" t="s">
        <v>2585</v>
      </c>
    </row>
    <row r="133" spans="15:15" x14ac:dyDescent="0.2">
      <c r="O133" s="22" t="s">
        <v>2586</v>
      </c>
    </row>
    <row r="134" spans="15:15" x14ac:dyDescent="0.2">
      <c r="O134" s="22" t="s">
        <v>2587</v>
      </c>
    </row>
    <row r="135" spans="15:15" x14ac:dyDescent="0.2">
      <c r="O135" s="22" t="s">
        <v>2588</v>
      </c>
    </row>
    <row r="136" spans="15:15" x14ac:dyDescent="0.2">
      <c r="O136" s="22" t="s">
        <v>2589</v>
      </c>
    </row>
    <row r="137" spans="15:15" x14ac:dyDescent="0.2">
      <c r="O137" s="22" t="s">
        <v>2590</v>
      </c>
    </row>
    <row r="138" spans="15:15" x14ac:dyDescent="0.2">
      <c r="O138" s="22" t="s">
        <v>2591</v>
      </c>
    </row>
    <row r="139" spans="15:15" x14ac:dyDescent="0.2">
      <c r="O139" s="22" t="s">
        <v>2592</v>
      </c>
    </row>
    <row r="140" spans="15:15" x14ac:dyDescent="0.2">
      <c r="O140" s="22" t="s">
        <v>2593</v>
      </c>
    </row>
    <row r="141" spans="15:15" x14ac:dyDescent="0.2">
      <c r="O141" s="22" t="s">
        <v>2594</v>
      </c>
    </row>
    <row r="142" spans="15:15" x14ac:dyDescent="0.2">
      <c r="O142" s="22" t="s">
        <v>2595</v>
      </c>
    </row>
    <row r="143" spans="15:15" x14ac:dyDescent="0.2">
      <c r="O143" s="22" t="s">
        <v>2596</v>
      </c>
    </row>
    <row r="144" spans="15:15" x14ac:dyDescent="0.2">
      <c r="O144" s="22" t="s">
        <v>2597</v>
      </c>
    </row>
    <row r="145" spans="15:15" x14ac:dyDescent="0.2">
      <c r="O145" s="22" t="s">
        <v>2598</v>
      </c>
    </row>
    <row r="146" spans="15:15" x14ac:dyDescent="0.2">
      <c r="O146" s="22" t="s">
        <v>2599</v>
      </c>
    </row>
    <row r="147" spans="15:15" x14ac:dyDescent="0.2">
      <c r="O147" s="22" t="s">
        <v>2600</v>
      </c>
    </row>
    <row r="148" spans="15:15" x14ac:dyDescent="0.2">
      <c r="O148" s="22" t="s">
        <v>2601</v>
      </c>
    </row>
    <row r="149" spans="15:15" x14ac:dyDescent="0.2">
      <c r="O149" s="22" t="s">
        <v>2602</v>
      </c>
    </row>
    <row r="150" spans="15:15" x14ac:dyDescent="0.2">
      <c r="O150" s="22" t="s">
        <v>2603</v>
      </c>
    </row>
    <row r="151" spans="15:15" x14ac:dyDescent="0.2">
      <c r="O151" s="22" t="s">
        <v>2604</v>
      </c>
    </row>
    <row r="152" spans="15:15" x14ac:dyDescent="0.2">
      <c r="O152" s="22" t="s">
        <v>2605</v>
      </c>
    </row>
    <row r="153" spans="15:15" x14ac:dyDescent="0.2">
      <c r="O153" s="22" t="s">
        <v>2606</v>
      </c>
    </row>
    <row r="154" spans="15:15" x14ac:dyDescent="0.2">
      <c r="O154" s="22" t="s">
        <v>2607</v>
      </c>
    </row>
    <row r="155" spans="15:15" x14ac:dyDescent="0.2">
      <c r="O155" s="22" t="s">
        <v>2608</v>
      </c>
    </row>
    <row r="156" spans="15:15" x14ac:dyDescent="0.2">
      <c r="O156" s="22" t="s">
        <v>2609</v>
      </c>
    </row>
    <row r="157" spans="15:15" x14ac:dyDescent="0.2">
      <c r="O157" s="22" t="s">
        <v>2610</v>
      </c>
    </row>
    <row r="158" spans="15:15" x14ac:dyDescent="0.2">
      <c r="O158" s="22" t="s">
        <v>2611</v>
      </c>
    </row>
    <row r="159" spans="15:15" x14ac:dyDescent="0.2">
      <c r="O159" s="22" t="s">
        <v>2612</v>
      </c>
    </row>
    <row r="160" spans="15:15" x14ac:dyDescent="0.2">
      <c r="O160" s="22" t="s">
        <v>2613</v>
      </c>
    </row>
    <row r="161" spans="15:15" x14ac:dyDescent="0.2">
      <c r="O161" s="22" t="s">
        <v>2614</v>
      </c>
    </row>
    <row r="162" spans="15:15" x14ac:dyDescent="0.2">
      <c r="O162" s="22" t="s">
        <v>2615</v>
      </c>
    </row>
    <row r="163" spans="15:15" x14ac:dyDescent="0.2">
      <c r="O163" s="22" t="s">
        <v>2616</v>
      </c>
    </row>
    <row r="164" spans="15:15" x14ac:dyDescent="0.2">
      <c r="O164" s="22" t="s">
        <v>2617</v>
      </c>
    </row>
    <row r="165" spans="15:15" x14ac:dyDescent="0.2">
      <c r="O165" s="22" t="s">
        <v>2618</v>
      </c>
    </row>
    <row r="166" spans="15:15" x14ac:dyDescent="0.2">
      <c r="O166" s="22" t="s">
        <v>2619</v>
      </c>
    </row>
    <row r="167" spans="15:15" x14ac:dyDescent="0.2">
      <c r="O167" s="22" t="s">
        <v>2620</v>
      </c>
    </row>
    <row r="168" spans="15:15" x14ac:dyDescent="0.2">
      <c r="O168" s="22" t="s">
        <v>2621</v>
      </c>
    </row>
    <row r="169" spans="15:15" x14ac:dyDescent="0.2">
      <c r="O169" s="22" t="s">
        <v>2622</v>
      </c>
    </row>
    <row r="170" spans="15:15" x14ac:dyDescent="0.2">
      <c r="O170" s="22" t="s">
        <v>2623</v>
      </c>
    </row>
    <row r="171" spans="15:15" x14ac:dyDescent="0.2">
      <c r="O171" s="22" t="s">
        <v>2624</v>
      </c>
    </row>
    <row r="172" spans="15:15" x14ac:dyDescent="0.2">
      <c r="O172" s="22" t="s">
        <v>2625</v>
      </c>
    </row>
    <row r="173" spans="15:15" x14ac:dyDescent="0.2">
      <c r="O173" s="22" t="s">
        <v>2626</v>
      </c>
    </row>
    <row r="174" spans="15:15" x14ac:dyDescent="0.2">
      <c r="O174" s="22" t="s">
        <v>2627</v>
      </c>
    </row>
    <row r="175" spans="15:15" x14ac:dyDescent="0.2">
      <c r="O175" s="22" t="s">
        <v>2628</v>
      </c>
    </row>
    <row r="176" spans="15:15" x14ac:dyDescent="0.2">
      <c r="O176" s="22" t="s">
        <v>2629</v>
      </c>
    </row>
    <row r="177" spans="15:15" x14ac:dyDescent="0.2">
      <c r="O177" s="22" t="s">
        <v>2630</v>
      </c>
    </row>
    <row r="178" spans="15:15" x14ac:dyDescent="0.2">
      <c r="O178" s="22" t="s">
        <v>2631</v>
      </c>
    </row>
    <row r="179" spans="15:15" x14ac:dyDescent="0.2">
      <c r="O179" s="22" t="s">
        <v>2632</v>
      </c>
    </row>
    <row r="180" spans="15:15" x14ac:dyDescent="0.2">
      <c r="O180" s="22" t="s">
        <v>2633</v>
      </c>
    </row>
    <row r="181" spans="15:15" x14ac:dyDescent="0.2">
      <c r="O181" s="22" t="s">
        <v>2634</v>
      </c>
    </row>
    <row r="182" spans="15:15" x14ac:dyDescent="0.2">
      <c r="O182" s="22" t="s">
        <v>2635</v>
      </c>
    </row>
    <row r="183" spans="15:15" x14ac:dyDescent="0.2">
      <c r="O183" s="22" t="s">
        <v>2636</v>
      </c>
    </row>
    <row r="184" spans="15:15" x14ac:dyDescent="0.2">
      <c r="O184" s="22" t="s">
        <v>2637</v>
      </c>
    </row>
    <row r="185" spans="15:15" x14ac:dyDescent="0.2">
      <c r="O185" s="22" t="s">
        <v>2638</v>
      </c>
    </row>
    <row r="186" spans="15:15" x14ac:dyDescent="0.2">
      <c r="O186" s="22" t="s">
        <v>2639</v>
      </c>
    </row>
    <row r="187" spans="15:15" x14ac:dyDescent="0.2">
      <c r="O187" s="22" t="s">
        <v>2640</v>
      </c>
    </row>
    <row r="188" spans="15:15" x14ac:dyDescent="0.2">
      <c r="O188" s="22" t="s">
        <v>2641</v>
      </c>
    </row>
    <row r="189" spans="15:15" x14ac:dyDescent="0.2">
      <c r="O189" s="22" t="s">
        <v>2642</v>
      </c>
    </row>
    <row r="190" spans="15:15" x14ac:dyDescent="0.2">
      <c r="O190" s="22" t="s">
        <v>2643</v>
      </c>
    </row>
    <row r="191" spans="15:15" x14ac:dyDescent="0.2">
      <c r="O191" s="22" t="s">
        <v>2644</v>
      </c>
    </row>
    <row r="192" spans="15:15" x14ac:dyDescent="0.2">
      <c r="O192" s="22" t="s">
        <v>2645</v>
      </c>
    </row>
    <row r="193" spans="15:15" x14ac:dyDescent="0.2">
      <c r="O193" s="22" t="s">
        <v>2646</v>
      </c>
    </row>
    <row r="194" spans="15:15" x14ac:dyDescent="0.2">
      <c r="O194" s="22" t="s">
        <v>2647</v>
      </c>
    </row>
    <row r="195" spans="15:15" x14ac:dyDescent="0.2">
      <c r="O195" s="22" t="s">
        <v>2648</v>
      </c>
    </row>
    <row r="196" spans="15:15" x14ac:dyDescent="0.2">
      <c r="O196" s="22" t="s">
        <v>2649</v>
      </c>
    </row>
    <row r="197" spans="15:15" x14ac:dyDescent="0.2">
      <c r="O197" s="22" t="s">
        <v>2650</v>
      </c>
    </row>
    <row r="198" spans="15:15" x14ac:dyDescent="0.2">
      <c r="O198" s="22" t="s">
        <v>2651</v>
      </c>
    </row>
    <row r="199" spans="15:15" x14ac:dyDescent="0.2">
      <c r="O199" s="22" t="s">
        <v>2652</v>
      </c>
    </row>
    <row r="200" spans="15:15" x14ac:dyDescent="0.2">
      <c r="O200" s="22" t="s">
        <v>2653</v>
      </c>
    </row>
    <row r="201" spans="15:15" x14ac:dyDescent="0.2">
      <c r="O201" s="22" t="s">
        <v>2654</v>
      </c>
    </row>
    <row r="202" spans="15:15" x14ac:dyDescent="0.2">
      <c r="O202" s="22" t="s">
        <v>2655</v>
      </c>
    </row>
    <row r="203" spans="15:15" x14ac:dyDescent="0.2">
      <c r="O203" s="22" t="s">
        <v>2656</v>
      </c>
    </row>
    <row r="204" spans="15:15" x14ac:dyDescent="0.2">
      <c r="O204" s="22" t="s">
        <v>2657</v>
      </c>
    </row>
    <row r="205" spans="15:15" x14ac:dyDescent="0.2">
      <c r="O205" s="22" t="s">
        <v>2658</v>
      </c>
    </row>
    <row r="206" spans="15:15" x14ac:dyDescent="0.2">
      <c r="O206" s="22" t="s">
        <v>2659</v>
      </c>
    </row>
    <row r="207" spans="15:15" x14ac:dyDescent="0.2">
      <c r="O207" s="22" t="s">
        <v>2660</v>
      </c>
    </row>
    <row r="208" spans="15:15" x14ac:dyDescent="0.2">
      <c r="O208" s="22" t="s">
        <v>2661</v>
      </c>
    </row>
    <row r="209" spans="15:15" x14ac:dyDescent="0.2">
      <c r="O209" s="22" t="s">
        <v>2662</v>
      </c>
    </row>
    <row r="210" spans="15:15" x14ac:dyDescent="0.2">
      <c r="O210" s="22" t="s">
        <v>2663</v>
      </c>
    </row>
    <row r="211" spans="15:15" x14ac:dyDescent="0.2">
      <c r="O211" s="22" t="s">
        <v>2664</v>
      </c>
    </row>
    <row r="212" spans="15:15" x14ac:dyDescent="0.2">
      <c r="O212" s="22" t="s">
        <v>2665</v>
      </c>
    </row>
    <row r="213" spans="15:15" x14ac:dyDescent="0.2">
      <c r="O213" s="22" t="s">
        <v>2666</v>
      </c>
    </row>
    <row r="214" spans="15:15" x14ac:dyDescent="0.2">
      <c r="O214" s="22" t="s">
        <v>2667</v>
      </c>
    </row>
    <row r="215" spans="15:15" x14ac:dyDescent="0.2">
      <c r="O215" s="22" t="s">
        <v>2668</v>
      </c>
    </row>
    <row r="216" spans="15:15" x14ac:dyDescent="0.2">
      <c r="O216" s="22" t="s">
        <v>2669</v>
      </c>
    </row>
    <row r="217" spans="15:15" x14ac:dyDescent="0.2">
      <c r="O217" s="22" t="s">
        <v>2670</v>
      </c>
    </row>
    <row r="218" spans="15:15" x14ac:dyDescent="0.2">
      <c r="O218" s="22" t="s">
        <v>2671</v>
      </c>
    </row>
    <row r="219" spans="15:15" x14ac:dyDescent="0.2">
      <c r="O219" s="22" t="s">
        <v>2672</v>
      </c>
    </row>
    <row r="220" spans="15:15" x14ac:dyDescent="0.2">
      <c r="O220" s="22" t="s">
        <v>2673</v>
      </c>
    </row>
    <row r="221" spans="15:15" x14ac:dyDescent="0.2">
      <c r="O221" s="22" t="s">
        <v>2674</v>
      </c>
    </row>
    <row r="222" spans="15:15" x14ac:dyDescent="0.2">
      <c r="O222" s="22" t="s">
        <v>2675</v>
      </c>
    </row>
    <row r="223" spans="15:15" x14ac:dyDescent="0.2">
      <c r="O223" s="22" t="s">
        <v>2676</v>
      </c>
    </row>
    <row r="224" spans="15:15" x14ac:dyDescent="0.2">
      <c r="O224" s="22" t="s">
        <v>2677</v>
      </c>
    </row>
    <row r="225" spans="15:15" x14ac:dyDescent="0.2">
      <c r="O225" s="22" t="s">
        <v>2678</v>
      </c>
    </row>
    <row r="226" spans="15:15" x14ac:dyDescent="0.2">
      <c r="O226" s="22" t="s">
        <v>2679</v>
      </c>
    </row>
    <row r="227" spans="15:15" x14ac:dyDescent="0.2">
      <c r="O227" s="22" t="s">
        <v>2680</v>
      </c>
    </row>
    <row r="228" spans="15:15" x14ac:dyDescent="0.2">
      <c r="O228" s="22" t="s">
        <v>2681</v>
      </c>
    </row>
    <row r="229" spans="15:15" x14ac:dyDescent="0.2">
      <c r="O229" s="22" t="s">
        <v>2682</v>
      </c>
    </row>
    <row r="230" spans="15:15" x14ac:dyDescent="0.2">
      <c r="O230" s="22" t="s">
        <v>2683</v>
      </c>
    </row>
    <row r="231" spans="15:15" x14ac:dyDescent="0.2">
      <c r="O231" s="22" t="s">
        <v>2684</v>
      </c>
    </row>
    <row r="232" spans="15:15" x14ac:dyDescent="0.2">
      <c r="O232" s="22" t="s">
        <v>2685</v>
      </c>
    </row>
    <row r="233" spans="15:15" x14ac:dyDescent="0.2">
      <c r="O233" s="22" t="s">
        <v>2686</v>
      </c>
    </row>
    <row r="234" spans="15:15" x14ac:dyDescent="0.2">
      <c r="O234" s="22" t="s">
        <v>2687</v>
      </c>
    </row>
    <row r="235" spans="15:15" x14ac:dyDescent="0.2">
      <c r="O235" s="22" t="s">
        <v>2688</v>
      </c>
    </row>
    <row r="236" spans="15:15" x14ac:dyDescent="0.2">
      <c r="O236" s="22" t="s">
        <v>2689</v>
      </c>
    </row>
    <row r="237" spans="15:15" x14ac:dyDescent="0.2">
      <c r="O237" s="22" t="s">
        <v>2690</v>
      </c>
    </row>
    <row r="238" spans="15:15" x14ac:dyDescent="0.2">
      <c r="O238" s="22" t="s">
        <v>2691</v>
      </c>
    </row>
    <row r="239" spans="15:15" x14ac:dyDescent="0.2">
      <c r="O239" s="22" t="s">
        <v>2692</v>
      </c>
    </row>
    <row r="240" spans="15:15" x14ac:dyDescent="0.2">
      <c r="O240" s="22" t="s">
        <v>2693</v>
      </c>
    </row>
    <row r="241" spans="15:15" x14ac:dyDescent="0.2">
      <c r="O241" s="22" t="s">
        <v>2694</v>
      </c>
    </row>
    <row r="242" spans="15:15" x14ac:dyDescent="0.2">
      <c r="O242" s="22" t="s">
        <v>2695</v>
      </c>
    </row>
    <row r="243" spans="15:15" x14ac:dyDescent="0.2">
      <c r="O243" s="22" t="s">
        <v>2696</v>
      </c>
    </row>
    <row r="244" spans="15:15" x14ac:dyDescent="0.2">
      <c r="O244" s="22" t="s">
        <v>2697</v>
      </c>
    </row>
    <row r="245" spans="15:15" x14ac:dyDescent="0.2">
      <c r="O245" s="22" t="s">
        <v>2698</v>
      </c>
    </row>
    <row r="246" spans="15:15" x14ac:dyDescent="0.2">
      <c r="O246" s="22" t="s">
        <v>2699</v>
      </c>
    </row>
    <row r="247" spans="15:15" x14ac:dyDescent="0.2">
      <c r="O247" s="22" t="s">
        <v>2700</v>
      </c>
    </row>
    <row r="248" spans="15:15" x14ac:dyDescent="0.2">
      <c r="O248" s="22" t="s">
        <v>2701</v>
      </c>
    </row>
    <row r="249" spans="15:15" x14ac:dyDescent="0.2">
      <c r="O249" s="22" t="s">
        <v>2702</v>
      </c>
    </row>
    <row r="250" spans="15:15" x14ac:dyDescent="0.2">
      <c r="O250" s="22" t="s">
        <v>2703</v>
      </c>
    </row>
    <row r="251" spans="15:15" x14ac:dyDescent="0.2">
      <c r="O251" s="22" t="s">
        <v>2704</v>
      </c>
    </row>
    <row r="252" spans="15:15" x14ac:dyDescent="0.2">
      <c r="O252" s="22" t="s">
        <v>2705</v>
      </c>
    </row>
    <row r="253" spans="15:15" x14ac:dyDescent="0.2">
      <c r="O253" s="22" t="s">
        <v>2706</v>
      </c>
    </row>
    <row r="254" spans="15:15" x14ac:dyDescent="0.2">
      <c r="O254" s="22" t="s">
        <v>2707</v>
      </c>
    </row>
    <row r="255" spans="15:15" x14ac:dyDescent="0.2">
      <c r="O255" s="22" t="s">
        <v>2708</v>
      </c>
    </row>
    <row r="256" spans="15:15" x14ac:dyDescent="0.2">
      <c r="O256" s="22" t="s">
        <v>2709</v>
      </c>
    </row>
    <row r="257" spans="15:15" x14ac:dyDescent="0.2">
      <c r="O257" s="22" t="s">
        <v>2710</v>
      </c>
    </row>
    <row r="258" spans="15:15" x14ac:dyDescent="0.2">
      <c r="O258" s="22" t="s">
        <v>2711</v>
      </c>
    </row>
    <row r="259" spans="15:15" x14ac:dyDescent="0.2">
      <c r="O259" s="22" t="s">
        <v>2712</v>
      </c>
    </row>
    <row r="260" spans="15:15" x14ac:dyDescent="0.2">
      <c r="O260" s="22" t="s">
        <v>2713</v>
      </c>
    </row>
    <row r="261" spans="15:15" x14ac:dyDescent="0.2">
      <c r="O261" s="22" t="s">
        <v>2714</v>
      </c>
    </row>
    <row r="262" spans="15:15" x14ac:dyDescent="0.2">
      <c r="O262" s="22" t="s">
        <v>2715</v>
      </c>
    </row>
    <row r="263" spans="15:15" x14ac:dyDescent="0.2">
      <c r="O263" s="22" t="s">
        <v>2716</v>
      </c>
    </row>
    <row r="264" spans="15:15" x14ac:dyDescent="0.2">
      <c r="O264" s="22" t="s">
        <v>2717</v>
      </c>
    </row>
    <row r="265" spans="15:15" x14ac:dyDescent="0.2">
      <c r="O265" s="22" t="s">
        <v>2718</v>
      </c>
    </row>
    <row r="266" spans="15:15" x14ac:dyDescent="0.2">
      <c r="O266" s="22" t="s">
        <v>2719</v>
      </c>
    </row>
    <row r="267" spans="15:15" x14ac:dyDescent="0.2">
      <c r="O267" s="22" t="s">
        <v>2720</v>
      </c>
    </row>
    <row r="268" spans="15:15" x14ac:dyDescent="0.2">
      <c r="O268" s="22" t="s">
        <v>2721</v>
      </c>
    </row>
    <row r="269" spans="15:15" x14ac:dyDescent="0.2">
      <c r="O269" s="22" t="s">
        <v>2722</v>
      </c>
    </row>
    <row r="270" spans="15:15" x14ac:dyDescent="0.2">
      <c r="O270" s="22" t="s">
        <v>2723</v>
      </c>
    </row>
    <row r="271" spans="15:15" x14ac:dyDescent="0.2">
      <c r="O271" s="22" t="s">
        <v>2724</v>
      </c>
    </row>
    <row r="272" spans="15:15" x14ac:dyDescent="0.2">
      <c r="O272" s="22" t="s">
        <v>2725</v>
      </c>
    </row>
    <row r="273" spans="15:15" x14ac:dyDescent="0.2">
      <c r="O273" s="22" t="s">
        <v>2726</v>
      </c>
    </row>
    <row r="274" spans="15:15" x14ac:dyDescent="0.2">
      <c r="O274" s="22" t="s">
        <v>2727</v>
      </c>
    </row>
    <row r="275" spans="15:15" x14ac:dyDescent="0.2">
      <c r="O275" s="22" t="s">
        <v>2728</v>
      </c>
    </row>
    <row r="276" spans="15:15" x14ac:dyDescent="0.2">
      <c r="O276" s="22" t="s">
        <v>2729</v>
      </c>
    </row>
    <row r="277" spans="15:15" x14ac:dyDescent="0.2">
      <c r="O277" s="22" t="s">
        <v>2730</v>
      </c>
    </row>
    <row r="278" spans="15:15" x14ac:dyDescent="0.2">
      <c r="O278" s="22" t="s">
        <v>2731</v>
      </c>
    </row>
    <row r="279" spans="15:15" x14ac:dyDescent="0.2">
      <c r="O279" s="22" t="s">
        <v>2732</v>
      </c>
    </row>
    <row r="280" spans="15:15" x14ac:dyDescent="0.2">
      <c r="O280" s="22" t="s">
        <v>2733</v>
      </c>
    </row>
    <row r="281" spans="15:15" x14ac:dyDescent="0.2">
      <c r="O281" s="22" t="s">
        <v>2734</v>
      </c>
    </row>
    <row r="282" spans="15:15" x14ac:dyDescent="0.2">
      <c r="O282" s="22" t="s">
        <v>2735</v>
      </c>
    </row>
    <row r="283" spans="15:15" x14ac:dyDescent="0.2">
      <c r="O283" s="22" t="s">
        <v>2736</v>
      </c>
    </row>
    <row r="284" spans="15:15" x14ac:dyDescent="0.2">
      <c r="O284" s="22" t="s">
        <v>2737</v>
      </c>
    </row>
    <row r="285" spans="15:15" x14ac:dyDescent="0.2">
      <c r="O285" s="22" t="s">
        <v>2738</v>
      </c>
    </row>
    <row r="286" spans="15:15" x14ac:dyDescent="0.2">
      <c r="O286" s="22" t="s">
        <v>2739</v>
      </c>
    </row>
    <row r="287" spans="15:15" x14ac:dyDescent="0.2">
      <c r="O287" s="22" t="s">
        <v>2740</v>
      </c>
    </row>
    <row r="288" spans="15:15" x14ac:dyDescent="0.2">
      <c r="O288" s="22" t="s">
        <v>2741</v>
      </c>
    </row>
    <row r="289" spans="15:15" x14ac:dyDescent="0.2">
      <c r="O289" s="22" t="s">
        <v>2742</v>
      </c>
    </row>
    <row r="290" spans="15:15" x14ac:dyDescent="0.2">
      <c r="O290" s="22" t="s">
        <v>2743</v>
      </c>
    </row>
    <row r="291" spans="15:15" x14ac:dyDescent="0.2">
      <c r="O291" s="22" t="s">
        <v>2744</v>
      </c>
    </row>
    <row r="292" spans="15:15" x14ac:dyDescent="0.2">
      <c r="O292" s="22" t="s">
        <v>2745</v>
      </c>
    </row>
    <row r="293" spans="15:15" x14ac:dyDescent="0.2">
      <c r="O293" s="22" t="s">
        <v>2746</v>
      </c>
    </row>
    <row r="294" spans="15:15" x14ac:dyDescent="0.2">
      <c r="O294" s="22" t="s">
        <v>2747</v>
      </c>
    </row>
    <row r="295" spans="15:15" x14ac:dyDescent="0.2">
      <c r="O295" s="22" t="s">
        <v>2748</v>
      </c>
    </row>
    <row r="296" spans="15:15" x14ac:dyDescent="0.2">
      <c r="O296" s="22" t="s">
        <v>2749</v>
      </c>
    </row>
    <row r="297" spans="15:15" x14ac:dyDescent="0.2">
      <c r="O297" s="22" t="s">
        <v>2750</v>
      </c>
    </row>
    <row r="298" spans="15:15" x14ac:dyDescent="0.2">
      <c r="O298" s="22" t="s">
        <v>2751</v>
      </c>
    </row>
    <row r="299" spans="15:15" x14ac:dyDescent="0.2">
      <c r="O299" s="22" t="s">
        <v>2752</v>
      </c>
    </row>
    <row r="300" spans="15:15" x14ac:dyDescent="0.2">
      <c r="O300" s="22" t="s">
        <v>2753</v>
      </c>
    </row>
    <row r="301" spans="15:15" x14ac:dyDescent="0.2">
      <c r="O301" s="22" t="s">
        <v>2754</v>
      </c>
    </row>
    <row r="302" spans="15:15" x14ac:dyDescent="0.2">
      <c r="O302" s="22" t="s">
        <v>2755</v>
      </c>
    </row>
    <row r="303" spans="15:15" x14ac:dyDescent="0.2">
      <c r="O303" s="22" t="s">
        <v>2756</v>
      </c>
    </row>
    <row r="304" spans="15:15" x14ac:dyDescent="0.2">
      <c r="O304" s="22" t="s">
        <v>2757</v>
      </c>
    </row>
    <row r="305" spans="15:15" x14ac:dyDescent="0.2">
      <c r="O305" s="22" t="s">
        <v>2758</v>
      </c>
    </row>
    <row r="306" spans="15:15" x14ac:dyDescent="0.2">
      <c r="O306" s="22" t="s">
        <v>2759</v>
      </c>
    </row>
    <row r="307" spans="15:15" x14ac:dyDescent="0.2">
      <c r="O307" s="22" t="s">
        <v>2760</v>
      </c>
    </row>
    <row r="308" spans="15:15" x14ac:dyDescent="0.2">
      <c r="O308" s="22" t="s">
        <v>2761</v>
      </c>
    </row>
    <row r="309" spans="15:15" x14ac:dyDescent="0.2">
      <c r="O309" s="22" t="s">
        <v>2762</v>
      </c>
    </row>
    <row r="310" spans="15:15" x14ac:dyDescent="0.2">
      <c r="O310" s="22" t="s">
        <v>2763</v>
      </c>
    </row>
    <row r="311" spans="15:15" x14ac:dyDescent="0.2">
      <c r="O311" s="22" t="s">
        <v>2764</v>
      </c>
    </row>
    <row r="312" spans="15:15" x14ac:dyDescent="0.2">
      <c r="O312" s="22" t="s">
        <v>2765</v>
      </c>
    </row>
    <row r="313" spans="15:15" x14ac:dyDescent="0.2">
      <c r="O313" s="22" t="s">
        <v>2766</v>
      </c>
    </row>
    <row r="314" spans="15:15" x14ac:dyDescent="0.2">
      <c r="O314" s="22" t="s">
        <v>2767</v>
      </c>
    </row>
    <row r="315" spans="15:15" x14ac:dyDescent="0.2">
      <c r="O315" s="22" t="s">
        <v>2768</v>
      </c>
    </row>
    <row r="316" spans="15:15" x14ac:dyDescent="0.2">
      <c r="O316" s="22" t="s">
        <v>2769</v>
      </c>
    </row>
    <row r="317" spans="15:15" x14ac:dyDescent="0.2">
      <c r="O317" s="22" t="s">
        <v>2770</v>
      </c>
    </row>
    <row r="318" spans="15:15" x14ac:dyDescent="0.2">
      <c r="O318" s="22" t="s">
        <v>2771</v>
      </c>
    </row>
    <row r="319" spans="15:15" x14ac:dyDescent="0.2">
      <c r="O319" s="22" t="s">
        <v>2772</v>
      </c>
    </row>
    <row r="320" spans="15:15" x14ac:dyDescent="0.2">
      <c r="O320" s="22" t="s">
        <v>2773</v>
      </c>
    </row>
    <row r="321" spans="15:15" x14ac:dyDescent="0.2">
      <c r="O321" s="22" t="s">
        <v>2774</v>
      </c>
    </row>
    <row r="322" spans="15:15" x14ac:dyDescent="0.2">
      <c r="O322" s="22" t="s">
        <v>2775</v>
      </c>
    </row>
    <row r="323" spans="15:15" x14ac:dyDescent="0.2">
      <c r="O323" s="22" t="s">
        <v>2776</v>
      </c>
    </row>
    <row r="324" spans="15:15" x14ac:dyDescent="0.2">
      <c r="O324" s="22" t="s">
        <v>2777</v>
      </c>
    </row>
    <row r="325" spans="15:15" x14ac:dyDescent="0.2">
      <c r="O325" s="22" t="s">
        <v>2778</v>
      </c>
    </row>
    <row r="326" spans="15:15" x14ac:dyDescent="0.2">
      <c r="O326" s="22" t="s">
        <v>2779</v>
      </c>
    </row>
    <row r="327" spans="15:15" x14ac:dyDescent="0.2">
      <c r="O327" s="22" t="s">
        <v>2780</v>
      </c>
    </row>
    <row r="328" spans="15:15" x14ac:dyDescent="0.2">
      <c r="O328" s="22" t="s">
        <v>2781</v>
      </c>
    </row>
    <row r="329" spans="15:15" x14ac:dyDescent="0.2">
      <c r="O329" s="22" t="s">
        <v>2782</v>
      </c>
    </row>
    <row r="330" spans="15:15" x14ac:dyDescent="0.2">
      <c r="O330" s="22" t="s">
        <v>2783</v>
      </c>
    </row>
    <row r="331" spans="15:15" x14ac:dyDescent="0.2">
      <c r="O331" s="22" t="s">
        <v>2784</v>
      </c>
    </row>
    <row r="332" spans="15:15" x14ac:dyDescent="0.2">
      <c r="O332" s="22" t="s">
        <v>2785</v>
      </c>
    </row>
    <row r="333" spans="15:15" x14ac:dyDescent="0.2">
      <c r="O333" s="22" t="s">
        <v>2786</v>
      </c>
    </row>
    <row r="334" spans="15:15" x14ac:dyDescent="0.2">
      <c r="O334" s="22" t="s">
        <v>2787</v>
      </c>
    </row>
    <row r="335" spans="15:15" x14ac:dyDescent="0.2">
      <c r="O335" s="22" t="s">
        <v>2788</v>
      </c>
    </row>
    <row r="336" spans="15:15" x14ac:dyDescent="0.2">
      <c r="O336" s="22" t="s">
        <v>2789</v>
      </c>
    </row>
    <row r="337" spans="15:15" x14ac:dyDescent="0.2">
      <c r="O337" s="22" t="s">
        <v>2790</v>
      </c>
    </row>
    <row r="338" spans="15:15" x14ac:dyDescent="0.2">
      <c r="O338" s="22" t="s">
        <v>2791</v>
      </c>
    </row>
    <row r="339" spans="15:15" x14ac:dyDescent="0.2">
      <c r="O339" s="22" t="s">
        <v>2792</v>
      </c>
    </row>
    <row r="340" spans="15:15" x14ac:dyDescent="0.2">
      <c r="O340" s="22" t="s">
        <v>2793</v>
      </c>
    </row>
    <row r="341" spans="15:15" x14ac:dyDescent="0.2">
      <c r="O341" s="22" t="s">
        <v>2794</v>
      </c>
    </row>
    <row r="342" spans="15:15" x14ac:dyDescent="0.2">
      <c r="O342" s="22" t="s">
        <v>2795</v>
      </c>
    </row>
    <row r="343" spans="15:15" x14ac:dyDescent="0.2">
      <c r="O343" s="22" t="s">
        <v>2796</v>
      </c>
    </row>
    <row r="344" spans="15:15" x14ac:dyDescent="0.2">
      <c r="O344" s="22" t="s">
        <v>2797</v>
      </c>
    </row>
    <row r="345" spans="15:15" x14ac:dyDescent="0.2">
      <c r="O345" s="22" t="s">
        <v>2798</v>
      </c>
    </row>
    <row r="346" spans="15:15" x14ac:dyDescent="0.2">
      <c r="O346" s="22" t="s">
        <v>2799</v>
      </c>
    </row>
    <row r="347" spans="15:15" x14ac:dyDescent="0.2">
      <c r="O347" s="22" t="s">
        <v>2800</v>
      </c>
    </row>
    <row r="348" spans="15:15" x14ac:dyDescent="0.2">
      <c r="O348" s="22" t="s">
        <v>2801</v>
      </c>
    </row>
    <row r="349" spans="15:15" x14ac:dyDescent="0.2">
      <c r="O349" s="22" t="s">
        <v>2802</v>
      </c>
    </row>
    <row r="350" spans="15:15" x14ac:dyDescent="0.2">
      <c r="O350" s="22" t="s">
        <v>2803</v>
      </c>
    </row>
    <row r="351" spans="15:15" x14ac:dyDescent="0.2">
      <c r="O351" s="22" t="s">
        <v>2804</v>
      </c>
    </row>
    <row r="352" spans="15:15" x14ac:dyDescent="0.2">
      <c r="O352" s="22" t="s">
        <v>2805</v>
      </c>
    </row>
    <row r="353" spans="15:15" x14ac:dyDescent="0.2">
      <c r="O353" s="22" t="s">
        <v>2806</v>
      </c>
    </row>
    <row r="354" spans="15:15" x14ac:dyDescent="0.2">
      <c r="O354" s="22" t="s">
        <v>2807</v>
      </c>
    </row>
    <row r="355" spans="15:15" x14ac:dyDescent="0.2">
      <c r="O355" s="22" t="s">
        <v>2808</v>
      </c>
    </row>
    <row r="356" spans="15:15" x14ac:dyDescent="0.2">
      <c r="O356" s="22" t="s">
        <v>2809</v>
      </c>
    </row>
    <row r="357" spans="15:15" x14ac:dyDescent="0.2">
      <c r="O357" s="22" t="s">
        <v>2810</v>
      </c>
    </row>
    <row r="358" spans="15:15" x14ac:dyDescent="0.2">
      <c r="O358" s="22" t="s">
        <v>2811</v>
      </c>
    </row>
    <row r="359" spans="15:15" x14ac:dyDescent="0.2">
      <c r="O359" s="22" t="s">
        <v>2812</v>
      </c>
    </row>
    <row r="360" spans="15:15" x14ac:dyDescent="0.2">
      <c r="O360" s="22" t="s">
        <v>2813</v>
      </c>
    </row>
    <row r="361" spans="15:15" x14ac:dyDescent="0.2">
      <c r="O361" s="22" t="s">
        <v>2814</v>
      </c>
    </row>
    <row r="362" spans="15:15" x14ac:dyDescent="0.2">
      <c r="O362" s="22" t="s">
        <v>2815</v>
      </c>
    </row>
    <row r="363" spans="15:15" x14ac:dyDescent="0.2">
      <c r="O363" s="22" t="s">
        <v>2816</v>
      </c>
    </row>
    <row r="364" spans="15:15" x14ac:dyDescent="0.2">
      <c r="O364" s="22" t="s">
        <v>2817</v>
      </c>
    </row>
    <row r="365" spans="15:15" x14ac:dyDescent="0.2">
      <c r="O365" s="22" t="s">
        <v>2818</v>
      </c>
    </row>
    <row r="366" spans="15:15" x14ac:dyDescent="0.2">
      <c r="O366" s="22" t="s">
        <v>2819</v>
      </c>
    </row>
    <row r="367" spans="15:15" x14ac:dyDescent="0.2">
      <c r="O367" s="22" t="s">
        <v>2820</v>
      </c>
    </row>
    <row r="368" spans="15:15" x14ac:dyDescent="0.2">
      <c r="O368" s="22" t="s">
        <v>2821</v>
      </c>
    </row>
    <row r="369" spans="15:15" x14ac:dyDescent="0.2">
      <c r="O369" s="22" t="s">
        <v>2822</v>
      </c>
    </row>
    <row r="370" spans="15:15" x14ac:dyDescent="0.2">
      <c r="O370" s="22" t="s">
        <v>2823</v>
      </c>
    </row>
    <row r="371" spans="15:15" x14ac:dyDescent="0.2">
      <c r="O371" s="22" t="s">
        <v>2824</v>
      </c>
    </row>
    <row r="372" spans="15:15" x14ac:dyDescent="0.2">
      <c r="O372" s="22" t="s">
        <v>2825</v>
      </c>
    </row>
    <row r="373" spans="15:15" x14ac:dyDescent="0.2">
      <c r="O373" s="22" t="s">
        <v>2826</v>
      </c>
    </row>
    <row r="374" spans="15:15" x14ac:dyDescent="0.2">
      <c r="O374" s="22" t="s">
        <v>2827</v>
      </c>
    </row>
    <row r="375" spans="15:15" x14ac:dyDescent="0.2">
      <c r="O375" s="22" t="s">
        <v>2828</v>
      </c>
    </row>
    <row r="376" spans="15:15" x14ac:dyDescent="0.2">
      <c r="O376" s="22" t="s">
        <v>2829</v>
      </c>
    </row>
    <row r="377" spans="15:15" x14ac:dyDescent="0.2">
      <c r="O377" s="22" t="s">
        <v>2830</v>
      </c>
    </row>
    <row r="378" spans="15:15" x14ac:dyDescent="0.2">
      <c r="O378" s="22" t="s">
        <v>2831</v>
      </c>
    </row>
    <row r="379" spans="15:15" x14ac:dyDescent="0.2">
      <c r="O379" s="22" t="s">
        <v>2832</v>
      </c>
    </row>
    <row r="380" spans="15:15" x14ac:dyDescent="0.2">
      <c r="O380" s="22" t="s">
        <v>2833</v>
      </c>
    </row>
    <row r="381" spans="15:15" x14ac:dyDescent="0.2">
      <c r="O381" s="22" t="s">
        <v>2834</v>
      </c>
    </row>
    <row r="382" spans="15:15" x14ac:dyDescent="0.2">
      <c r="O382" s="22" t="s">
        <v>2835</v>
      </c>
    </row>
    <row r="383" spans="15:15" x14ac:dyDescent="0.2">
      <c r="O383" s="22" t="s">
        <v>2836</v>
      </c>
    </row>
    <row r="384" spans="15:15" x14ac:dyDescent="0.2">
      <c r="O384" s="22" t="s">
        <v>2837</v>
      </c>
    </row>
    <row r="385" spans="15:15" x14ac:dyDescent="0.2">
      <c r="O385" s="22" t="s">
        <v>2838</v>
      </c>
    </row>
    <row r="386" spans="15:15" x14ac:dyDescent="0.2">
      <c r="O386" s="22" t="s">
        <v>2839</v>
      </c>
    </row>
    <row r="387" spans="15:15" x14ac:dyDescent="0.2">
      <c r="O387" s="22" t="s">
        <v>2840</v>
      </c>
    </row>
    <row r="388" spans="15:15" x14ac:dyDescent="0.2">
      <c r="O388" s="22" t="s">
        <v>2841</v>
      </c>
    </row>
    <row r="389" spans="15:15" x14ac:dyDescent="0.2">
      <c r="O389" s="22" t="s">
        <v>2842</v>
      </c>
    </row>
    <row r="390" spans="15:15" x14ac:dyDescent="0.2">
      <c r="O390" s="22" t="s">
        <v>2843</v>
      </c>
    </row>
    <row r="391" spans="15:15" x14ac:dyDescent="0.2">
      <c r="O391" s="22" t="s">
        <v>2844</v>
      </c>
    </row>
    <row r="392" spans="15:15" x14ac:dyDescent="0.2">
      <c r="O392" s="22" t="s">
        <v>2845</v>
      </c>
    </row>
    <row r="393" spans="15:15" x14ac:dyDescent="0.2">
      <c r="O393" s="22" t="s">
        <v>2846</v>
      </c>
    </row>
    <row r="394" spans="15:15" x14ac:dyDescent="0.2">
      <c r="O394" s="22" t="s">
        <v>2847</v>
      </c>
    </row>
    <row r="395" spans="15:15" x14ac:dyDescent="0.2">
      <c r="O395" s="22" t="s">
        <v>2848</v>
      </c>
    </row>
    <row r="396" spans="15:15" x14ac:dyDescent="0.2">
      <c r="O396" s="22" t="s">
        <v>2849</v>
      </c>
    </row>
    <row r="397" spans="15:15" x14ac:dyDescent="0.2">
      <c r="O397" s="22" t="s">
        <v>2850</v>
      </c>
    </row>
    <row r="398" spans="15:15" x14ac:dyDescent="0.2">
      <c r="O398" s="22" t="s">
        <v>2851</v>
      </c>
    </row>
    <row r="399" spans="15:15" x14ac:dyDescent="0.2">
      <c r="O399" s="22" t="s">
        <v>2852</v>
      </c>
    </row>
    <row r="400" spans="15:15" x14ac:dyDescent="0.2">
      <c r="O400" s="22" t="s">
        <v>2853</v>
      </c>
    </row>
    <row r="401" spans="15:15" x14ac:dyDescent="0.2">
      <c r="O401" s="22" t="s">
        <v>2854</v>
      </c>
    </row>
    <row r="402" spans="15:15" x14ac:dyDescent="0.2">
      <c r="O402" s="22" t="s">
        <v>2855</v>
      </c>
    </row>
    <row r="403" spans="15:15" x14ac:dyDescent="0.2">
      <c r="O403" s="22" t="s">
        <v>2856</v>
      </c>
    </row>
    <row r="404" spans="15:15" x14ac:dyDescent="0.2">
      <c r="O404" s="22" t="s">
        <v>2857</v>
      </c>
    </row>
    <row r="405" spans="15:15" x14ac:dyDescent="0.2">
      <c r="O405" s="22" t="s">
        <v>2858</v>
      </c>
    </row>
    <row r="406" spans="15:15" x14ac:dyDescent="0.2">
      <c r="O406" s="22" t="s">
        <v>2859</v>
      </c>
    </row>
    <row r="407" spans="15:15" x14ac:dyDescent="0.2">
      <c r="O407" s="22" t="s">
        <v>2860</v>
      </c>
    </row>
    <row r="408" spans="15:15" x14ac:dyDescent="0.2">
      <c r="O408" s="22" t="s">
        <v>2861</v>
      </c>
    </row>
    <row r="409" spans="15:15" x14ac:dyDescent="0.2">
      <c r="O409" s="22" t="s">
        <v>2424</v>
      </c>
    </row>
    <row r="410" spans="15:15" x14ac:dyDescent="0.2">
      <c r="O410" s="22" t="s">
        <v>2862</v>
      </c>
    </row>
    <row r="411" spans="15:15" x14ac:dyDescent="0.2">
      <c r="O411" s="22" t="s">
        <v>2863</v>
      </c>
    </row>
    <row r="412" spans="15:15" x14ac:dyDescent="0.2">
      <c r="O412" s="22" t="s">
        <v>2864</v>
      </c>
    </row>
    <row r="413" spans="15:15" x14ac:dyDescent="0.2">
      <c r="O413" s="22" t="s">
        <v>2865</v>
      </c>
    </row>
    <row r="414" spans="15:15" x14ac:dyDescent="0.2">
      <c r="O414" s="22" t="s">
        <v>2866</v>
      </c>
    </row>
    <row r="415" spans="15:15" x14ac:dyDescent="0.2">
      <c r="O415" s="22" t="s">
        <v>2867</v>
      </c>
    </row>
    <row r="416" spans="15:15" x14ac:dyDescent="0.2">
      <c r="O416" s="22" t="s">
        <v>2868</v>
      </c>
    </row>
    <row r="417" spans="15:15" x14ac:dyDescent="0.2">
      <c r="O417" s="22" t="s">
        <v>2869</v>
      </c>
    </row>
    <row r="418" spans="15:15" x14ac:dyDescent="0.2">
      <c r="O418" s="22" t="s">
        <v>2870</v>
      </c>
    </row>
    <row r="419" spans="15:15" x14ac:dyDescent="0.2">
      <c r="O419" s="22" t="s">
        <v>2871</v>
      </c>
    </row>
    <row r="420" spans="15:15" x14ac:dyDescent="0.2">
      <c r="O420" s="22" t="s">
        <v>2872</v>
      </c>
    </row>
    <row r="421" spans="15:15" x14ac:dyDescent="0.2">
      <c r="O421" s="22" t="s">
        <v>2873</v>
      </c>
    </row>
    <row r="422" spans="15:15" x14ac:dyDescent="0.2">
      <c r="O422" s="22" t="s">
        <v>2874</v>
      </c>
    </row>
    <row r="423" spans="15:15" x14ac:dyDescent="0.2">
      <c r="O423" s="22" t="s">
        <v>2875</v>
      </c>
    </row>
    <row r="424" spans="15:15" x14ac:dyDescent="0.2">
      <c r="O424" s="22" t="s">
        <v>2876</v>
      </c>
    </row>
    <row r="425" spans="15:15" x14ac:dyDescent="0.2">
      <c r="O425" s="22" t="s">
        <v>2877</v>
      </c>
    </row>
    <row r="426" spans="15:15" x14ac:dyDescent="0.2">
      <c r="O426" s="22" t="s">
        <v>2878</v>
      </c>
    </row>
    <row r="427" spans="15:15" x14ac:dyDescent="0.2">
      <c r="O427" s="22" t="s">
        <v>2879</v>
      </c>
    </row>
    <row r="428" spans="15:15" x14ac:dyDescent="0.2">
      <c r="O428" s="22" t="s">
        <v>2880</v>
      </c>
    </row>
    <row r="429" spans="15:15" x14ac:dyDescent="0.2">
      <c r="O429" s="22" t="s">
        <v>2881</v>
      </c>
    </row>
    <row r="430" spans="15:15" x14ac:dyDescent="0.2">
      <c r="O430" s="22" t="s">
        <v>2882</v>
      </c>
    </row>
    <row r="431" spans="15:15" x14ac:dyDescent="0.2">
      <c r="O431" s="22" t="s">
        <v>2422</v>
      </c>
    </row>
    <row r="432" spans="15:15" x14ac:dyDescent="0.2">
      <c r="O432" s="22" t="s">
        <v>2883</v>
      </c>
    </row>
    <row r="433" spans="15:15" x14ac:dyDescent="0.2">
      <c r="O433" s="22" t="s">
        <v>2884</v>
      </c>
    </row>
    <row r="434" spans="15:15" x14ac:dyDescent="0.2">
      <c r="O434" s="22" t="s">
        <v>2885</v>
      </c>
    </row>
    <row r="435" spans="15:15" x14ac:dyDescent="0.2">
      <c r="O435" s="22" t="s">
        <v>2886</v>
      </c>
    </row>
    <row r="436" spans="15:15" x14ac:dyDescent="0.2">
      <c r="O436" s="22" t="s">
        <v>2887</v>
      </c>
    </row>
    <row r="437" spans="15:15" x14ac:dyDescent="0.2">
      <c r="O437" s="22" t="s">
        <v>2888</v>
      </c>
    </row>
    <row r="438" spans="15:15" x14ac:dyDescent="0.2">
      <c r="O438" s="22" t="s">
        <v>2889</v>
      </c>
    </row>
    <row r="439" spans="15:15" x14ac:dyDescent="0.2">
      <c r="O439" s="22" t="s">
        <v>2890</v>
      </c>
    </row>
    <row r="440" spans="15:15" x14ac:dyDescent="0.2">
      <c r="O440" s="22" t="s">
        <v>2891</v>
      </c>
    </row>
    <row r="441" spans="15:15" x14ac:dyDescent="0.2">
      <c r="O441" s="22" t="s">
        <v>2892</v>
      </c>
    </row>
    <row r="442" spans="15:15" x14ac:dyDescent="0.2">
      <c r="O442" s="22" t="s">
        <v>2893</v>
      </c>
    </row>
    <row r="443" spans="15:15" x14ac:dyDescent="0.2">
      <c r="O443" s="22" t="s">
        <v>2894</v>
      </c>
    </row>
    <row r="444" spans="15:15" x14ac:dyDescent="0.2">
      <c r="O444" s="22" t="s">
        <v>2895</v>
      </c>
    </row>
    <row r="445" spans="15:15" x14ac:dyDescent="0.2">
      <c r="O445" s="22" t="s">
        <v>2896</v>
      </c>
    </row>
    <row r="446" spans="15:15" x14ac:dyDescent="0.2">
      <c r="O446" s="22" t="s">
        <v>2897</v>
      </c>
    </row>
    <row r="447" spans="15:15" x14ac:dyDescent="0.2">
      <c r="O447" s="22" t="s">
        <v>2898</v>
      </c>
    </row>
    <row r="448" spans="15:15" x14ac:dyDescent="0.2">
      <c r="O448" s="22" t="s">
        <v>2899</v>
      </c>
    </row>
    <row r="449" spans="15:15" x14ac:dyDescent="0.2">
      <c r="O449" s="22" t="s">
        <v>2900</v>
      </c>
    </row>
    <row r="450" spans="15:15" x14ac:dyDescent="0.2">
      <c r="O450" s="22" t="s">
        <v>2901</v>
      </c>
    </row>
    <row r="451" spans="15:15" x14ac:dyDescent="0.2">
      <c r="O451" s="22" t="s">
        <v>2902</v>
      </c>
    </row>
    <row r="452" spans="15:15" x14ac:dyDescent="0.2">
      <c r="O452" s="22" t="s">
        <v>2903</v>
      </c>
    </row>
    <row r="453" spans="15:15" x14ac:dyDescent="0.2">
      <c r="O453" s="22" t="s">
        <v>2904</v>
      </c>
    </row>
    <row r="454" spans="15:15" x14ac:dyDescent="0.2">
      <c r="O454" s="22" t="s">
        <v>2905</v>
      </c>
    </row>
    <row r="455" spans="15:15" x14ac:dyDescent="0.2">
      <c r="O455" s="22" t="s">
        <v>2906</v>
      </c>
    </row>
    <row r="456" spans="15:15" x14ac:dyDescent="0.2">
      <c r="O456" s="22" t="s">
        <v>2907</v>
      </c>
    </row>
    <row r="457" spans="15:15" x14ac:dyDescent="0.2">
      <c r="O457" s="22" t="s">
        <v>2908</v>
      </c>
    </row>
    <row r="458" spans="15:15" x14ac:dyDescent="0.2">
      <c r="O458" s="22" t="s">
        <v>2909</v>
      </c>
    </row>
    <row r="459" spans="15:15" x14ac:dyDescent="0.2">
      <c r="O459" s="22" t="s">
        <v>2910</v>
      </c>
    </row>
    <row r="460" spans="15:15" x14ac:dyDescent="0.2">
      <c r="O460" s="22" t="s">
        <v>2911</v>
      </c>
    </row>
    <row r="461" spans="15:15" x14ac:dyDescent="0.2">
      <c r="O461" s="22" t="s">
        <v>2912</v>
      </c>
    </row>
    <row r="462" spans="15:15" x14ac:dyDescent="0.2">
      <c r="O462" s="22" t="s">
        <v>2913</v>
      </c>
    </row>
    <row r="463" spans="15:15" x14ac:dyDescent="0.2">
      <c r="O463" s="22" t="s">
        <v>2914</v>
      </c>
    </row>
    <row r="464" spans="15:15" x14ac:dyDescent="0.2">
      <c r="O464" s="22" t="s">
        <v>2915</v>
      </c>
    </row>
    <row r="465" spans="15:15" x14ac:dyDescent="0.2">
      <c r="O465" s="22" t="s">
        <v>2916</v>
      </c>
    </row>
    <row r="466" spans="15:15" x14ac:dyDescent="0.2">
      <c r="O466" s="22" t="s">
        <v>2917</v>
      </c>
    </row>
    <row r="467" spans="15:15" x14ac:dyDescent="0.2">
      <c r="O467" s="22" t="s">
        <v>2918</v>
      </c>
    </row>
    <row r="468" spans="15:15" x14ac:dyDescent="0.2">
      <c r="O468" s="22" t="s">
        <v>2919</v>
      </c>
    </row>
    <row r="469" spans="15:15" x14ac:dyDescent="0.2">
      <c r="O469" s="22" t="s">
        <v>2920</v>
      </c>
    </row>
    <row r="470" spans="15:15" x14ac:dyDescent="0.2">
      <c r="O470" s="22" t="s">
        <v>2921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7734375" defaultRowHeight="13.8" x14ac:dyDescent="0.2"/>
  <cols>
    <col min="1" max="2" width="17.6640625" style="2" customWidth="1"/>
    <col min="3" max="3" width="12.6640625" style="2" customWidth="1"/>
    <col min="4" max="5" width="18.6640625" style="2" customWidth="1"/>
    <col min="6" max="6" width="5.6640625" style="2" customWidth="1"/>
    <col min="7" max="7" width="9.6640625" style="4" customWidth="1"/>
    <col min="8" max="9" width="11.6640625" style="6" customWidth="1"/>
    <col min="10" max="11" width="8.77734375" style="10"/>
    <col min="12" max="17" width="11.6640625" style="8" customWidth="1"/>
    <col min="18" max="16384" width="8.77734375" style="2"/>
  </cols>
  <sheetData>
    <row r="1" spans="1:23" ht="30.45" customHeight="1" x14ac:dyDescent="0.2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7.6" x14ac:dyDescent="0.2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 x14ac:dyDescent="0.2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 x14ac:dyDescent="0.2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 x14ac:dyDescent="0.2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 x14ac:dyDescent="0.2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 x14ac:dyDescent="0.2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 x14ac:dyDescent="0.2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 x14ac:dyDescent="0.2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 x14ac:dyDescent="0.2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 x14ac:dyDescent="0.2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 x14ac:dyDescent="0.2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 x14ac:dyDescent="0.2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 x14ac:dyDescent="0.2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 x14ac:dyDescent="0.2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 x14ac:dyDescent="0.2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 x14ac:dyDescent="0.2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 x14ac:dyDescent="0.2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 x14ac:dyDescent="0.2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 x14ac:dyDescent="0.2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 x14ac:dyDescent="0.2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 x14ac:dyDescent="0.2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 x14ac:dyDescent="0.2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 x14ac:dyDescent="0.2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 x14ac:dyDescent="0.2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 x14ac:dyDescent="0.2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 x14ac:dyDescent="0.2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 x14ac:dyDescent="0.2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 x14ac:dyDescent="0.2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 x14ac:dyDescent="0.2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 x14ac:dyDescent="0.2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 x14ac:dyDescent="0.2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 x14ac:dyDescent="0.2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 x14ac:dyDescent="0.2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 x14ac:dyDescent="0.2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 x14ac:dyDescent="0.2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 x14ac:dyDescent="0.2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 x14ac:dyDescent="0.2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 x14ac:dyDescent="0.2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 x14ac:dyDescent="0.2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 x14ac:dyDescent="0.2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 x14ac:dyDescent="0.2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 x14ac:dyDescent="0.2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 x14ac:dyDescent="0.2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 x14ac:dyDescent="0.2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 x14ac:dyDescent="0.2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 x14ac:dyDescent="0.2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 x14ac:dyDescent="0.2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 x14ac:dyDescent="0.2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 x14ac:dyDescent="0.2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 x14ac:dyDescent="0.2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 x14ac:dyDescent="0.2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 x14ac:dyDescent="0.2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 x14ac:dyDescent="0.2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 x14ac:dyDescent="0.2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 x14ac:dyDescent="0.2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 x14ac:dyDescent="0.2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 x14ac:dyDescent="0.2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 x14ac:dyDescent="0.2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 x14ac:dyDescent="0.2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 x14ac:dyDescent="0.2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 x14ac:dyDescent="0.2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 x14ac:dyDescent="0.2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 x14ac:dyDescent="0.2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 x14ac:dyDescent="0.2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 x14ac:dyDescent="0.2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 x14ac:dyDescent="0.2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 x14ac:dyDescent="0.2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 x14ac:dyDescent="0.2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 x14ac:dyDescent="0.2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 x14ac:dyDescent="0.2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 x14ac:dyDescent="0.2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 x14ac:dyDescent="0.2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 x14ac:dyDescent="0.2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 x14ac:dyDescent="0.2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 x14ac:dyDescent="0.2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 x14ac:dyDescent="0.2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 x14ac:dyDescent="0.2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 x14ac:dyDescent="0.2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 x14ac:dyDescent="0.2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 x14ac:dyDescent="0.2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 x14ac:dyDescent="0.2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 x14ac:dyDescent="0.2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 x14ac:dyDescent="0.2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 x14ac:dyDescent="0.2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 x14ac:dyDescent="0.2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 x14ac:dyDescent="0.2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 x14ac:dyDescent="0.2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 x14ac:dyDescent="0.2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 x14ac:dyDescent="0.2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 x14ac:dyDescent="0.2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 x14ac:dyDescent="0.2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 x14ac:dyDescent="0.2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 x14ac:dyDescent="0.2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 x14ac:dyDescent="0.2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 x14ac:dyDescent="0.2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 x14ac:dyDescent="0.2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 x14ac:dyDescent="0.2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 x14ac:dyDescent="0.2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 x14ac:dyDescent="0.2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 x14ac:dyDescent="0.2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 x14ac:dyDescent="0.2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 x14ac:dyDescent="0.2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 x14ac:dyDescent="0.2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 x14ac:dyDescent="0.2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 x14ac:dyDescent="0.2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 x14ac:dyDescent="0.2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 x14ac:dyDescent="0.2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 x14ac:dyDescent="0.2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 x14ac:dyDescent="0.2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 x14ac:dyDescent="0.2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 x14ac:dyDescent="0.2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 x14ac:dyDescent="0.2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 x14ac:dyDescent="0.2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 x14ac:dyDescent="0.2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 x14ac:dyDescent="0.2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 x14ac:dyDescent="0.2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 x14ac:dyDescent="0.2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 x14ac:dyDescent="0.2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 x14ac:dyDescent="0.2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 x14ac:dyDescent="0.2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 x14ac:dyDescent="0.2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 x14ac:dyDescent="0.2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 x14ac:dyDescent="0.2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 x14ac:dyDescent="0.2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 x14ac:dyDescent="0.2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 x14ac:dyDescent="0.2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 x14ac:dyDescent="0.2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 x14ac:dyDescent="0.2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 x14ac:dyDescent="0.2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 x14ac:dyDescent="0.2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 x14ac:dyDescent="0.2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 x14ac:dyDescent="0.2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 x14ac:dyDescent="0.2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 x14ac:dyDescent="0.2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 x14ac:dyDescent="0.2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 x14ac:dyDescent="0.2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 x14ac:dyDescent="0.2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 x14ac:dyDescent="0.2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 x14ac:dyDescent="0.2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 x14ac:dyDescent="0.2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 x14ac:dyDescent="0.2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 x14ac:dyDescent="0.2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 x14ac:dyDescent="0.2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 x14ac:dyDescent="0.2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 x14ac:dyDescent="0.2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 x14ac:dyDescent="0.2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 x14ac:dyDescent="0.2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 x14ac:dyDescent="0.2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 x14ac:dyDescent="0.2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 x14ac:dyDescent="0.2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 x14ac:dyDescent="0.2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 x14ac:dyDescent="0.2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 x14ac:dyDescent="0.2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 x14ac:dyDescent="0.2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 x14ac:dyDescent="0.2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 x14ac:dyDescent="0.2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 x14ac:dyDescent="0.2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 x14ac:dyDescent="0.2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 x14ac:dyDescent="0.2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 x14ac:dyDescent="0.2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 x14ac:dyDescent="0.2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 x14ac:dyDescent="0.2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 x14ac:dyDescent="0.2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 x14ac:dyDescent="0.2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 x14ac:dyDescent="0.2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 x14ac:dyDescent="0.2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 x14ac:dyDescent="0.2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 x14ac:dyDescent="0.2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 x14ac:dyDescent="0.2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 x14ac:dyDescent="0.2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 x14ac:dyDescent="0.2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 x14ac:dyDescent="0.2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 x14ac:dyDescent="0.2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 x14ac:dyDescent="0.2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 x14ac:dyDescent="0.2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 x14ac:dyDescent="0.2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 x14ac:dyDescent="0.2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 x14ac:dyDescent="0.2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 x14ac:dyDescent="0.2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 x14ac:dyDescent="0.2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 x14ac:dyDescent="0.2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 x14ac:dyDescent="0.2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 x14ac:dyDescent="0.2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 x14ac:dyDescent="0.2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 x14ac:dyDescent="0.2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 x14ac:dyDescent="0.2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 x14ac:dyDescent="0.2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 x14ac:dyDescent="0.2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 x14ac:dyDescent="0.2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 x14ac:dyDescent="0.2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 x14ac:dyDescent="0.2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 x14ac:dyDescent="0.2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 x14ac:dyDescent="0.2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 x14ac:dyDescent="0.2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 x14ac:dyDescent="0.2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 x14ac:dyDescent="0.2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 x14ac:dyDescent="0.2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 x14ac:dyDescent="0.2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 x14ac:dyDescent="0.2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 x14ac:dyDescent="0.2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 x14ac:dyDescent="0.2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 x14ac:dyDescent="0.2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 x14ac:dyDescent="0.2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 x14ac:dyDescent="0.2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 x14ac:dyDescent="0.2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 x14ac:dyDescent="0.2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 x14ac:dyDescent="0.2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 x14ac:dyDescent="0.2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 x14ac:dyDescent="0.2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 x14ac:dyDescent="0.2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 x14ac:dyDescent="0.2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 x14ac:dyDescent="0.2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 x14ac:dyDescent="0.2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 x14ac:dyDescent="0.2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 x14ac:dyDescent="0.2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 x14ac:dyDescent="0.2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 x14ac:dyDescent="0.2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 x14ac:dyDescent="0.2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 x14ac:dyDescent="0.2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 x14ac:dyDescent="0.2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 x14ac:dyDescent="0.2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 x14ac:dyDescent="0.2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 x14ac:dyDescent="0.2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 x14ac:dyDescent="0.2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 x14ac:dyDescent="0.2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 x14ac:dyDescent="0.2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 x14ac:dyDescent="0.2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 x14ac:dyDescent="0.2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 x14ac:dyDescent="0.2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 x14ac:dyDescent="0.2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 x14ac:dyDescent="0.2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 x14ac:dyDescent="0.2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 x14ac:dyDescent="0.2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 x14ac:dyDescent="0.2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 x14ac:dyDescent="0.2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 x14ac:dyDescent="0.2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 x14ac:dyDescent="0.2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 x14ac:dyDescent="0.2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 x14ac:dyDescent="0.2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 x14ac:dyDescent="0.2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 x14ac:dyDescent="0.2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 x14ac:dyDescent="0.2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 x14ac:dyDescent="0.2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 x14ac:dyDescent="0.2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 x14ac:dyDescent="0.2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 x14ac:dyDescent="0.2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 x14ac:dyDescent="0.2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 x14ac:dyDescent="0.2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 x14ac:dyDescent="0.2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 x14ac:dyDescent="0.2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 x14ac:dyDescent="0.2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 x14ac:dyDescent="0.2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 x14ac:dyDescent="0.2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 x14ac:dyDescent="0.2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 x14ac:dyDescent="0.2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 x14ac:dyDescent="0.2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 x14ac:dyDescent="0.2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 x14ac:dyDescent="0.2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 x14ac:dyDescent="0.2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 x14ac:dyDescent="0.2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 x14ac:dyDescent="0.2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 x14ac:dyDescent="0.2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 x14ac:dyDescent="0.2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 x14ac:dyDescent="0.2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 x14ac:dyDescent="0.2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 x14ac:dyDescent="0.2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 x14ac:dyDescent="0.2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 x14ac:dyDescent="0.2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 x14ac:dyDescent="0.2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 x14ac:dyDescent="0.2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 x14ac:dyDescent="0.2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 x14ac:dyDescent="0.2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 x14ac:dyDescent="0.2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 x14ac:dyDescent="0.2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 x14ac:dyDescent="0.2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 x14ac:dyDescent="0.2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 x14ac:dyDescent="0.2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 x14ac:dyDescent="0.2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 x14ac:dyDescent="0.2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 x14ac:dyDescent="0.2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 x14ac:dyDescent="0.2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 x14ac:dyDescent="0.2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 x14ac:dyDescent="0.2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 x14ac:dyDescent="0.2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 x14ac:dyDescent="0.2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 x14ac:dyDescent="0.2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 x14ac:dyDescent="0.2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 x14ac:dyDescent="0.2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 x14ac:dyDescent="0.2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 x14ac:dyDescent="0.2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 x14ac:dyDescent="0.2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 x14ac:dyDescent="0.2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 x14ac:dyDescent="0.2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 x14ac:dyDescent="0.2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 x14ac:dyDescent="0.2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 x14ac:dyDescent="0.2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 x14ac:dyDescent="0.2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 x14ac:dyDescent="0.2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 x14ac:dyDescent="0.2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 x14ac:dyDescent="0.2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 x14ac:dyDescent="0.2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 x14ac:dyDescent="0.2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 x14ac:dyDescent="0.2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 x14ac:dyDescent="0.2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 x14ac:dyDescent="0.2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 x14ac:dyDescent="0.2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 x14ac:dyDescent="0.2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 x14ac:dyDescent="0.2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 x14ac:dyDescent="0.2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 x14ac:dyDescent="0.2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 x14ac:dyDescent="0.2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 x14ac:dyDescent="0.2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 x14ac:dyDescent="0.2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 x14ac:dyDescent="0.2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 x14ac:dyDescent="0.2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 x14ac:dyDescent="0.2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 x14ac:dyDescent="0.2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 x14ac:dyDescent="0.2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 x14ac:dyDescent="0.2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 x14ac:dyDescent="0.2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 x14ac:dyDescent="0.2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 x14ac:dyDescent="0.2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 x14ac:dyDescent="0.2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 x14ac:dyDescent="0.2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 x14ac:dyDescent="0.2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 x14ac:dyDescent="0.2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 x14ac:dyDescent="0.2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 x14ac:dyDescent="0.2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 x14ac:dyDescent="0.2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 x14ac:dyDescent="0.2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 x14ac:dyDescent="0.2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 x14ac:dyDescent="0.2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 x14ac:dyDescent="0.2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 x14ac:dyDescent="0.2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 x14ac:dyDescent="0.2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 x14ac:dyDescent="0.2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 x14ac:dyDescent="0.2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 x14ac:dyDescent="0.2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 x14ac:dyDescent="0.2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 x14ac:dyDescent="0.2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 x14ac:dyDescent="0.2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 x14ac:dyDescent="0.2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 x14ac:dyDescent="0.2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 x14ac:dyDescent="0.2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 x14ac:dyDescent="0.2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 x14ac:dyDescent="0.2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 x14ac:dyDescent="0.2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 x14ac:dyDescent="0.2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 x14ac:dyDescent="0.2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 x14ac:dyDescent="0.2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 x14ac:dyDescent="0.2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 x14ac:dyDescent="0.2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 x14ac:dyDescent="0.2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 x14ac:dyDescent="0.2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 x14ac:dyDescent="0.2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 x14ac:dyDescent="0.2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 x14ac:dyDescent="0.2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 x14ac:dyDescent="0.2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 x14ac:dyDescent="0.2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 x14ac:dyDescent="0.2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 x14ac:dyDescent="0.2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 x14ac:dyDescent="0.2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 x14ac:dyDescent="0.2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 x14ac:dyDescent="0.2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 x14ac:dyDescent="0.2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 x14ac:dyDescent="0.2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 x14ac:dyDescent="0.2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 x14ac:dyDescent="0.2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 x14ac:dyDescent="0.2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 x14ac:dyDescent="0.2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 x14ac:dyDescent="0.2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 x14ac:dyDescent="0.2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 x14ac:dyDescent="0.2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 x14ac:dyDescent="0.2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 x14ac:dyDescent="0.2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 x14ac:dyDescent="0.2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 x14ac:dyDescent="0.2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 x14ac:dyDescent="0.2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 x14ac:dyDescent="0.2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 x14ac:dyDescent="0.2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 x14ac:dyDescent="0.2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 x14ac:dyDescent="0.2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 x14ac:dyDescent="0.2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 x14ac:dyDescent="0.2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 x14ac:dyDescent="0.2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 x14ac:dyDescent="0.2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 x14ac:dyDescent="0.2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 x14ac:dyDescent="0.2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 x14ac:dyDescent="0.2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 x14ac:dyDescent="0.2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 x14ac:dyDescent="0.2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 x14ac:dyDescent="0.2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 x14ac:dyDescent="0.2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 x14ac:dyDescent="0.2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 x14ac:dyDescent="0.2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 x14ac:dyDescent="0.2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 x14ac:dyDescent="0.2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 x14ac:dyDescent="0.2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 x14ac:dyDescent="0.2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 x14ac:dyDescent="0.2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 x14ac:dyDescent="0.2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 x14ac:dyDescent="0.2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 x14ac:dyDescent="0.2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 x14ac:dyDescent="0.2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 x14ac:dyDescent="0.2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 x14ac:dyDescent="0.2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 x14ac:dyDescent="0.2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 x14ac:dyDescent="0.2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 x14ac:dyDescent="0.2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 x14ac:dyDescent="0.2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 x14ac:dyDescent="0.2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 x14ac:dyDescent="0.2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 x14ac:dyDescent="0.2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 x14ac:dyDescent="0.2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 x14ac:dyDescent="0.2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 x14ac:dyDescent="0.2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 x14ac:dyDescent="0.2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 x14ac:dyDescent="0.2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 x14ac:dyDescent="0.2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 x14ac:dyDescent="0.2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 x14ac:dyDescent="0.2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 x14ac:dyDescent="0.2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 x14ac:dyDescent="0.2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 x14ac:dyDescent="0.2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 x14ac:dyDescent="0.2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 x14ac:dyDescent="0.2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 x14ac:dyDescent="0.2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 x14ac:dyDescent="0.2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 x14ac:dyDescent="0.2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 x14ac:dyDescent="0.2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 x14ac:dyDescent="0.2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 x14ac:dyDescent="0.2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 x14ac:dyDescent="0.2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 x14ac:dyDescent="0.2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 x14ac:dyDescent="0.2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 x14ac:dyDescent="0.2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 x14ac:dyDescent="0.2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 x14ac:dyDescent="0.2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 x14ac:dyDescent="0.2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 x14ac:dyDescent="0.2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 x14ac:dyDescent="0.2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 x14ac:dyDescent="0.2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 x14ac:dyDescent="0.2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 x14ac:dyDescent="0.2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 x14ac:dyDescent="0.2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 x14ac:dyDescent="0.2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 x14ac:dyDescent="0.2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 x14ac:dyDescent="0.2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 x14ac:dyDescent="0.2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 x14ac:dyDescent="0.2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 x14ac:dyDescent="0.2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 x14ac:dyDescent="0.2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 x14ac:dyDescent="0.2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 x14ac:dyDescent="0.2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 x14ac:dyDescent="0.2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 x14ac:dyDescent="0.2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 x14ac:dyDescent="0.2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 x14ac:dyDescent="0.2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 x14ac:dyDescent="0.2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 x14ac:dyDescent="0.2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 x14ac:dyDescent="0.2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 x14ac:dyDescent="0.2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 x14ac:dyDescent="0.2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 x14ac:dyDescent="0.2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 x14ac:dyDescent="0.2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 x14ac:dyDescent="0.2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 x14ac:dyDescent="0.2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 x14ac:dyDescent="0.2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 x14ac:dyDescent="0.2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 x14ac:dyDescent="0.2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 x14ac:dyDescent="0.2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 x14ac:dyDescent="0.2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 x14ac:dyDescent="0.2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 x14ac:dyDescent="0.2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 x14ac:dyDescent="0.2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 x14ac:dyDescent="0.2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 x14ac:dyDescent="0.2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 x14ac:dyDescent="0.2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 x14ac:dyDescent="0.2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 x14ac:dyDescent="0.2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 x14ac:dyDescent="0.2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 x14ac:dyDescent="0.2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 x14ac:dyDescent="0.2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 x14ac:dyDescent="0.2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 x14ac:dyDescent="0.2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 x14ac:dyDescent="0.2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 x14ac:dyDescent="0.2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 x14ac:dyDescent="0.2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 x14ac:dyDescent="0.2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 x14ac:dyDescent="0.2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 x14ac:dyDescent="0.2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 x14ac:dyDescent="0.2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 x14ac:dyDescent="0.2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 x14ac:dyDescent="0.2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 x14ac:dyDescent="0.2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 x14ac:dyDescent="0.2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 x14ac:dyDescent="0.2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 x14ac:dyDescent="0.2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 x14ac:dyDescent="0.2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 x14ac:dyDescent="0.2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 x14ac:dyDescent="0.2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 x14ac:dyDescent="0.2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 x14ac:dyDescent="0.2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 x14ac:dyDescent="0.2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 x14ac:dyDescent="0.2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 x14ac:dyDescent="0.2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 x14ac:dyDescent="0.2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 x14ac:dyDescent="0.2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 x14ac:dyDescent="0.2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 x14ac:dyDescent="0.2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 x14ac:dyDescent="0.2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 x14ac:dyDescent="0.2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 x14ac:dyDescent="0.2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 x14ac:dyDescent="0.2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 x14ac:dyDescent="0.2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 x14ac:dyDescent="0.2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 x14ac:dyDescent="0.2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 x14ac:dyDescent="0.2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 x14ac:dyDescent="0.2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 x14ac:dyDescent="0.2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 x14ac:dyDescent="0.2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 x14ac:dyDescent="0.2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 x14ac:dyDescent="0.2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 x14ac:dyDescent="0.2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 x14ac:dyDescent="0.2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 x14ac:dyDescent="0.2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 x14ac:dyDescent="0.2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 x14ac:dyDescent="0.2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 x14ac:dyDescent="0.2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 x14ac:dyDescent="0.2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 x14ac:dyDescent="0.2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 x14ac:dyDescent="0.2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 x14ac:dyDescent="0.2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 x14ac:dyDescent="0.2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 x14ac:dyDescent="0.2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 x14ac:dyDescent="0.2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 x14ac:dyDescent="0.2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 x14ac:dyDescent="0.2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 x14ac:dyDescent="0.2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 x14ac:dyDescent="0.2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 x14ac:dyDescent="0.2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 x14ac:dyDescent="0.2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 x14ac:dyDescent="0.2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 x14ac:dyDescent="0.2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 x14ac:dyDescent="0.2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 x14ac:dyDescent="0.2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 x14ac:dyDescent="0.2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 x14ac:dyDescent="0.2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 x14ac:dyDescent="0.2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 x14ac:dyDescent="0.2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 x14ac:dyDescent="0.2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 x14ac:dyDescent="0.2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 x14ac:dyDescent="0.2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 x14ac:dyDescent="0.2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 x14ac:dyDescent="0.2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 x14ac:dyDescent="0.2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 x14ac:dyDescent="0.2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 x14ac:dyDescent="0.2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 x14ac:dyDescent="0.2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 x14ac:dyDescent="0.2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 x14ac:dyDescent="0.2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 x14ac:dyDescent="0.2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 x14ac:dyDescent="0.2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 x14ac:dyDescent="0.2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 x14ac:dyDescent="0.2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 x14ac:dyDescent="0.2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 x14ac:dyDescent="0.2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 x14ac:dyDescent="0.2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 x14ac:dyDescent="0.2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 x14ac:dyDescent="0.2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 x14ac:dyDescent="0.2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 x14ac:dyDescent="0.2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 x14ac:dyDescent="0.2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 x14ac:dyDescent="0.2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 x14ac:dyDescent="0.2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 x14ac:dyDescent="0.2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 x14ac:dyDescent="0.2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 x14ac:dyDescent="0.2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 x14ac:dyDescent="0.2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 x14ac:dyDescent="0.2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 x14ac:dyDescent="0.2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 x14ac:dyDescent="0.2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 x14ac:dyDescent="0.2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 x14ac:dyDescent="0.2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 x14ac:dyDescent="0.2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 x14ac:dyDescent="0.2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 x14ac:dyDescent="0.2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 x14ac:dyDescent="0.2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 x14ac:dyDescent="0.2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 x14ac:dyDescent="0.2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 x14ac:dyDescent="0.2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 x14ac:dyDescent="0.2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 x14ac:dyDescent="0.2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 x14ac:dyDescent="0.2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 x14ac:dyDescent="0.2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 x14ac:dyDescent="0.2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 x14ac:dyDescent="0.2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 x14ac:dyDescent="0.2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 x14ac:dyDescent="0.2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 x14ac:dyDescent="0.2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 x14ac:dyDescent="0.2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 x14ac:dyDescent="0.2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 x14ac:dyDescent="0.2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 x14ac:dyDescent="0.2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 x14ac:dyDescent="0.2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 x14ac:dyDescent="0.2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 x14ac:dyDescent="0.2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 x14ac:dyDescent="0.2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 x14ac:dyDescent="0.2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 x14ac:dyDescent="0.2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 x14ac:dyDescent="0.2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 x14ac:dyDescent="0.2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 x14ac:dyDescent="0.2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 x14ac:dyDescent="0.2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 x14ac:dyDescent="0.2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 x14ac:dyDescent="0.2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 x14ac:dyDescent="0.2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 x14ac:dyDescent="0.2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 x14ac:dyDescent="0.2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 x14ac:dyDescent="0.2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 x14ac:dyDescent="0.2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 x14ac:dyDescent="0.2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 x14ac:dyDescent="0.2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 x14ac:dyDescent="0.2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 x14ac:dyDescent="0.2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 x14ac:dyDescent="0.2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 x14ac:dyDescent="0.2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 x14ac:dyDescent="0.2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 x14ac:dyDescent="0.2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 x14ac:dyDescent="0.2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 x14ac:dyDescent="0.2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 x14ac:dyDescent="0.2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 x14ac:dyDescent="0.2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 x14ac:dyDescent="0.2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 x14ac:dyDescent="0.2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 x14ac:dyDescent="0.2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 x14ac:dyDescent="0.2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 x14ac:dyDescent="0.2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 x14ac:dyDescent="0.2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 x14ac:dyDescent="0.2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 x14ac:dyDescent="0.2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 x14ac:dyDescent="0.2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 x14ac:dyDescent="0.2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 x14ac:dyDescent="0.2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 x14ac:dyDescent="0.2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 x14ac:dyDescent="0.2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 x14ac:dyDescent="0.2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 x14ac:dyDescent="0.2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 x14ac:dyDescent="0.2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 x14ac:dyDescent="0.2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 x14ac:dyDescent="0.2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 x14ac:dyDescent="0.2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 x14ac:dyDescent="0.2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 x14ac:dyDescent="0.2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 x14ac:dyDescent="0.2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 x14ac:dyDescent="0.2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 x14ac:dyDescent="0.2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 x14ac:dyDescent="0.2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 x14ac:dyDescent="0.2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 x14ac:dyDescent="0.2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 x14ac:dyDescent="0.2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 x14ac:dyDescent="0.2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 x14ac:dyDescent="0.2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 x14ac:dyDescent="0.2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 x14ac:dyDescent="0.2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 x14ac:dyDescent="0.2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 x14ac:dyDescent="0.2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 x14ac:dyDescent="0.2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 x14ac:dyDescent="0.2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 x14ac:dyDescent="0.2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 x14ac:dyDescent="0.2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 x14ac:dyDescent="0.2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 x14ac:dyDescent="0.2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 x14ac:dyDescent="0.2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 x14ac:dyDescent="0.2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 x14ac:dyDescent="0.2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 x14ac:dyDescent="0.2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 x14ac:dyDescent="0.2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 x14ac:dyDescent="0.2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 x14ac:dyDescent="0.2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 x14ac:dyDescent="0.2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 x14ac:dyDescent="0.2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 x14ac:dyDescent="0.2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 x14ac:dyDescent="0.2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 x14ac:dyDescent="0.2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 x14ac:dyDescent="0.2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 x14ac:dyDescent="0.2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 x14ac:dyDescent="0.2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 x14ac:dyDescent="0.2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 x14ac:dyDescent="0.2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 x14ac:dyDescent="0.2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 x14ac:dyDescent="0.2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 x14ac:dyDescent="0.2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 x14ac:dyDescent="0.2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 x14ac:dyDescent="0.2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 x14ac:dyDescent="0.2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 x14ac:dyDescent="0.2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 x14ac:dyDescent="0.2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 x14ac:dyDescent="0.2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 x14ac:dyDescent="0.2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 x14ac:dyDescent="0.2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 x14ac:dyDescent="0.2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 x14ac:dyDescent="0.2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 x14ac:dyDescent="0.2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 x14ac:dyDescent="0.2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 x14ac:dyDescent="0.2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 x14ac:dyDescent="0.2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 x14ac:dyDescent="0.2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 x14ac:dyDescent="0.2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 x14ac:dyDescent="0.2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 x14ac:dyDescent="0.2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 x14ac:dyDescent="0.2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 x14ac:dyDescent="0.2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 x14ac:dyDescent="0.2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 x14ac:dyDescent="0.2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 x14ac:dyDescent="0.2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 x14ac:dyDescent="0.2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 x14ac:dyDescent="0.2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 x14ac:dyDescent="0.2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 x14ac:dyDescent="0.2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 x14ac:dyDescent="0.2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 x14ac:dyDescent="0.2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 x14ac:dyDescent="0.2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 x14ac:dyDescent="0.2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 x14ac:dyDescent="0.2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 x14ac:dyDescent="0.2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 x14ac:dyDescent="0.2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 x14ac:dyDescent="0.2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 x14ac:dyDescent="0.2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 x14ac:dyDescent="0.2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 x14ac:dyDescent="0.2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 x14ac:dyDescent="0.2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 x14ac:dyDescent="0.2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 x14ac:dyDescent="0.2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 x14ac:dyDescent="0.2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 x14ac:dyDescent="0.2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 x14ac:dyDescent="0.2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 x14ac:dyDescent="0.2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 x14ac:dyDescent="0.2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 x14ac:dyDescent="0.2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 x14ac:dyDescent="0.2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 x14ac:dyDescent="0.2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 x14ac:dyDescent="0.2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 x14ac:dyDescent="0.2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 x14ac:dyDescent="0.2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 x14ac:dyDescent="0.2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 x14ac:dyDescent="0.2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 x14ac:dyDescent="0.2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 x14ac:dyDescent="0.2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 x14ac:dyDescent="0.2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 x14ac:dyDescent="0.2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 x14ac:dyDescent="0.2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 x14ac:dyDescent="0.2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 x14ac:dyDescent="0.2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 x14ac:dyDescent="0.2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 x14ac:dyDescent="0.2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 x14ac:dyDescent="0.2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 x14ac:dyDescent="0.2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 x14ac:dyDescent="0.2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 x14ac:dyDescent="0.2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 x14ac:dyDescent="0.2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 x14ac:dyDescent="0.2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 x14ac:dyDescent="0.2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 x14ac:dyDescent="0.2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 x14ac:dyDescent="0.2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 x14ac:dyDescent="0.2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 x14ac:dyDescent="0.2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 x14ac:dyDescent="0.2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 x14ac:dyDescent="0.2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 x14ac:dyDescent="0.2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 x14ac:dyDescent="0.2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 x14ac:dyDescent="0.2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 x14ac:dyDescent="0.2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 x14ac:dyDescent="0.2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 x14ac:dyDescent="0.2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 x14ac:dyDescent="0.2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 x14ac:dyDescent="0.2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 x14ac:dyDescent="0.2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 x14ac:dyDescent="0.2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 x14ac:dyDescent="0.2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 x14ac:dyDescent="0.2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 x14ac:dyDescent="0.2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 x14ac:dyDescent="0.2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 x14ac:dyDescent="0.2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 x14ac:dyDescent="0.2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 x14ac:dyDescent="0.2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 x14ac:dyDescent="0.2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 x14ac:dyDescent="0.2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 x14ac:dyDescent="0.2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 x14ac:dyDescent="0.2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 x14ac:dyDescent="0.2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 x14ac:dyDescent="0.2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 x14ac:dyDescent="0.2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 x14ac:dyDescent="0.2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 x14ac:dyDescent="0.2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 x14ac:dyDescent="0.2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 x14ac:dyDescent="0.2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 x14ac:dyDescent="0.2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 x14ac:dyDescent="0.2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 x14ac:dyDescent="0.2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 x14ac:dyDescent="0.2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 x14ac:dyDescent="0.2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 x14ac:dyDescent="0.2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 x14ac:dyDescent="0.2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 x14ac:dyDescent="0.2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 x14ac:dyDescent="0.2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 x14ac:dyDescent="0.2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 x14ac:dyDescent="0.2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 x14ac:dyDescent="0.2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 x14ac:dyDescent="0.2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 x14ac:dyDescent="0.2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 x14ac:dyDescent="0.2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 x14ac:dyDescent="0.2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 x14ac:dyDescent="0.2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 x14ac:dyDescent="0.2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 x14ac:dyDescent="0.2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 x14ac:dyDescent="0.2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 x14ac:dyDescent="0.2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 x14ac:dyDescent="0.2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 x14ac:dyDescent="0.2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 x14ac:dyDescent="0.2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 x14ac:dyDescent="0.2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 x14ac:dyDescent="0.2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 x14ac:dyDescent="0.2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 x14ac:dyDescent="0.2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 x14ac:dyDescent="0.2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 x14ac:dyDescent="0.2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 x14ac:dyDescent="0.2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 x14ac:dyDescent="0.2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 x14ac:dyDescent="0.2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 x14ac:dyDescent="0.2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 x14ac:dyDescent="0.2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 x14ac:dyDescent="0.2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 x14ac:dyDescent="0.2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 x14ac:dyDescent="0.2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 x14ac:dyDescent="0.2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 x14ac:dyDescent="0.2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 x14ac:dyDescent="0.2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 x14ac:dyDescent="0.2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 x14ac:dyDescent="0.2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 x14ac:dyDescent="0.2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 x14ac:dyDescent="0.2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 x14ac:dyDescent="0.2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 x14ac:dyDescent="0.2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 x14ac:dyDescent="0.2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 x14ac:dyDescent="0.2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 x14ac:dyDescent="0.2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 x14ac:dyDescent="0.2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 x14ac:dyDescent="0.2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 x14ac:dyDescent="0.2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 x14ac:dyDescent="0.2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 x14ac:dyDescent="0.2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 x14ac:dyDescent="0.2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 x14ac:dyDescent="0.2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 x14ac:dyDescent="0.2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 x14ac:dyDescent="0.2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 x14ac:dyDescent="0.2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 x14ac:dyDescent="0.2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 x14ac:dyDescent="0.2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 x14ac:dyDescent="0.2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 x14ac:dyDescent="0.2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 x14ac:dyDescent="0.2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 x14ac:dyDescent="0.2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 x14ac:dyDescent="0.2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 x14ac:dyDescent="0.2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 x14ac:dyDescent="0.2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 x14ac:dyDescent="0.2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 x14ac:dyDescent="0.2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 x14ac:dyDescent="0.2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 x14ac:dyDescent="0.2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 x14ac:dyDescent="0.2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 x14ac:dyDescent="0.2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 x14ac:dyDescent="0.2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 x14ac:dyDescent="0.2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 x14ac:dyDescent="0.2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 x14ac:dyDescent="0.2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 x14ac:dyDescent="0.2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 x14ac:dyDescent="0.2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 x14ac:dyDescent="0.2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 x14ac:dyDescent="0.2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 x14ac:dyDescent="0.2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 x14ac:dyDescent="0.2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 x14ac:dyDescent="0.2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 x14ac:dyDescent="0.2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 x14ac:dyDescent="0.2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 x14ac:dyDescent="0.2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 x14ac:dyDescent="0.2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 x14ac:dyDescent="0.2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 x14ac:dyDescent="0.2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 x14ac:dyDescent="0.2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 x14ac:dyDescent="0.2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 x14ac:dyDescent="0.2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 x14ac:dyDescent="0.2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 x14ac:dyDescent="0.2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 x14ac:dyDescent="0.2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 x14ac:dyDescent="0.2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 x14ac:dyDescent="0.2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 x14ac:dyDescent="0.2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 x14ac:dyDescent="0.2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 x14ac:dyDescent="0.2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 x14ac:dyDescent="0.2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 x14ac:dyDescent="0.2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 x14ac:dyDescent="0.2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 x14ac:dyDescent="0.2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 x14ac:dyDescent="0.2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 x14ac:dyDescent="0.2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 x14ac:dyDescent="0.2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 x14ac:dyDescent="0.2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 x14ac:dyDescent="0.2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 x14ac:dyDescent="0.2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 x14ac:dyDescent="0.2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 x14ac:dyDescent="0.2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 x14ac:dyDescent="0.2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 x14ac:dyDescent="0.2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 x14ac:dyDescent="0.2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 x14ac:dyDescent="0.2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 x14ac:dyDescent="0.2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 x14ac:dyDescent="0.2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 x14ac:dyDescent="0.2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 x14ac:dyDescent="0.2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 x14ac:dyDescent="0.2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 x14ac:dyDescent="0.2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 x14ac:dyDescent="0.2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 x14ac:dyDescent="0.2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 x14ac:dyDescent="0.2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 x14ac:dyDescent="0.2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 x14ac:dyDescent="0.2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 x14ac:dyDescent="0.2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 x14ac:dyDescent="0.2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 x14ac:dyDescent="0.2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 x14ac:dyDescent="0.2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 x14ac:dyDescent="0.2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 x14ac:dyDescent="0.2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 x14ac:dyDescent="0.2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 x14ac:dyDescent="0.2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 x14ac:dyDescent="0.2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 x14ac:dyDescent="0.2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 x14ac:dyDescent="0.2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 x14ac:dyDescent="0.2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 x14ac:dyDescent="0.2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 x14ac:dyDescent="0.2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 x14ac:dyDescent="0.2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 x14ac:dyDescent="0.2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 x14ac:dyDescent="0.2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 x14ac:dyDescent="0.2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 x14ac:dyDescent="0.2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 x14ac:dyDescent="0.2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 x14ac:dyDescent="0.2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 x14ac:dyDescent="0.2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 x14ac:dyDescent="0.2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 x14ac:dyDescent="0.2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 x14ac:dyDescent="0.2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 x14ac:dyDescent="0.2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 x14ac:dyDescent="0.2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 x14ac:dyDescent="0.2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 x14ac:dyDescent="0.2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 x14ac:dyDescent="0.2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 x14ac:dyDescent="0.2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 x14ac:dyDescent="0.2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 x14ac:dyDescent="0.2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 x14ac:dyDescent="0.2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 x14ac:dyDescent="0.2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 x14ac:dyDescent="0.2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 x14ac:dyDescent="0.2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 x14ac:dyDescent="0.2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 x14ac:dyDescent="0.2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 x14ac:dyDescent="0.2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 x14ac:dyDescent="0.2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 x14ac:dyDescent="0.2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 x14ac:dyDescent="0.2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 x14ac:dyDescent="0.2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 x14ac:dyDescent="0.2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 x14ac:dyDescent="0.2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 x14ac:dyDescent="0.2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 x14ac:dyDescent="0.2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 x14ac:dyDescent="0.2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 x14ac:dyDescent="0.2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 x14ac:dyDescent="0.2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 x14ac:dyDescent="0.2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 x14ac:dyDescent="0.2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 x14ac:dyDescent="0.2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 x14ac:dyDescent="0.2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 x14ac:dyDescent="0.2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 x14ac:dyDescent="0.2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 x14ac:dyDescent="0.2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 x14ac:dyDescent="0.2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 x14ac:dyDescent="0.2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 x14ac:dyDescent="0.2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 x14ac:dyDescent="0.2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 x14ac:dyDescent="0.2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 x14ac:dyDescent="0.2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 x14ac:dyDescent="0.2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 x14ac:dyDescent="0.2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 x14ac:dyDescent="0.2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 x14ac:dyDescent="0.2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 x14ac:dyDescent="0.2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 x14ac:dyDescent="0.2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 x14ac:dyDescent="0.2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 x14ac:dyDescent="0.2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 x14ac:dyDescent="0.2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 x14ac:dyDescent="0.2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 x14ac:dyDescent="0.2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 x14ac:dyDescent="0.2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 x14ac:dyDescent="0.2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 x14ac:dyDescent="0.2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 x14ac:dyDescent="0.2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 x14ac:dyDescent="0.2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 x14ac:dyDescent="0.2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 x14ac:dyDescent="0.2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 x14ac:dyDescent="0.2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 x14ac:dyDescent="0.2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 x14ac:dyDescent="0.2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 x14ac:dyDescent="0.2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 x14ac:dyDescent="0.2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 x14ac:dyDescent="0.2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 x14ac:dyDescent="0.2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 x14ac:dyDescent="0.2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 x14ac:dyDescent="0.2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 x14ac:dyDescent="0.2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 x14ac:dyDescent="0.2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 x14ac:dyDescent="0.2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 x14ac:dyDescent="0.2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 x14ac:dyDescent="0.2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 x14ac:dyDescent="0.2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 x14ac:dyDescent="0.2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 x14ac:dyDescent="0.2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 x14ac:dyDescent="0.2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 x14ac:dyDescent="0.2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 x14ac:dyDescent="0.2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 x14ac:dyDescent="0.2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 x14ac:dyDescent="0.2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 x14ac:dyDescent="0.2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 x14ac:dyDescent="0.2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 x14ac:dyDescent="0.2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 x14ac:dyDescent="0.2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 x14ac:dyDescent="0.2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 x14ac:dyDescent="0.2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 x14ac:dyDescent="0.2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 x14ac:dyDescent="0.2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 x14ac:dyDescent="0.2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 x14ac:dyDescent="0.2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 x14ac:dyDescent="0.2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 x14ac:dyDescent="0.2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 x14ac:dyDescent="0.2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 x14ac:dyDescent="0.2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 x14ac:dyDescent="0.2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 x14ac:dyDescent="0.2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 x14ac:dyDescent="0.2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 x14ac:dyDescent="0.2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 x14ac:dyDescent="0.2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 x14ac:dyDescent="0.2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 x14ac:dyDescent="0.2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 x14ac:dyDescent="0.2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 x14ac:dyDescent="0.2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 x14ac:dyDescent="0.2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 x14ac:dyDescent="0.2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 x14ac:dyDescent="0.2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 x14ac:dyDescent="0.2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 x14ac:dyDescent="0.2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 x14ac:dyDescent="0.2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 x14ac:dyDescent="0.2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 x14ac:dyDescent="0.2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 x14ac:dyDescent="0.2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 x14ac:dyDescent="0.2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 x14ac:dyDescent="0.2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 x14ac:dyDescent="0.2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 x14ac:dyDescent="0.2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 x14ac:dyDescent="0.2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 x14ac:dyDescent="0.2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 x14ac:dyDescent="0.2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 x14ac:dyDescent="0.2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 x14ac:dyDescent="0.2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 x14ac:dyDescent="0.2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 x14ac:dyDescent="0.2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 x14ac:dyDescent="0.2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 x14ac:dyDescent="0.2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 x14ac:dyDescent="0.2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 x14ac:dyDescent="0.2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 x14ac:dyDescent="0.2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 x14ac:dyDescent="0.2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 x14ac:dyDescent="0.2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 x14ac:dyDescent="0.2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 x14ac:dyDescent="0.2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 x14ac:dyDescent="0.2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 x14ac:dyDescent="0.2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 x14ac:dyDescent="0.2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 x14ac:dyDescent="0.2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 x14ac:dyDescent="0.2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 x14ac:dyDescent="0.2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 x14ac:dyDescent="0.2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 x14ac:dyDescent="0.2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 x14ac:dyDescent="0.2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 x14ac:dyDescent="0.2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 x14ac:dyDescent="0.2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 x14ac:dyDescent="0.2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 x14ac:dyDescent="0.2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 x14ac:dyDescent="0.2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 x14ac:dyDescent="0.2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 x14ac:dyDescent="0.2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 x14ac:dyDescent="0.2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 x14ac:dyDescent="0.2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 x14ac:dyDescent="0.2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 x14ac:dyDescent="0.2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 x14ac:dyDescent="0.2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 x14ac:dyDescent="0.2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 x14ac:dyDescent="0.2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 x14ac:dyDescent="0.2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 x14ac:dyDescent="0.2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 x14ac:dyDescent="0.2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 x14ac:dyDescent="0.2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 x14ac:dyDescent="0.2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 x14ac:dyDescent="0.2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 x14ac:dyDescent="0.2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 x14ac:dyDescent="0.2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 x14ac:dyDescent="0.2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 x14ac:dyDescent="0.2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 x14ac:dyDescent="0.2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 x14ac:dyDescent="0.2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 x14ac:dyDescent="0.2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 x14ac:dyDescent="0.2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 x14ac:dyDescent="0.2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 x14ac:dyDescent="0.2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 x14ac:dyDescent="0.2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 x14ac:dyDescent="0.2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 x14ac:dyDescent="0.2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 x14ac:dyDescent="0.2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 x14ac:dyDescent="0.2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 x14ac:dyDescent="0.2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 x14ac:dyDescent="0.2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 x14ac:dyDescent="0.2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 x14ac:dyDescent="0.2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 x14ac:dyDescent="0.2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 x14ac:dyDescent="0.2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 x14ac:dyDescent="0.2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 x14ac:dyDescent="0.2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 x14ac:dyDescent="0.2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 x14ac:dyDescent="0.2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 x14ac:dyDescent="0.2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 x14ac:dyDescent="0.2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 x14ac:dyDescent="0.2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 x14ac:dyDescent="0.2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 x14ac:dyDescent="0.2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 x14ac:dyDescent="0.2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 x14ac:dyDescent="0.2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 x14ac:dyDescent="0.2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 x14ac:dyDescent="0.2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 x14ac:dyDescent="0.2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 x14ac:dyDescent="0.2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 x14ac:dyDescent="0.2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 x14ac:dyDescent="0.2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 x14ac:dyDescent="0.2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 x14ac:dyDescent="0.2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 x14ac:dyDescent="0.2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 x14ac:dyDescent="0.2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 x14ac:dyDescent="0.2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 x14ac:dyDescent="0.2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 x14ac:dyDescent="0.2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 x14ac:dyDescent="0.2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 x14ac:dyDescent="0.2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 x14ac:dyDescent="0.2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 x14ac:dyDescent="0.2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 x14ac:dyDescent="0.2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 x14ac:dyDescent="0.2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 x14ac:dyDescent="0.2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 x14ac:dyDescent="0.2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 x14ac:dyDescent="0.2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 x14ac:dyDescent="0.2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 x14ac:dyDescent="0.2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 x14ac:dyDescent="0.2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 x14ac:dyDescent="0.2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 x14ac:dyDescent="0.2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 x14ac:dyDescent="0.2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 x14ac:dyDescent="0.2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 x14ac:dyDescent="0.2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 x14ac:dyDescent="0.2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 x14ac:dyDescent="0.2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 x14ac:dyDescent="0.2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 x14ac:dyDescent="0.2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 x14ac:dyDescent="0.2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 x14ac:dyDescent="0.2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 x14ac:dyDescent="0.2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 x14ac:dyDescent="0.2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 x14ac:dyDescent="0.2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 x14ac:dyDescent="0.2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 x14ac:dyDescent="0.2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 x14ac:dyDescent="0.2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 x14ac:dyDescent="0.2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 x14ac:dyDescent="0.2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 x14ac:dyDescent="0.2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 x14ac:dyDescent="0.2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 x14ac:dyDescent="0.2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 x14ac:dyDescent="0.2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 x14ac:dyDescent="0.2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 x14ac:dyDescent="0.2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 x14ac:dyDescent="0.2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 x14ac:dyDescent="0.2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 x14ac:dyDescent="0.2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 x14ac:dyDescent="0.2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 x14ac:dyDescent="0.2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 x14ac:dyDescent="0.2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 x14ac:dyDescent="0.2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 x14ac:dyDescent="0.2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 x14ac:dyDescent="0.2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 x14ac:dyDescent="0.2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 x14ac:dyDescent="0.2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 x14ac:dyDescent="0.2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 x14ac:dyDescent="0.2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 x14ac:dyDescent="0.2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 x14ac:dyDescent="0.2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 x14ac:dyDescent="0.2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 x14ac:dyDescent="0.2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 x14ac:dyDescent="0.2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 x14ac:dyDescent="0.2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 x14ac:dyDescent="0.2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 x14ac:dyDescent="0.2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 x14ac:dyDescent="0.2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 x14ac:dyDescent="0.2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 x14ac:dyDescent="0.2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 x14ac:dyDescent="0.2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 x14ac:dyDescent="0.2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 x14ac:dyDescent="0.2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 x14ac:dyDescent="0.2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 x14ac:dyDescent="0.2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 x14ac:dyDescent="0.2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 x14ac:dyDescent="0.2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 x14ac:dyDescent="0.2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 x14ac:dyDescent="0.2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 x14ac:dyDescent="0.2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 x14ac:dyDescent="0.2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 x14ac:dyDescent="0.2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 x14ac:dyDescent="0.2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 x14ac:dyDescent="0.2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 x14ac:dyDescent="0.2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 x14ac:dyDescent="0.2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 x14ac:dyDescent="0.2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 x14ac:dyDescent="0.2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 x14ac:dyDescent="0.2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 x14ac:dyDescent="0.2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 x14ac:dyDescent="0.2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 x14ac:dyDescent="0.2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 x14ac:dyDescent="0.2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 x14ac:dyDescent="0.2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 x14ac:dyDescent="0.2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 x14ac:dyDescent="0.2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 x14ac:dyDescent="0.2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 x14ac:dyDescent="0.2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 x14ac:dyDescent="0.2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 x14ac:dyDescent="0.2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 x14ac:dyDescent="0.2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 x14ac:dyDescent="0.2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 x14ac:dyDescent="0.2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 x14ac:dyDescent="0.2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 x14ac:dyDescent="0.2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 x14ac:dyDescent="0.2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 x14ac:dyDescent="0.2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 x14ac:dyDescent="0.2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 x14ac:dyDescent="0.2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 x14ac:dyDescent="0.2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 x14ac:dyDescent="0.2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 x14ac:dyDescent="0.2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 x14ac:dyDescent="0.2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 x14ac:dyDescent="0.2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 x14ac:dyDescent="0.2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 x14ac:dyDescent="0.2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 x14ac:dyDescent="0.2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 x14ac:dyDescent="0.2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 x14ac:dyDescent="0.2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 x14ac:dyDescent="0.2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 x14ac:dyDescent="0.2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 x14ac:dyDescent="0.2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 x14ac:dyDescent="0.2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 x14ac:dyDescent="0.2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 x14ac:dyDescent="0.2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 x14ac:dyDescent="0.2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 x14ac:dyDescent="0.2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 x14ac:dyDescent="0.2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 x14ac:dyDescent="0.2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 x14ac:dyDescent="0.2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 x14ac:dyDescent="0.2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 x14ac:dyDescent="0.2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 x14ac:dyDescent="0.2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 x14ac:dyDescent="0.2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 x14ac:dyDescent="0.2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 x14ac:dyDescent="0.2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 x14ac:dyDescent="0.2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 x14ac:dyDescent="0.2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 x14ac:dyDescent="0.2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 x14ac:dyDescent="0.2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 x14ac:dyDescent="0.2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 x14ac:dyDescent="0.2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 x14ac:dyDescent="0.2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 x14ac:dyDescent="0.2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 x14ac:dyDescent="0.2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 x14ac:dyDescent="0.2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 x14ac:dyDescent="0.2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 x14ac:dyDescent="0.2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 x14ac:dyDescent="0.2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 x14ac:dyDescent="0.2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 x14ac:dyDescent="0.2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 x14ac:dyDescent="0.2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 x14ac:dyDescent="0.2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 x14ac:dyDescent="0.2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 x14ac:dyDescent="0.2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 x14ac:dyDescent="0.2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 x14ac:dyDescent="0.2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 x14ac:dyDescent="0.2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 x14ac:dyDescent="0.2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 x14ac:dyDescent="0.2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 x14ac:dyDescent="0.2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 x14ac:dyDescent="0.2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 x14ac:dyDescent="0.2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 x14ac:dyDescent="0.2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 x14ac:dyDescent="0.2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 x14ac:dyDescent="0.2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 x14ac:dyDescent="0.2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 x14ac:dyDescent="0.2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 x14ac:dyDescent="0.2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 x14ac:dyDescent="0.2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 x14ac:dyDescent="0.2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 x14ac:dyDescent="0.2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 x14ac:dyDescent="0.2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 x14ac:dyDescent="0.2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 x14ac:dyDescent="0.2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 x14ac:dyDescent="0.2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 x14ac:dyDescent="0.2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 x14ac:dyDescent="0.2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 x14ac:dyDescent="0.2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 x14ac:dyDescent="0.2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 x14ac:dyDescent="0.2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 x14ac:dyDescent="0.2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 x14ac:dyDescent="0.2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 x14ac:dyDescent="0.2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 x14ac:dyDescent="0.2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 x14ac:dyDescent="0.2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 x14ac:dyDescent="0.2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 x14ac:dyDescent="0.2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 x14ac:dyDescent="0.2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 x14ac:dyDescent="0.2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 x14ac:dyDescent="0.2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 x14ac:dyDescent="0.2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 x14ac:dyDescent="0.2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 x14ac:dyDescent="0.2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 x14ac:dyDescent="0.2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 x14ac:dyDescent="0.2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 x14ac:dyDescent="0.2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 x14ac:dyDescent="0.2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 x14ac:dyDescent="0.2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 x14ac:dyDescent="0.2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 x14ac:dyDescent="0.2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 x14ac:dyDescent="0.2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 x14ac:dyDescent="0.2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 x14ac:dyDescent="0.2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 x14ac:dyDescent="0.2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 x14ac:dyDescent="0.2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 x14ac:dyDescent="0.2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 x14ac:dyDescent="0.2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 x14ac:dyDescent="0.2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 x14ac:dyDescent="0.2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 x14ac:dyDescent="0.2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 x14ac:dyDescent="0.2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 x14ac:dyDescent="0.2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 x14ac:dyDescent="0.2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 x14ac:dyDescent="0.2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 x14ac:dyDescent="0.2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 x14ac:dyDescent="0.2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 x14ac:dyDescent="0.2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 x14ac:dyDescent="0.2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 x14ac:dyDescent="0.2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 x14ac:dyDescent="0.2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 x14ac:dyDescent="0.2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 x14ac:dyDescent="0.2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 x14ac:dyDescent="0.2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 x14ac:dyDescent="0.2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 x14ac:dyDescent="0.2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 x14ac:dyDescent="0.2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 x14ac:dyDescent="0.2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 x14ac:dyDescent="0.2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 x14ac:dyDescent="0.2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 x14ac:dyDescent="0.2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 x14ac:dyDescent="0.2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 x14ac:dyDescent="0.2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4</vt:i4>
      </vt:variant>
    </vt:vector>
  </HeadingPairs>
  <TitlesOfParts>
    <vt:vector size="10" baseType="lpstr">
      <vt:lpstr>메인</vt:lpstr>
      <vt:lpstr>인덴트관리</vt:lpstr>
      <vt:lpstr>PO관리</vt:lpstr>
      <vt:lpstr>code</vt:lpstr>
      <vt:lpstr>validation</vt:lpstr>
      <vt:lpstr>매출채권</vt:lpstr>
      <vt:lpstr>부서명</vt:lpstr>
      <vt:lpstr>이름</vt:lpstr>
      <vt:lpstr>팀명</vt:lpstr>
      <vt:lpstr>회사명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2021-10-23T14:12:15Z</dcterms:modified>
</cp:coreProperties>
</file>