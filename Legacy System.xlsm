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EA604146-7977-4CF6-A03C-902FE7AD73F1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dupl_po" sheetId="19" state="hidden" r:id="rId4"/>
    <sheet name="PO관리툴" sheetId="18" r:id="rId5"/>
    <sheet name="체크리스트" sheetId="14" r:id="rId6"/>
    <sheet name="지출계획" sheetId="10" state="hidden" r:id="rId7"/>
    <sheet name="매출채권" sheetId="11" state="hidden" r:id="rId8"/>
    <sheet name="발주서" sheetId="15" r:id="rId9"/>
    <sheet name="견적서" sheetId="21" r:id="rId10"/>
    <sheet name="선적수량" sheetId="20" r:id="rId11"/>
    <sheet name="Tracking" sheetId="16" r:id="rId12"/>
    <sheet name="Tracking임시" sheetId="17" state="hidden" r:id="rId13"/>
    <sheet name="validation" sheetId="2" state="hidden" r:id="rId14"/>
  </sheets>
  <functionGroups builtInGroupCount="19"/>
  <definedNames>
    <definedName name="_xlnm._FilterDatabase" localSheetId="11" hidden="1">Tracking!$H$2:$V$2</definedName>
    <definedName name="_xlnm._FilterDatabase" localSheetId="9" hidden="1">견적서!$H$2:$AA$24</definedName>
    <definedName name="_xlnm._FilterDatabase" localSheetId="8" hidden="1">발주서!$H$2:$AA$20</definedName>
    <definedName name="_xlnm._FilterDatabase" localSheetId="10" hidden="1">선적수량!$H$2:$AA$53</definedName>
    <definedName name="_xlnm._FilterDatabase" localSheetId="5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<sst xmlns="http://schemas.openxmlformats.org/spreadsheetml/2006/main" count="6438" uniqueCount="4502">
  <si>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</si>
  <si>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</si>
  <si>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</si>
  <si>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</si>
  <si>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</si>
  <si>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</si>
  <si>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</si>
  <si>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</si>
  <si>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</si>
  <si>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</si>
  <si>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</si>
  <si>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</si>
  <si>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</si>
  <si>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</si>
  <si>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</si>
  <si>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</si>
  <si>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</si>
  <si>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</si>
  <si>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</si>
  <si>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</si>
  <si>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</si>
  <si>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</si>
  <si>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</si>
  <si>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</si>
  <si>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</si>
  <si>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</si>
  <si>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</si>
  <si>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</si>
  <si>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</si>
  <si>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</si>
  <si>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</si>
  <si>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</si>
  <si>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</si>
  <si>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</si>
  <si>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</si>
  <si>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</si>
  <si>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</si>
  <si>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</si>
  <si>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</si>
  <si>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</si>
  <si>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</si>
  <si>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</si>
  <si>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</si>
  <si>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</si>
  <si>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</si>
  <si>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</si>
  <si>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</si>
  <si>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</si>
  <si>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</si>
  <si>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</si>
  <si>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</si>
  <si>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</si>
  <si>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</si>
  <si>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</si>
  <si>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</si>
  <si>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</si>
  <si>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</si>
  <si>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</si>
  <si>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</si>
  <si>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</si>
  <si>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</si>
  <si>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</si>
  <si>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</si>
  <si>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</si>
  <si>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</si>
  <si>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</si>
  <si>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</si>
  <si>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</si>
  <si>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</si>
  <si>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</si>
  <si>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</si>
  <si>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</si>
  <si>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</si>
  <si>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</si>
  <si>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</si>
  <si>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</si>
  <si>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</si>
  <si>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</si>
  <si>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</si>
  <si>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</si>
  <si>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</si>
  <si>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</si>
  <si>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</si>
  <si>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</si>
  <si>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</si>
  <si>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</si>
  <si>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</si>
  <si>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</si>
  <si>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</si>
  <si>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</si>
  <si>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</si>
  <si>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</si>
  <si>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</si>
  <si>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</si>
  <si>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</si>
  <si>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</si>
  <si>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</si>
  <si>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</si>
  <si>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</si>
  <si>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</si>
  <si>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</si>
  <si>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</si>
  <si>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</si>
  <si>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</si>
  <si>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</si>
  <si>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</si>
  <si>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</si>
  <si>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</si>
  <si>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</si>
  <si>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</si>
  <si>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</si>
  <si>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</si>
  <si>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</si>
  <si>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</si>
  <si>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</si>
  <si>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</si>
  <si>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</si>
  <si>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</si>
  <si>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</si>
  <si>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</si>
  <si>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</si>
  <si>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</si>
  <si>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</si>
  <si>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</si>
  <si>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</si>
  <si>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</si>
  <si>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</si>
  <si>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</si>
  <si>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</si>
  <si>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</si>
  <si>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</si>
  <si>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</si>
  <si>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</si>
  <si>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</si>
  <si>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</si>
  <si>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</si>
  <si>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</si>
  <si>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</si>
  <si>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</si>
  <si>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</si>
  <si>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</si>
  <si>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</si>
  <si>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</si>
  <si>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</si>
  <si>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</si>
  <si>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</si>
  <si>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</si>
  <si>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</si>
  <si>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</si>
  <si>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</si>
  <si>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</si>
  <si>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</si>
  <si>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</si>
  <si>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</si>
  <si>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</si>
  <si>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</si>
  <si>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</si>
  <si>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</si>
  <si>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</si>
  <si>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</si>
  <si>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</si>
  <si>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</si>
  <si>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</si>
  <si>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</si>
  <si>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</si>
  <si>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</si>
  <si>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</si>
  <si>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</si>
  <si>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</si>
  <si>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</si>
  <si>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</si>
  <si>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</si>
  <si>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</si>
  <si>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</si>
  <si>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</si>
  <si>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</si>
  <si>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</si>
  <si>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</si>
  <si>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</si>
  <si>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</si>
  <si>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</si>
  <si>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</si>
  <si>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</si>
  <si>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</si>
  <si>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</si>
  <si>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</si>
  <si>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</si>
  <si>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</si>
  <si>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</si>
  <si>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</si>
  <si>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</si>
  <si>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</si>
  <si>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</si>
  <si>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</si>
  <si>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</si>
  <si>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</si>
  <si>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</si>
  <si>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</si>
  <si>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</si>
  <si>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</si>
  <si>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</si>
  <si>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</si>
  <si>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</si>
  <si>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</si>
  <si>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</si>
  <si>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</si>
  <si>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</si>
  <si>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</si>
  <si>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</si>
  <si>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</si>
  <si>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</si>
  <si>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</si>
  <si>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</si>
  <si>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</si>
  <si>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</si>
  <si>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</si>
  <si>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</si>
  <si>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</si>
  <si>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</si>
  <si>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</si>
  <si>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</si>
  <si>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</si>
  <si>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</si>
  <si>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</si>
  <si>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</si>
  <si>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</si>
  <si>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</si>
  <si>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</si>
  <si>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</si>
  <si>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</si>
  <si>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</si>
  <si>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</si>
  <si>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</si>
  <si>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</si>
  <si>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</si>
  <si>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</si>
  <si>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</si>
  <si>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</si>
  <si>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</si>
  <si>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</si>
  <si>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</si>
  <si>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</si>
  <si>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</si>
  <si>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</si>
  <si>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</si>
  <si>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</si>
  <si>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</si>
  <si>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</si>
  <si>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</si>
  <si>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</si>
  <si>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</si>
  <si>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</si>
  <si>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</si>
  <si>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</si>
  <si>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</si>
  <si>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</si>
  <si>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</si>
  <si>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</si>
  <si>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</si>
  <si>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</si>
  <si>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</si>
  <si>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</si>
  <si>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</si>
  <si>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</si>
  <si>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</si>
  <si>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</si>
  <si>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</si>
  <si>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</si>
  <si>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</si>
  <si>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</si>
  <si>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</si>
  <si>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</si>
  <si>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</si>
  <si>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</si>
  <si>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</si>
  <si>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</si>
  <si>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</si>
  <si>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</si>
  <si>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</si>
  <si>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</si>
  <si>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</si>
  <si>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</si>
  <si>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</si>
  <si>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</si>
  <si>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</si>
  <si>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</si>
  <si>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</si>
  <si>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</si>
  <si>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</si>
  <si>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</si>
  <si>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</si>
  <si>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</si>
  <si>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</si>
  <si>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</si>
  <si>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</si>
  <si>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</si>
  <si>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</si>
  <si>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</si>
  <si>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</si>
  <si>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</si>
  <si>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</si>
  <si>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</si>
  <si>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</si>
  <si>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</si>
  <si>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</si>
  <si>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</si>
  <si>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</si>
  <si>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</si>
  <si>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</si>
  <si>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</si>
  <si>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</si>
  <si>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</si>
  <si>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</si>
  <si>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</si>
  <si>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</si>
  <si>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</si>
  <si>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</si>
  <si>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</si>
  <si>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</si>
  <si>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</si>
  <si>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</si>
  <si>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</si>
  <si>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</si>
  <si>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</si>
  <si>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</si>
  <si>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</si>
  <si>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</si>
  <si>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</si>
  <si>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</si>
  <si>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</si>
  <si>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</si>
  <si>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</si>
  <si>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</si>
  <si>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</si>
  <si>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</si>
  <si>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</si>
  <si>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</si>
  <si>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</si>
  <si>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</si>
  <si>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</si>
  <si>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</si>
  <si>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</si>
  <si>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</si>
  <si>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</si>
  <si>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</si>
  <si>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</si>
  <si>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</si>
  <si>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</si>
  <si>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</si>
  <si>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</si>
  <si>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</si>
  <si>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</si>
  <si>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</si>
  <si>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</si>
  <si>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</si>
  <si>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</si>
  <si>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</si>
  <si>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</si>
  <si>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</si>
  <si>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</si>
  <si>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</si>
  <si>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</si>
  <si>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</si>
  <si>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</si>
  <si>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</si>
  <si>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</si>
  <si>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</si>
  <si>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</si>
  <si>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</si>
  <si>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</si>
  <si>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</si>
  <si>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</si>
  <si>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</si>
  <si>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</si>
  <si>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</si>
  <si>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</si>
  <si>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</si>
  <si>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</si>
  <si>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</si>
  <si>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</si>
  <si>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</si>
  <si>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</si>
  <si>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</si>
  <si>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</si>
  <si>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</si>
  <si>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</si>
  <si>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</si>
  <si>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</si>
  <si>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</si>
  <si>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</si>
  <si>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</si>
  <si>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</si>
  <si>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</si>
  <si>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</si>
  <si>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</si>
  <si>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</si>
  <si>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</si>
  <si>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</si>
  <si>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</si>
  <si>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</si>
  <si>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</si>
  <si>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</si>
  <si>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</si>
  <si>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</si>
  <si>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</si>
  <si>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</si>
  <si>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</si>
  <si>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</si>
  <si>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</si>
  <si>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</si>
  <si>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</si>
  <si>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</si>
  <si>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</si>
  <si>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</si>
  <si>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</si>
  <si>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</si>
  <si>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</si>
  <si>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</si>
  <si>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</si>
  <si>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</si>
  <si>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</si>
  <si>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</si>
  <si>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</si>
  <si>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</si>
  <si>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</si>
  <si>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</si>
  <si>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</si>
  <si>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</si>
  <si>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</si>
  <si>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</si>
  <si>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</si>
  <si>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</si>
  <si>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</si>
  <si>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</si>
  <si>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</si>
  <si>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</si>
  <si>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</si>
  <si>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</si>
  <si>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</si>
  <si>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</si>
  <si>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</si>
  <si>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</si>
  <si>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</si>
  <si>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</si>
  <si>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</si>
  <si>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</si>
  <si>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</si>
  <si>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</si>
  <si>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</si>
  <si>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</si>
  <si>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</si>
  <si>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</si>
  <si>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</si>
  <si>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</si>
  <si>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</si>
  <si>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</si>
  <si>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</si>
  <si>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</si>
  <si>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</si>
  <si>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</si>
  <si>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</si>
  <si>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</si>
  <si>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</si>
  <si>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</si>
  <si>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</si>
  <si>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</si>
  <si>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</si>
  <si>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</si>
  <si>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</si>
  <si>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</si>
  <si>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</si>
  <si>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</si>
  <si>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</si>
  <si>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</si>
  <si>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</si>
  <si>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</si>
  <si>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</si>
  <si>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</si>
  <si>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</si>
  <si>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</si>
  <si>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</si>
  <si>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</si>
  <si>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</si>
  <si>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</si>
  <si>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</si>
  <si>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</si>
  <si>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</si>
  <si>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</si>
  <si>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</si>
  <si>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</si>
  <si>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</si>
  <si>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</si>
  <si>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</si>
  <si>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</si>
  <si>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</si>
  <si>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</si>
  <si>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</si>
  <si>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</si>
  <si>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</si>
  <si>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</si>
  <si>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</si>
  <si>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</si>
  <si>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</si>
  <si>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</si>
  <si>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</si>
  <si>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</si>
  <si>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</si>
  <si>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</si>
  <si>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</si>
  <si>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</si>
  <si>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</si>
  <si>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</si>
  <si>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</si>
  <si>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</si>
  <si>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</si>
  <si>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</si>
  <si>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</si>
  <si>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</si>
  <si>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</si>
  <si>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</si>
  <si>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</si>
  <si>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</si>
  <si>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</si>
  <si>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</si>
  <si>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</si>
  <si>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</si>
  <si>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</si>
  <si>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</si>
  <si>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</si>
  <si>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</si>
  <si>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</si>
  <si>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</si>
  <si>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</si>
  <si>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</si>
  <si>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</si>
  <si>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</si>
  <si>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</si>
  <si>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</si>
  <si>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</si>
  <si>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</si>
  <si>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</si>
  <si>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</si>
  <si>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</si>
  <si>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</si>
  <si>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</si>
  <si>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</si>
  <si>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</si>
  <si>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</si>
  <si>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</si>
  <si>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</si>
  <si>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</si>
  <si>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</si>
  <si>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</si>
  <si>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</si>
  <si>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</si>
  <si>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</si>
  <si>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</si>
  <si>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</si>
  <si>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</si>
  <si>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</si>
  <si>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</si>
  <si>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</si>
  <si>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</si>
  <si>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</si>
  <si>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</si>
  <si>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</si>
  <si>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</si>
  <si>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</si>
  <si>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</si>
  <si>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</si>
  <si>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</si>
  <si>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</si>
  <si>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</si>
  <si>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</si>
  <si>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</si>
  <si>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</si>
  <si>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</si>
  <si>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</si>
  <si>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</si>
  <si>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</si>
  <si>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</si>
  <si>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</si>
  <si>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</si>
  <si>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</si>
  <si>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</si>
  <si>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</si>
  <si>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</si>
  <si>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</si>
  <si>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</si>
  <si>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</si>
  <si>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</si>
  <si>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</si>
  <si>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</si>
  <si>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</si>
  <si>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</si>
  <si>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</si>
  <si>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</si>
  <si>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</si>
  <si>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</si>
  <si>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</si>
  <si>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</si>
  <si>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</si>
  <si>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</si>
  <si>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</si>
  <si>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</si>
  <si>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</si>
  <si>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</si>
  <si>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</si>
  <si>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</si>
  <si>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</si>
  <si>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</si>
  <si>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</si>
  <si>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</si>
  <si>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</si>
  <si>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</si>
  <si>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</si>
  <si>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</si>
  <si>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</si>
  <si>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</si>
  <si>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</si>
  <si>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</si>
  <si>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</si>
  <si>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</si>
  <si>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</si>
  <si>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</si>
  <si>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</si>
  <si>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</si>
  <si>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</si>
  <si>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</si>
  <si>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</si>
  <si>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</si>
  <si>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</si>
  <si>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</si>
  <si>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</si>
  <si>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</si>
  <si>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</si>
  <si>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</si>
  <si>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</si>
  <si>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</si>
  <si>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</si>
  <si>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</si>
  <si>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</si>
  <si>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</si>
  <si>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</si>
  <si>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</si>
  <si>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</si>
  <si>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</si>
  <si>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</si>
  <si>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</si>
  <si>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</si>
  <si>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</si>
  <si>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</si>
  <si>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</si>
  <si>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</si>
  <si>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</si>
  <si>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</si>
  <si>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</si>
  <si>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</si>
  <si>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</si>
  <si>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</si>
  <si>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</si>
  <si>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</si>
  <si>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</si>
  <si>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</si>
  <si>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</si>
  <si>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</si>
  <si>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</si>
  <si>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</si>
  <si>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</si>
  <si>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</si>
  <si>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</si>
  <si>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</si>
  <si>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</si>
  <si>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</si>
  <si>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</si>
  <si>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</si>
  <si>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</si>
  <si>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</si>
  <si>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</si>
  <si>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</si>
  <si>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</si>
  <si>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</si>
  <si>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</si>
  <si>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</si>
  <si>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</si>
  <si>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</si>
  <si>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</si>
  <si>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</si>
  <si>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</si>
  <si>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</si>
  <si>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</si>
  <si>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</si>
  <si>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</si>
  <si>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</si>
  <si>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</si>
  <si>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</si>
  <si>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</si>
  <si>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</si>
  <si>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</si>
  <si>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</si>
  <si>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</si>
  <si>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</si>
  <si>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</si>
  <si>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</si>
  <si>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</si>
  <si>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</si>
  <si>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</si>
  <si>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</si>
  <si>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</si>
  <si>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</si>
  <si>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</si>
  <si>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</si>
  <si>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</si>
  <si>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</si>
  <si>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</si>
  <si>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</si>
  <si>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</si>
  <si>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</si>
  <si>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</si>
  <si>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</si>
  <si>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</si>
  <si>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</si>
  <si>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</si>
  <si>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</si>
  <si>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</si>
  <si>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</si>
  <si>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</si>
  <si>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</si>
  <si>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</si>
  <si>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</si>
  <si>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</si>
  <si>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</si>
  <si>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</si>
  <si>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</si>
  <si>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</si>
  <si>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</si>
  <si>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</si>
  <si>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</si>
  <si>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</si>
  <si>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</si>
  <si>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</si>
  <si>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</si>
  <si>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</si>
  <si>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</si>
  <si>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</si>
  <si>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</si>
  <si>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</si>
  <si>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</si>
  <si>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</si>
  <si>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</si>
  <si>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</si>
  <si>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</si>
  <si>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</si>
  <si>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</si>
  <si>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</si>
  <si>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</si>
  <si>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</si>
  <si>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</si>
  <si>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</si>
  <si>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</si>
  <si>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</si>
  <si>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</si>
  <si>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</si>
  <si>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</si>
  <si>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</si>
  <si>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</si>
  <si>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</si>
  <si>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</si>
  <si>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</si>
  <si>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</si>
  <si>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</si>
  <si>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</si>
  <si>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</si>
  <si>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</si>
  <si>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</si>
  <si>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</si>
  <si>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</si>
  <si>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</si>
  <si>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</si>
  <si>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</si>
  <si>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</si>
  <si>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</si>
  <si>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</si>
  <si>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</si>
  <si>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</si>
  <si>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</si>
  <si>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</si>
  <si>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</si>
  <si>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</si>
  <si>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</si>
  <si>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</si>
  <si>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</si>
  <si>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</si>
  <si>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</si>
  <si>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</si>
  <si>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</si>
  <si>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</si>
  <si>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</si>
  <si>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</si>
  <si>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</si>
  <si>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</si>
  <si>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</si>
  <si>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</si>
  <si>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</si>
  <si>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</si>
  <si>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</si>
  <si>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</si>
  <si>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</si>
  <si>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</si>
  <si>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</si>
  <si>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</si>
  <si>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</si>
  <si>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</si>
  <si>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</si>
  <si>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</si>
  <si>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</si>
  <si>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</si>
  <si>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</si>
  <si>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</si>
  <si>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</si>
  <si>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</si>
  <si>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</si>
  <si>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</si>
  <si>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</si>
  <si>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</si>
  <si>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</si>
  <si>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</si>
  <si>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</si>
  <si>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</si>
  <si>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</si>
  <si>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</si>
  <si>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</si>
  <si>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</si>
  <si>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</si>
  <si>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</si>
  <si>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</si>
  <si>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</si>
  <si>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</si>
  <si>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</si>
  <si>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</si>
  <si>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</si>
  <si>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</si>
  <si>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</si>
  <si>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</si>
  <si>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</si>
  <si>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</si>
  <si>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</si>
  <si>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</si>
  <si>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</si>
  <si>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</si>
  <si>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</si>
  <si>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</si>
  <si>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</si>
  <si>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</si>
  <si>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</si>
  <si>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</si>
  <si>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</si>
  <si>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</si>
  <si>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</si>
  <si>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</si>
  <si>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</si>
  <si>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</si>
  <si>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</si>
  <si>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</si>
  <si>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</si>
  <si>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</si>
  <si>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</si>
  <si>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</si>
  <si>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</si>
  <si>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</si>
  <si>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</si>
  <si>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</si>
  <si>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</si>
  <si>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</si>
  <si>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</si>
  <si>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</si>
  <si>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</si>
  <si>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</si>
  <si>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</si>
  <si>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</si>
  <si>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</si>
  <si>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</si>
  <si>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</si>
  <si>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</si>
  <si>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</si>
  <si>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</si>
  <si>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</si>
  <si>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</si>
  <si>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</si>
  <si>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</si>
  <si>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</si>
  <si>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</si>
  <si>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</si>
  <si>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</si>
  <si>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</si>
  <si>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</si>
  <si>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</si>
  <si>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</si>
  <si>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</si>
  <si>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</si>
  <si>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</si>
  <si>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</si>
  <si>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</si>
  <si>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</si>
  <si>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</si>
  <si>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</si>
  <si>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</si>
  <si>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</si>
  <si>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</si>
  <si>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</si>
  <si>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</si>
  <si>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</si>
  <si>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</si>
  <si>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</si>
  <si>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</si>
  <si>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</si>
  <si>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</si>
  <si>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</si>
  <si>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</si>
  <si>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</si>
  <si>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</si>
  <si>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</si>
  <si>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</si>
  <si>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</si>
  <si>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</si>
  <si>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</si>
  <si>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</si>
  <si>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</si>
  <si>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</si>
  <si>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</si>
  <si>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</si>
  <si>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</si>
  <si>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</si>
  <si>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</si>
  <si>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</si>
  <si>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</si>
  <si>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</si>
  <si>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</si>
  <si>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</si>
  <si>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</si>
  <si>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</si>
  <si>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</si>
  <si>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</si>
  <si>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</si>
  <si>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</si>
  <si>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</si>
  <si>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</si>
  <si>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</si>
  <si>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</si>
  <si>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</si>
  <si>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</si>
  <si>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</si>
  <si>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</si>
  <si>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</si>
  <si>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</si>
  <si>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</si>
  <si>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</si>
  <si>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</si>
  <si>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</si>
  <si>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</si>
  <si>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</si>
  <si>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</si>
  <si>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</si>
  <si>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</si>
  <si>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</si>
  <si>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</si>
  <si>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</si>
  <si>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</si>
  <si>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</si>
  <si>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</si>
  <si>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</si>
  <si>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</si>
  <si>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</si>
  <si>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</si>
  <si>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</si>
  <si>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</si>
  <si>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</si>
  <si>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</si>
  <si>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</si>
  <si>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</si>
  <si>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</si>
  <si>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</si>
  <si>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</si>
  <si>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</si>
  <si>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</si>
  <si>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</si>
  <si>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</si>
  <si>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</si>
  <si>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</si>
  <si>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</si>
  <si>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</si>
  <si>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</si>
  <si>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</si>
  <si>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</si>
  <si>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</si>
  <si>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</si>
  <si>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</si>
  <si>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</si>
  <si>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</si>
  <si>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</si>
  <si>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</si>
  <si>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</si>
  <si>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</si>
  <si>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</si>
  <si>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</si>
  <si>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</si>
  <si>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</si>
  <si>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</si>
  <si>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</si>
  <si>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</si>
  <si>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</si>
  <si>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</si>
  <si>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</si>
  <si>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</si>
  <si>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</si>
  <si>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</si>
  <si>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</si>
  <si>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</si>
  <si>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</si>
  <si>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</si>
  <si>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</si>
  <si>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</si>
  <si>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</si>
  <si>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</si>
  <si>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</si>
  <si>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</si>
  <si>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</si>
  <si>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</si>
  <si>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</si>
  <si>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</si>
  <si>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</si>
  <si>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</si>
  <si>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</si>
  <si>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</si>
  <si>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</si>
  <si>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</si>
  <si>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</si>
  <si>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</si>
  <si>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</si>
  <si>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</si>
  <si>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</si>
  <si>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</si>
  <si>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</si>
  <si>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</si>
  <si>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</si>
  <si>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</si>
  <si>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</si>
  <si>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</si>
  <si>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</si>
  <si>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</si>
  <si>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</si>
  <si>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</si>
  <si>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</si>
  <si>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</si>
  <si>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</si>
  <si>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</si>
  <si>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</si>
  <si>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</si>
  <si>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</si>
  <si>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</si>
  <si>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</si>
  <si>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</si>
  <si>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</si>
  <si>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</si>
  <si>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</si>
  <si>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</si>
  <si>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</si>
  <si>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</si>
  <si>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</si>
  <si>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</si>
  <si>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</si>
  <si>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</si>
  <si>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</si>
  <si>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</si>
  <si>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</si>
  <si>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</si>
  <si>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</si>
  <si>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</si>
  <si>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</si>
  <si>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</si>
  <si>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</si>
  <si>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</si>
  <si>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</si>
  <si>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</si>
  <si>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</si>
  <si>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</si>
  <si>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</si>
  <si>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</si>
  <si>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</si>
  <si>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</si>
  <si>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</si>
  <si>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</si>
  <si>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</si>
  <si>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</si>
  <si>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</si>
  <si>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</si>
  <si>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</si>
  <si>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</si>
  <si>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</si>
  <si>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</si>
  <si>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</si>
  <si>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</si>
  <si>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</si>
  <si>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</si>
  <si>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</si>
  <si>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</si>
  <si>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</si>
  <si>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</si>
  <si>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</si>
  <si>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</si>
  <si>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</si>
  <si>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</si>
  <si>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</si>
  <si>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</si>
  <si>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</si>
  <si>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Activate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</si>
  <si>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</si>
  <si>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</si>
  <si>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</si>
  <si>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</si>
  <si>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</si>
  <si>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</si>
  <si>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</si>
  <si>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</si>
  <si>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</si>
  <si>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</si>
  <si>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</si>
  <si>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</si>
  <si>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</si>
  <si>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</si>
  <si>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</si>
  <si>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</si>
  <si>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</si>
  <si>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</si>
  <si>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</si>
  <si>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</si>
  <si>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</si>
  <si>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</si>
  <si>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</si>
  <si>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</si>
  <si>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</si>
  <si>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</si>
  <si>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</si>
  <si>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</si>
  <si>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</si>
  <si>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</si>
  <si>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</si>
  <si>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</si>
  <si>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</si>
  <si>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</si>
  <si>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</si>
  <si>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</si>
  <si>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</si>
  <si>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</si>
  <si>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</si>
  <si>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</si>
  <si>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</si>
  <si>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</si>
  <si>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</si>
  <si>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</si>
  <si>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</si>
  <si>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</si>
  <si>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</si>
  <si>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</si>
  <si>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</si>
  <si>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</si>
  <si>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</si>
  <si>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</si>
  <si>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</si>
  <si>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</si>
  <si>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</si>
  <si>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</si>
  <si>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</si>
  <si>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</si>
  <si>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</si>
  <si>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</si>
  <si>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</si>
  <si>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</si>
  <si>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</si>
  <si>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</si>
  <si>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</si>
  <si>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</si>
  <si>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</si>
  <si>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</si>
  <si>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</si>
  <si>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</si>
  <si>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</si>
  <si>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</si>
  <si>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</si>
  <si>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</si>
  <si>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</si>
  <si>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</si>
  <si>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</si>
  <si>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</si>
  <si>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</si>
  <si>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</si>
  <si>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</si>
  <si>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</si>
  <si>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</si>
  <si>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</si>
  <si>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</si>
  <si>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</si>
  <si>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</si>
  <si>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</si>
  <si>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</si>
  <si>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</si>
  <si>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</si>
  <si>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</si>
  <si>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</si>
  <si>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</si>
  <si>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</si>
  <si>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</si>
  <si>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</si>
  <si>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</si>
  <si>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</si>
  <si>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</si>
  <si>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</si>
  <si>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</si>
  <si>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</si>
  <si>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</si>
  <si>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</si>
  <si>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</si>
  <si>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</si>
  <si>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</si>
  <si>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</si>
  <si>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</si>
  <si>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</si>
  <si>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</si>
  <si>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</si>
  <si>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</si>
  <si>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</si>
  <si>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</si>
  <si>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</si>
  <si>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</si>
  <si>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</si>
  <si>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</si>
  <si>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</si>
  <si>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</si>
  <si>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</si>
  <si>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</si>
  <si>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</si>
  <si>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</si>
  <si>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</si>
  <si>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</si>
  <si>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</si>
  <si>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</si>
  <si>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</si>
  <si>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</si>
  <si>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</si>
  <si>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</si>
  <si>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</si>
  <si>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</si>
  <si>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</si>
  <si>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</si>
  <si>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</si>
  <si>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</si>
  <si>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</si>
  <si>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</si>
  <si>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</si>
  <si>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</si>
  <si>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</si>
  <si>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</si>
  <si>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</si>
  <si>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</si>
  <si>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</si>
  <si>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</si>
  <si>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</si>
  <si>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</si>
  <si>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</si>
  <si>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</si>
  <si>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</si>
  <si>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</si>
  <si>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</si>
  <si>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</si>
  <si>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</si>
  <si>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</si>
  <si>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</si>
  <si>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</si>
  <si>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</si>
  <si>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</si>
  <si>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</si>
  <si>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</si>
  <si>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</si>
  <si>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</si>
  <si>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</si>
  <si>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</si>
  <si>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</si>
  <si>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</si>
  <si>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</si>
  <si>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</si>
  <si>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</si>
  <si>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</si>
  <si>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</si>
  <si>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</si>
  <si>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</si>
  <si>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</si>
  <si>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</si>
  <si>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</si>
  <si>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</si>
  <si>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</si>
  <si>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</si>
  <si>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</si>
  <si>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</si>
  <si>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</si>
  <si>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</si>
  <si>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</si>
  <si>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</si>
  <si>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</si>
  <si>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</si>
  <si>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</si>
  <si>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</si>
  <si>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</si>
  <si>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</si>
  <si>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</si>
  <si>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</si>
  <si>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</si>
  <si>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</si>
  <si>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</si>
  <si>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</si>
  <si>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</si>
  <si>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</si>
  <si>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</si>
  <si>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</si>
  <si>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</si>
  <si>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</si>
  <si>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</si>
  <si>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</si>
  <si>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</si>
  <si>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</si>
  <si>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</si>
  <si>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</si>
  <si>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</si>
  <si>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</si>
  <si>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</si>
  <si>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</si>
  <si>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</si>
  <si>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</si>
  <si>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</si>
  <si>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</si>
  <si>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</si>
  <si>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</si>
  <si>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</si>
  <si>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</si>
  <si>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</si>
  <si>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</si>
  <si>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</si>
  <si>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</si>
  <si>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</si>
  <si>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</si>
  <si>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</si>
  <si>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</si>
  <si>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</si>
  <si>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</si>
  <si>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</si>
  <si>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</si>
  <si>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</si>
  <si>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</si>
  <si>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</si>
  <si>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</si>
  <si>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</si>
  <si>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</si>
  <si>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</si>
  <si>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</si>
  <si>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</si>
  <si>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</si>
  <si>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</si>
  <si>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</si>
  <si>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</si>
  <si>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</si>
  <si>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</si>
  <si>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</si>
  <si>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</si>
  <si>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</si>
  <si>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</si>
  <si>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</si>
  <si>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</si>
  <si>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</si>
  <si>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</si>
  <si>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</si>
  <si>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</si>
  <si>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</si>
  <si>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</si>
  <si>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</si>
  <si>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</si>
  <si>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</si>
  <si>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</si>
  <si>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</si>
  <si>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</si>
  <si>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</si>
  <si>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</si>
  <si>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</si>
  <si>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</si>
  <si>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</si>
  <si>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</si>
  <si>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</si>
  <si>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</si>
  <si>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</si>
  <si>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</si>
  <si>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</si>
  <si>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</si>
  <si>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</si>
  <si>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</si>
  <si>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</si>
  <si>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</si>
  <si>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</si>
  <si>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</si>
  <si>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</si>
  <si>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</si>
  <si>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</si>
  <si>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</si>
  <si>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</si>
  <si>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</si>
  <si>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</si>
  <si>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</si>
  <si>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</si>
  <si>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</si>
  <si>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</si>
  <si>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</si>
  <si>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</si>
  <si>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</si>
  <si>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</si>
  <si>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</si>
  <si>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</si>
  <si>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</si>
  <si>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</si>
  <si>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</si>
  <si>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</si>
  <si>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</si>
  <si>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</si>
  <si>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</si>
  <si>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</si>
  <si>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</si>
  <si>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</si>
  <si>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</si>
  <si>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</si>
  <si>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</si>
  <si>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</si>
  <si>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</si>
  <si>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</si>
  <si>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</si>
  <si>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</si>
  <si>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</si>
  <si>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</si>
  <si>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</si>
  <si>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</si>
  <si>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</si>
  <si>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</si>
  <si>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</si>
  <si>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</si>
  <si>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</si>
  <si>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</si>
  <si>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</si>
  <si>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</si>
  <si>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</si>
  <si>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</si>
  <si>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</si>
  <si>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</si>
  <si>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</si>
  <si>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</si>
  <si>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</si>
  <si>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</si>
  <si>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</si>
  <si>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</si>
  <si>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</si>
  <si>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</si>
  <si>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</si>
  <si>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</si>
  <si>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</si>
  <si>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</si>
  <si>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</si>
  <si>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</si>
  <si>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</si>
  <si>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</si>
  <si>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</si>
  <si>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</si>
  <si>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</si>
  <si>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</si>
  <si>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</si>
  <si>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</si>
  <si>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</si>
  <si>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</si>
  <si>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</si>
  <si>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</si>
  <si>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</si>
  <si>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</si>
  <si>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</si>
  <si>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</si>
  <si>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</si>
  <si>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</si>
  <si>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</si>
  <si>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</si>
  <si>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</si>
  <si>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</si>
  <si>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</si>
  <si>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</si>
  <si>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</si>
  <si>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</si>
  <si>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</si>
  <si>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</si>
  <si>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</si>
  <si>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</si>
  <si>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</si>
  <si>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</si>
  <si>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</si>
  <si>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</si>
  <si>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</si>
  <si>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</si>
  <si>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</si>
  <si>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</si>
  <si>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</si>
  <si>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</si>
  <si>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</si>
  <si>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</si>
  <si>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</si>
  <si>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</si>
  <si>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</si>
  <si>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</si>
  <si>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</si>
  <si>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</si>
  <si>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Sea</t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</si>
  <si>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</si>
  <si>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</si>
  <si>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</si>
  <si>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</si>
  <si>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</si>
  <si>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</si>
  <si>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</si>
  <si>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</si>
  <si>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</si>
  <si>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</si>
  <si>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</si>
  <si>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</si>
  <si>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</si>
  <si>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</si>
  <si>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</si>
  <si>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</si>
  <si>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</si>
  <si>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</si>
  <si>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</si>
  <si>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</si>
  <si>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</si>
  <si>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</si>
  <si>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</si>
  <si>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</si>
  <si>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</si>
  <si>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</si>
  <si>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</si>
  <si>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</si>
  <si>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</si>
  <si>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</si>
  <si>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</si>
  <si>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</si>
  <si>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</si>
  <si>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</si>
  <si>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</si>
  <si>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</si>
  <si>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</si>
  <si>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</si>
  <si>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</si>
  <si>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</si>
  <si>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</si>
  <si>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</si>
  <si>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</si>
  <si>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</si>
  <si>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</si>
  <si>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</si>
  <si>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</si>
  <si>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</si>
  <si>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</si>
  <si>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</si>
  <si>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</si>
  <si>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</si>
  <si>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</si>
  <si>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</si>
  <si>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</si>
  <si>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</si>
  <si>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</si>
  <si>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</si>
  <si>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</si>
  <si>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</si>
  <si>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</si>
  <si>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</si>
  <si>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</si>
  <si>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</si>
  <si>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</si>
  <si>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</si>
  <si>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</si>
  <si>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</si>
  <si>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</si>
  <si>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</si>
  <si>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</si>
  <si>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</si>
  <si>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</si>
  <si>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</si>
  <si>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</si>
  <si>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</si>
  <si>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</si>
  <si>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</si>
  <si>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</si>
  <si>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</si>
  <si>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</si>
  <si>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</si>
  <si>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</si>
  <si>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</si>
  <si>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</si>
  <si>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</si>
  <si>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</si>
  <si>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</si>
  <si>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</si>
  <si>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</si>
  <si>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</si>
  <si>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</si>
  <si>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</si>
  <si>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</si>
  <si>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</si>
  <si>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</si>
  <si>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</si>
  <si>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</si>
  <si>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</si>
  <si>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</si>
  <si>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</si>
  <si>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</si>
  <si>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</si>
  <si>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</si>
  <si>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</si>
  <si>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</si>
  <si>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</si>
  <si>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</si>
  <si>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</si>
  <si>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</si>
  <si>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</si>
  <si>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</si>
  <si>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</si>
  <si>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</si>
  <si>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</si>
  <si>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</si>
  <si>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</si>
  <si>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</si>
  <si>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</si>
  <si>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</si>
  <si>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</si>
  <si>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</si>
  <si>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</si>
  <si>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</si>
  <si>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</si>
  <si>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</si>
  <si>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</si>
  <si>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</si>
  <si>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</si>
  <si>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</si>
  <si>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</si>
  <si>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</si>
  <si>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</si>
  <si>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</si>
  <si>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</si>
  <si>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</si>
  <si>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</si>
  <si>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</si>
  <si>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</si>
  <si>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</si>
  <si>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</si>
  <si>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</si>
  <si>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</si>
  <si>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</si>
  <si>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</si>
  <si>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</si>
  <si>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</si>
  <si>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</si>
  <si>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</si>
  <si>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</si>
  <si>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</si>
  <si>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</si>
  <si>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</si>
  <si>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</si>
  <si>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</si>
  <si>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</si>
  <si>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</si>
  <si>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</si>
  <si>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</si>
  <si>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</si>
  <si>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</si>
  <si>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</si>
  <si>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</si>
  <si>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</si>
  <si>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</si>
  <si>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</si>
  <si>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</si>
  <si>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</si>
  <si>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</si>
  <si>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</si>
  <si>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</si>
  <si>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</si>
  <si>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</si>
  <si>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</si>
  <si>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</si>
  <si>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</si>
  <si>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</si>
  <si>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</si>
  <si>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</si>
  <si>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</si>
  <si>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</si>
  <si>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</si>
  <si>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</si>
  <si>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</si>
  <si>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</si>
  <si>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</si>
  <si>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</si>
  <si>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</si>
  <si>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</si>
  <si>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</si>
  <si>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</si>
  <si>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</si>
  <si>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</si>
  <si>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</si>
  <si>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</si>
  <si>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</si>
  <si>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</si>
  <si>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</si>
  <si>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</si>
  <si>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</si>
  <si>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</si>
  <si>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</si>
  <si>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</si>
  <si>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</si>
  <si>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</si>
  <si>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</si>
  <si>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</si>
  <si>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</si>
  <si>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</si>
  <si>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</si>
  <si>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</si>
  <si>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</si>
  <si>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</si>
  <si>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</si>
  <si>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</si>
  <si>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</si>
  <si>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</si>
  <si>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</si>
  <si>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</si>
  <si>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</si>
  <si>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</si>
  <si>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</si>
  <si>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</si>
  <si>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</si>
  <si>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</si>
  <si>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</si>
  <si>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</si>
  <si>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</si>
  <si>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</si>
  <si>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</si>
  <si>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</si>
  <si>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</si>
  <si>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</si>
  <si>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</si>
  <si>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</si>
  <si>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</si>
  <si>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</si>
  <si>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</si>
  <si>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</si>
  <si>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</si>
  <si>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</si>
  <si>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</si>
  <si>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</si>
  <si>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</si>
  <si>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</si>
  <si>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</si>
  <si>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</si>
  <si>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</si>
  <si>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</si>
  <si>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</si>
  <si>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</si>
  <si>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</si>
  <si>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</si>
  <si>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</si>
  <si>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</si>
  <si>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</si>
  <si>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</si>
  <si>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</si>
  <si>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</si>
  <si>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</si>
  <si>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</si>
  <si>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</si>
  <si>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</si>
  <si>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</si>
  <si>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</si>
  <si>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</si>
  <si>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</si>
  <si>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</si>
  <si>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</si>
  <si>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</si>
  <si>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</si>
  <si>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</si>
  <si>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</si>
  <si>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</si>
  <si>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</si>
  <si>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</si>
  <si>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</si>
  <si>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</si>
  <si>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</si>
  <si>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</si>
  <si>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</si>
  <si>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</si>
  <si>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</si>
  <si>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</si>
  <si>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</si>
  <si>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</si>
  <si>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</si>
  <si>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</si>
  <si>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</si>
  <si>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</si>
  <si>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</si>
  <si>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</si>
  <si>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</si>
  <si>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</si>
  <si>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</si>
  <si>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</si>
  <si>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</si>
  <si>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</si>
  <si>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</si>
  <si>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</si>
  <si>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</si>
  <si>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</si>
  <si>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</si>
  <si>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</si>
  <si>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</si>
  <si>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</si>
  <si>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</si>
  <si>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</si>
  <si>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</si>
  <si>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</si>
  <si>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</si>
  <si>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</si>
  <si>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</si>
  <si>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</si>
  <si>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</si>
  <si>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</si>
  <si>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</si>
  <si>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</si>
  <si>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</si>
  <si>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</si>
  <si>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</si>
  <si>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</si>
  <si>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</si>
  <si>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</si>
  <si>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</si>
  <si>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</si>
  <si>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</si>
  <si>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</si>
  <si>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</si>
  <si>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</si>
  <si>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</si>
  <si>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</si>
  <si>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</si>
  <si>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</si>
  <si>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</si>
  <si>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</si>
  <si>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</si>
  <si>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</si>
  <si>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</si>
  <si>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</si>
  <si>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</si>
  <si>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</si>
  <si>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</si>
  <si>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</si>
  <si>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</si>
  <si>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</si>
  <si>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</si>
  <si>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</si>
  <si>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</si>
  <si>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</si>
  <si>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</si>
  <si>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</si>
  <si>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</si>
  <si>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</si>
  <si>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</si>
  <si>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</si>
  <si>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</si>
  <si>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</si>
  <si>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</si>
  <si>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</si>
  <si>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</si>
  <si>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</si>
  <si>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</si>
  <si>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</si>
  <si>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</si>
  <si>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</si>
  <si>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</si>
  <si>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</si>
  <si>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</si>
  <si>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</si>
  <si>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</si>
  <si>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</si>
  <si>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</si>
  <si>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</si>
  <si>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</si>
  <si>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</si>
  <si>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</si>
  <si>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</si>
  <si>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</si>
  <si>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</si>
  <si>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</si>
  <si>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</si>
  <si>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</si>
  <si>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</si>
  <si>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</si>
  <si>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</si>
  <si>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</si>
  <si>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</si>
  <si>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</si>
  <si>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</si>
  <si>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</si>
  <si>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</si>
  <si>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</si>
  <si>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</si>
  <si>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</si>
  <si>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</si>
  <si>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</si>
  <si>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</si>
  <si>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</si>
  <si>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</si>
  <si>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</si>
  <si>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</si>
  <si>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</si>
  <si>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</si>
  <si>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</si>
  <si>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</si>
  <si>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</si>
  <si>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</si>
  <si>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</si>
  <si>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</si>
  <si>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</si>
  <si>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</si>
  <si>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</si>
  <si>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</si>
  <si>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</si>
  <si>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</si>
  <si>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</si>
  <si>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</si>
  <si>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</si>
  <si>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</si>
  <si>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</si>
  <si>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</si>
  <si>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</si>
  <si>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</si>
  <si>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</si>
  <si>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</si>
  <si>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</si>
  <si>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</si>
  <si>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</si>
  <si>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</si>
  <si>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</si>
  <si>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</si>
  <si>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</si>
  <si>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</si>
  <si>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</si>
  <si>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</si>
  <si>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</si>
  <si>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</si>
  <si>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</si>
  <si>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</si>
  <si>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</si>
  <si>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</si>
  <si>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</si>
  <si>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</si>
  <si>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</si>
  <si>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</si>
  <si>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</si>
  <si>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</si>
  <si>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</si>
  <si>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</si>
  <si>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</si>
  <si>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</si>
  <si>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</si>
  <si>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</si>
  <si>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</si>
  <si>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</si>
  <si>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</si>
  <si>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</si>
  <si>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</si>
  <si>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</si>
  <si>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</si>
  <si>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</si>
  <si>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</si>
  <si>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</si>
  <si>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</si>
  <si>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</si>
  <si>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</si>
  <si>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</si>
  <si>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</si>
  <si>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</si>
  <si>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</si>
  <si>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</si>
  <si>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</si>
  <si>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</si>
  <si>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</si>
  <si>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</si>
  <si>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</si>
  <si>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</si>
  <si>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</si>
  <si>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</si>
  <si>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</si>
  <si>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</si>
  <si>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</si>
  <si>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</si>
  <si>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</si>
  <si>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</si>
  <si>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</si>
  <si>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</si>
  <si>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</si>
  <si>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</si>
  <si>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</si>
  <si>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</si>
  <si>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</si>
  <si>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</si>
  <si>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</si>
  <si>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</si>
  <si>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</si>
  <si>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</si>
  <si>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</si>
  <si>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</si>
  <si>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</si>
  <si>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</si>
  <si>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</si>
  <si>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</si>
  <si>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</si>
  <si>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</si>
  <si>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</si>
  <si>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</si>
  <si>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</si>
  <si>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</si>
  <si>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</si>
  <si>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</si>
  <si>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</si>
  <si>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</si>
  <si>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</si>
  <si>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</si>
  <si>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</si>
  <si>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</si>
  <si>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</si>
  <si>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</si>
  <si>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</si>
  <si>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</si>
  <si>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</si>
  <si>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</si>
  <si>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</si>
  <si>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</si>
  <si>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</si>
  <si>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</si>
  <si>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</si>
  <si>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</si>
  <si>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</si>
  <si>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</si>
  <si>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</si>
  <si>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</si>
  <si>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</si>
  <si>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</si>
  <si>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</si>
  <si>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</si>
  <si>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</si>
  <si>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</si>
  <si>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</si>
  <si>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</si>
  <si>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</si>
  <si>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</si>
  <si>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</si>
  <si>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</si>
  <si>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</si>
  <si>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</si>
  <si>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</si>
  <si>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</si>
  <si>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</si>
  <si>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</si>
  <si>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</si>
  <si>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</si>
  <si>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</si>
  <si>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</si>
  <si>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</si>
  <si>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</si>
  <si>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</si>
  <si>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</si>
  <si>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</si>
  <si>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</si>
  <si>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</si>
  <si>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</si>
  <si>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</si>
  <si>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</si>
  <si>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</si>
  <si>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</si>
  <si>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</si>
  <si>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</si>
  <si>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</si>
  <si>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</si>
  <si>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</si>
  <si>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</si>
  <si>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</si>
  <si>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</si>
  <si>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</si>
  <si>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</si>
  <si>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</si>
  <si>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</si>
  <si>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</si>
  <si>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</si>
  <si>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</si>
  <si>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</si>
  <si>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</si>
  <si>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</si>
  <si>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</si>
  <si>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</si>
  <si>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</si>
  <si>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</si>
  <si>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</si>
  <si>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</si>
  <si>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</si>
  <si>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</si>
  <si>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</si>
  <si>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</si>
  <si>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</si>
  <si>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</si>
  <si>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</si>
  <si>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</si>
  <si>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</si>
  <si>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</si>
  <si>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</si>
  <si>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</si>
  <si>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</si>
  <si>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</si>
  <si>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</si>
  <si>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</si>
  <si>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</si>
  <si>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</si>
  <si>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</si>
  <si>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</si>
  <si>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</si>
  <si>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</si>
  <si>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</si>
  <si>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</si>
  <si>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</si>
  <si>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</si>
  <si>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</si>
  <si>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</si>
  <si>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</si>
  <si>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</si>
  <si>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</si>
  <si>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</si>
  <si>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</si>
  <si>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</si>
  <si>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</si>
  <si>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</si>
  <si>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</si>
  <si>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</si>
  <si>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</si>
  <si>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</si>
  <si>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</si>
  <si>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</si>
  <si>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</si>
  <si>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</si>
  <si>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</si>
  <si>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</si>
  <si>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</si>
  <si>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</si>
  <si>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</si>
  <si>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</si>
  <si>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</si>
  <si>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</si>
  <si>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</si>
  <si>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</si>
  <si>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</si>
  <si>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</si>
  <si>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</si>
  <si>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</si>
  <si>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</si>
  <si>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</si>
  <si>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</si>
  <si>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</si>
  <si>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</si>
  <si>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</si>
  <si>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</si>
  <si>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</si>
  <si>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</si>
  <si>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</si>
  <si>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</si>
  <si>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</si>
  <si>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</si>
  <si>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</si>
  <si>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</si>
  <si>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</si>
  <si>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</si>
  <si>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</si>
  <si>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</si>
  <si>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</si>
  <si>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</si>
  <si>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</si>
  <si>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</si>
  <si>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</si>
  <si>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</si>
  <si>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</si>
  <si>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</si>
  <si>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</si>
  <si>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</si>
  <si>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</si>
  <si>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</si>
  <si>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</si>
  <si>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</si>
  <si>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</si>
  <si>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</si>
  <si>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</si>
  <si>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</si>
  <si>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</si>
  <si>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</si>
  <si>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</si>
  <si>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</si>
  <si>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</si>
  <si>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</si>
  <si>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</si>
  <si>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</si>
  <si>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</si>
  <si>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</si>
  <si>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</si>
  <si>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</si>
  <si>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</si>
  <si>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</si>
  <si>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</si>
  <si>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</si>
  <si>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</si>
  <si>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</si>
  <si>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</si>
  <si>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</si>
  <si>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</si>
  <si>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</si>
  <si>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</si>
  <si>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</si>
  <si>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</si>
  <si>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</si>
  <si>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</si>
  <si>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</si>
  <si>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</si>
  <si>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</si>
  <si>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</si>
  <si>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</si>
  <si>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</si>
  <si>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</si>
  <si>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</si>
  <si>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</si>
  <si>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</si>
  <si>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</si>
  <si>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</si>
  <si>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</si>
  <si>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</si>
  <si>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</si>
  <si>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</si>
  <si>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</si>
  <si>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</si>
  <si>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</si>
  <si>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</si>
  <si>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</si>
  <si>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</si>
  <si>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</si>
  <si>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</si>
  <si>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</si>
  <si>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</si>
  <si>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</si>
  <si>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</si>
  <si>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</si>
  <si>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</si>
  <si>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</si>
  <si>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</si>
  <si>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</si>
  <si>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</si>
  <si>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</si>
  <si>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</si>
  <si>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</si>
  <si>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</si>
  <si>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</si>
  <si>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</si>
  <si>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</si>
  <si>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</si>
  <si>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</si>
  <si>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</si>
  <si>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</si>
  <si>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</si>
  <si>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</si>
  <si>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</si>
  <si>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</si>
  <si>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</si>
  <si>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</si>
  <si>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</si>
  <si>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</si>
  <si>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</si>
  <si>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</si>
  <si>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</si>
  <si>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</si>
  <si>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</si>
  <si>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</si>
  <si>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</si>
  <si>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</si>
  <si>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</si>
  <si>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</si>
  <si>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</si>
  <si>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</si>
  <si>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</si>
  <si>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</si>
  <si>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</si>
  <si>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</si>
  <si>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</si>
  <si>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</si>
  <si>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</si>
  <si>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</si>
  <si>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</si>
  <si>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</si>
  <si>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</si>
  <si>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</si>
  <si>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</si>
  <si>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</si>
  <si>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</si>
  <si>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</si>
  <si>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</si>
  <si>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</si>
  <si>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</si>
  <si>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</si>
  <si>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</si>
  <si>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</si>
  <si>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</si>
  <si>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</si>
  <si>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</si>
  <si>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</si>
  <si>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</si>
  <si>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</si>
  <si>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</si>
  <si>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</si>
  <si>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</si>
  <si>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</si>
  <si>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</si>
  <si>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</si>
  <si>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</si>
  <si>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</si>
  <si>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</si>
  <si>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</si>
  <si>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</si>
  <si>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</si>
  <si>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</si>
  <si>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</si>
  <si>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</si>
  <si>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</si>
  <si>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</si>
  <si>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</si>
  <si>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</si>
  <si>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</si>
  <si>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</si>
  <si>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</si>
  <si>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</si>
  <si>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</si>
  <si>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</si>
  <si>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</si>
  <si>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</si>
  <si>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</si>
  <si>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</si>
  <si>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</si>
  <si>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</si>
  <si>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</si>
  <si>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</si>
  <si>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</si>
  <si>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</si>
  <si>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</si>
  <si>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</si>
  <si>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</si>
  <si>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</si>
  <si>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</si>
  <si>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</si>
  <si>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</si>
  <si>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</si>
  <si>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</si>
  <si>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</si>
  <si>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</si>
  <si>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</si>
  <si>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</si>
  <si>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</si>
  <si>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</si>
  <si>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</si>
  <si>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</si>
  <si>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</si>
  <si>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</si>
  <si>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</si>
  <si>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</si>
  <si>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</si>
  <si>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</si>
  <si>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</si>
  <si>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</si>
  <si>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</si>
  <si>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</si>
  <si>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</si>
  <si>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</si>
  <si>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</si>
  <si>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</si>
  <si>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</si>
  <si>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</si>
  <si>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</si>
  <si>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</si>
  <si>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</si>
  <si>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</si>
  <si>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</si>
  <si>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</si>
  <si>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</si>
  <si>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</si>
  <si>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</si>
  <si>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</si>
  <si>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</si>
  <si>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</si>
  <si>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</si>
  <si>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</si>
  <si>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</si>
  <si>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</si>
  <si>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</si>
  <si>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</si>
  <si>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</si>
  <si>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</si>
  <si>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</si>
  <si>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</si>
  <si>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</si>
  <si>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</si>
  <si>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</si>
  <si>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</si>
  <si>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</si>
  <si>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</si>
  <si>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</si>
  <si>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</si>
  <si>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</si>
  <si>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</si>
  <si>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</si>
  <si>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</si>
  <si>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</si>
  <si>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</si>
  <si>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</si>
  <si>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</si>
  <si>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</si>
  <si>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</si>
  <si>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</si>
  <si>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</si>
  <si>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</si>
  <si>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</si>
  <si>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</si>
  <si>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</si>
  <si>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</si>
  <si>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</si>
  <si>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</si>
  <si>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</si>
  <si>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</si>
  <si>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</si>
  <si>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</si>
  <si>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</si>
  <si>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</si>
  <si>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</si>
  <si>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</si>
  <si>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</si>
  <si>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</si>
  <si>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</si>
  <si>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</si>
  <si>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</si>
  <si>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</si>
  <si>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</si>
  <si>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</si>
  <si>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</si>
  <si>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</si>
  <si>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</si>
  <si>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</si>
  <si>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</si>
  <si>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</si>
  <si>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</si>
  <si>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</si>
  <si>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</si>
  <si>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</si>
  <si>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</si>
  <si>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</si>
  <si>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</si>
  <si>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</si>
  <si>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</si>
  <si>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</si>
  <si>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</si>
  <si>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</si>
  <si>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</si>
  <si>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</si>
  <si>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</si>
  <si>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</si>
  <si>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</si>
  <si>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</si>
  <si>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</si>
  <si>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</si>
  <si>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</si>
  <si>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</si>
  <si>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</si>
  <si>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</si>
  <si>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</si>
  <si>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</si>
  <si>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</si>
  <si>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</si>
  <si>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</si>
  <si>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</si>
  <si>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</si>
  <si>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</si>
  <si>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</si>
  <si>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</si>
  <si>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</si>
  <si>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</si>
  <si>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</si>
  <si>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</si>
  <si>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</si>
  <si>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</si>
  <si>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</si>
  <si>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</si>
  <si>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</si>
  <si>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</si>
  <si>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</si>
  <si>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</si>
  <si>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</si>
  <si>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</si>
  <si>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</si>
  <si>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</si>
  <si>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</si>
  <si>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</si>
  <si>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</si>
  <si>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</si>
  <si>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</si>
  <si>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</si>
  <si>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</si>
  <si>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</si>
  <si>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</si>
  <si>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</si>
  <si>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</si>
  <si>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</si>
  <si>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</si>
  <si>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</si>
  <si>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</si>
  <si>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</si>
  <si>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</si>
  <si>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</si>
  <si>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</si>
  <si>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</si>
  <si>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</si>
  <si>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</si>
  <si>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</si>
  <si>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</si>
  <si>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</si>
  <si>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</si>
  <si>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</si>
  <si>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</si>
  <si>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</si>
  <si>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</si>
  <si>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</si>
  <si>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</si>
  <si>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</si>
  <si>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</si>
  <si>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</si>
  <si>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</si>
  <si>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</si>
  <si>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</si>
  <si>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</si>
  <si>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</si>
  <si>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</si>
  <si>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</si>
  <si>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</si>
  <si>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</si>
  <si>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</si>
  <si>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</si>
  <si>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</si>
  <si>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</si>
  <si>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</si>
  <si>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</si>
  <si>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</si>
  <si>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</si>
  <si>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</si>
  <si>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</si>
  <si>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</si>
  <si>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</si>
  <si>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</si>
  <si>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</si>
  <si>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</si>
  <si>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</si>
  <si>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</si>
  <si>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</si>
  <si>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</si>
  <si>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</si>
  <si>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</si>
  <si>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</si>
  <si>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</si>
  <si>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</si>
  <si>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</si>
  <si>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</si>
  <si>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</si>
  <si>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</si>
  <si>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</si>
  <si>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</si>
  <si>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</si>
  <si>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</si>
  <si>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</si>
  <si>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</si>
  <si>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</si>
  <si>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</si>
  <si>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</si>
  <si>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</si>
  <si>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</si>
  <si>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</si>
  <si>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</si>
  <si>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</si>
  <si>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</si>
  <si>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</si>
  <si>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</si>
  <si>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</si>
  <si>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</si>
  <si>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</si>
  <si>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</si>
  <si>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</si>
  <si>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</si>
  <si>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</si>
  <si>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</si>
  <si>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</si>
  <si>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</si>
  <si>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</si>
  <si>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</si>
  <si>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</si>
  <si>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</si>
  <si>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</si>
  <si>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</si>
  <si>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</si>
  <si>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</si>
  <si>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</si>
  <si>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</si>
  <si>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</si>
  <si>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</si>
  <si>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</si>
  <si>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</si>
  <si>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</si>
  <si>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</si>
  <si>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</si>
  <si>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</si>
  <si>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</si>
  <si>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</si>
  <si>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</si>
  <si>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</si>
  <si>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</si>
  <si>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</si>
  <si>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</si>
  <si>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</si>
  <si>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</si>
  <si>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</si>
  <si>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</si>
  <si>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</si>
  <si>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</si>
  <si>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</si>
  <si>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</si>
  <si>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</si>
  <si>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</si>
  <si>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</si>
  <si>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</si>
  <si>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</si>
  <si>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</si>
  <si>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</si>
  <si>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</si>
  <si>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</si>
  <si>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</si>
  <si>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</si>
  <si>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</si>
  <si>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</si>
  <si>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</si>
  <si>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</si>
  <si>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</si>
  <si>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</si>
  <si>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</si>
  <si>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</si>
  <si>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</si>
  <si>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</si>
  <si>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</si>
  <si>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</si>
  <si>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</si>
  <si>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</si>
  <si>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</si>
  <si>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</si>
  <si>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</si>
  <si>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</si>
  <si>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</si>
  <si>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</si>
  <si>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</si>
  <si>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</si>
  <si>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</si>
  <si>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</si>
  <si>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</si>
  <si>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</si>
  <si>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</si>
  <si>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</si>
  <si>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</si>
  <si>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</si>
  <si>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</si>
  <si>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</si>
  <si>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</si>
  <si>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</si>
  <si>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</si>
  <si>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</si>
  <si>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</si>
  <si>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</si>
  <si>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</si>
  <si>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</si>
  <si>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</si>
  <si>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</si>
  <si>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</si>
  <si>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</si>
  <si>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</si>
  <si>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</si>
  <si>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</si>
  <si>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</si>
  <si>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</si>
  <si>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</si>
  <si>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</si>
  <si>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</si>
  <si>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</si>
  <si>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</si>
  <si>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</si>
  <si>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</si>
  <si>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</si>
  <si>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</si>
  <si>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</si>
  <si>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</si>
  <si>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</si>
  <si>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</si>
  <si>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</si>
  <si>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</si>
  <si>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</si>
  <si>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</si>
  <si>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</si>
  <si>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</si>
  <si>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</si>
  <si>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</si>
  <si>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</si>
  <si>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</si>
  <si>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</si>
  <si>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</si>
  <si>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</si>
  <si>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</si>
  <si>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</si>
  <si>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</si>
  <si>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</si>
  <si>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</si>
  <si>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</si>
  <si>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</si>
  <si>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</si>
  <si>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</si>
  <si>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</si>
  <si>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</si>
  <si>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</si>
  <si>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</si>
  <si>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</si>
  <si>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</si>
  <si>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</si>
  <si>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</si>
  <si>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</si>
  <si>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</si>
  <si>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</si>
  <si>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</si>
  <si>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</si>
  <si>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</si>
  <si>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</si>
  <si>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</si>
  <si>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</si>
  <si>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</si>
  <si>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</si>
  <si>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</si>
  <si>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</si>
  <si>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</si>
  <si>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</si>
  <si>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</si>
  <si>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</si>
  <si>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</si>
  <si>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</si>
  <si>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</si>
  <si>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</si>
  <si>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</si>
  <si>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</si>
  <si>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</si>
  <si>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</si>
  <si>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</si>
  <si>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</si>
  <si>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</si>
  <si>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</si>
  <si>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</si>
  <si>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</si>
  <si>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</si>
  <si>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</si>
  <si>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</si>
  <si>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</si>
  <si>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</si>
  <si>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</si>
  <si>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</si>
  <si>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</si>
  <si>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</si>
  <si>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</si>
  <si>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</si>
  <si>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</si>
  <si>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</si>
  <si>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</si>
  <si>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</si>
  <si>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</si>
  <si>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</si>
  <si>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</si>
  <si>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</si>
  <si>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</si>
  <si>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</si>
  <si>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</si>
  <si>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</si>
  <si>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</si>
  <si>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</si>
  <si>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</si>
  <si>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</si>
  <si>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</si>
  <si>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</si>
  <si>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</si>
  <si>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</si>
  <si>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</si>
  <si>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</si>
  <si>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</si>
  <si>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</si>
  <si>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</si>
  <si>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</si>
  <si>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</si>
  <si>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</si>
  <si>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</si>
  <si>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</si>
  <si>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</si>
  <si>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</si>
  <si>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</si>
  <si>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</si>
  <si>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</si>
  <si>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</si>
  <si>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</si>
  <si>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</si>
  <si>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</si>
  <si>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</si>
  <si>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</si>
  <si>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</si>
  <si>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</si>
  <si>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</si>
  <si>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</si>
  <si>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</si>
  <si>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</si>
  <si>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</si>
  <si>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</si>
  <si>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</si>
  <si>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</si>
  <si>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</si>
  <si>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</si>
  <si>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</si>
  <si>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</si>
  <si>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</si>
  <si>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</si>
  <si>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</si>
  <si>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</si>
  <si>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</si>
  <si>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</si>
  <si>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</si>
  <si>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</si>
  <si>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</si>
  <si>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</si>
  <si>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</si>
  <si>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</si>
  <si>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</si>
  <si>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</si>
  <si>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</si>
  <si>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</si>
  <si>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</si>
  <si>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</si>
  <si>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</si>
  <si>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</si>
  <si>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</si>
  <si>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</si>
  <si>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</si>
  <si>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</si>
  <si>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</si>
  <si>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</si>
  <si>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</si>
  <si>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</si>
  <si>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</si>
  <si>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</si>
  <si>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</si>
  <si>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</si>
  <si>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</si>
  <si>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</si>
  <si>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</si>
  <si>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</si>
  <si>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</si>
  <si>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</si>
  <si>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</si>
  <si>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</si>
  <si>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</si>
  <si>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</si>
  <si>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</si>
  <si>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</si>
  <si>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</si>
  <si>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</si>
  <si>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</si>
  <si>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</si>
  <si>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</si>
  <si>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</si>
  <si>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</si>
  <si>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</si>
  <si>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</si>
  <si>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</si>
  <si>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</si>
  <si>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</si>
  <si>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</si>
  <si>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</si>
  <si>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</si>
  <si>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</si>
  <si>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</si>
  <si>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</si>
  <si>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</si>
  <si>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</si>
  <si>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</si>
  <si>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</si>
  <si>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</si>
  <si>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</si>
  <si>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</si>
  <si>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</si>
  <si>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</si>
  <si>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</si>
  <si>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</si>
  <si>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</si>
  <si>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</si>
  <si>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</si>
  <si>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</si>
  <si>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</si>
  <si>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</si>
  <si>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</si>
  <si>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</si>
  <si>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</si>
  <si>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</si>
  <si>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</si>
  <si>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</si>
  <si>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</si>
  <si>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</si>
  <si>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</si>
  <si>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</si>
  <si>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</si>
  <si>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</si>
  <si>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</si>
  <si>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</si>
  <si>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</si>
  <si>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</si>
  <si>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</si>
  <si>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</si>
  <si>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</si>
  <si>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</si>
  <si>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</si>
  <si>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</si>
  <si>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</si>
  <si>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</si>
  <si>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</si>
  <si>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</si>
  <si>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</si>
  <si>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</si>
  <si>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</si>
  <si>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</si>
  <si>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</si>
  <si>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</si>
  <si>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</si>
  <si>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</si>
  <si>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</si>
  <si>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</si>
  <si>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</si>
  <si>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</si>
  <si>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</si>
  <si>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</si>
  <si>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</si>
  <si>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</si>
  <si>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</si>
  <si>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</si>
  <si>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</si>
  <si>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</si>
  <si>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</si>
  <si>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</si>
  <si>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</si>
  <si>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</si>
  <si>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</si>
  <si>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</si>
  <si>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</si>
  <si>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</si>
  <si>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</si>
  <si>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</si>
  <si>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</si>
  <si>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</si>
  <si>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</si>
  <si>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</si>
  <si>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</si>
  <si>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</si>
  <si>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</si>
  <si>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</si>
  <si>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</si>
  <si>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</si>
  <si>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</si>
  <si>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</si>
  <si>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</si>
  <si>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</si>
  <si>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</si>
  <si>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</si>
  <si>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</si>
  <si>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</si>
  <si>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</si>
  <si>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</si>
  <si>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</si>
  <si>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</si>
  <si>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</si>
  <si>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</si>
  <si>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</si>
  <si>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</si>
  <si>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</si>
  <si>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</si>
  <si>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</si>
  <si>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</si>
  <si>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</si>
  <si>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</si>
  <si>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</si>
  <si>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</si>
  <si>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</si>
  <si>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</si>
  <si>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</si>
  <si>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</si>
  <si>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</si>
  <si>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</si>
  <si>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</si>
  <si>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</si>
  <si>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</si>
  <si>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</si>
  <si>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</si>
  <si>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</si>
  <si>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</si>
  <si>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</si>
  <si>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</si>
  <si>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</si>
  <si>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</si>
  <si>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</si>
  <si>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</si>
  <si>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</si>
  <si>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</si>
  <si>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</si>
  <si>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</si>
  <si>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</si>
  <si>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</si>
  <si>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</si>
  <si>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</si>
  <si>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</si>
  <si>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</si>
  <si>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</si>
  <si>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</si>
  <si>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</si>
  <si>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</si>
  <si>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</si>
  <si>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</si>
  <si>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</si>
  <si>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</si>
  <si>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</si>
  <si>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</si>
  <si>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</si>
  <si>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</si>
  <si>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</si>
  <si>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</si>
  <si>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</si>
  <si>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</si>
  <si>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</si>
  <si>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</si>
  <si>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</si>
  <si>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</si>
  <si>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</si>
  <si>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</si>
  <si>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</si>
  <si>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</si>
  <si>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</si>
  <si>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</si>
  <si>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</si>
  <si>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</si>
  <si>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</si>
  <si>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</si>
  <si>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</si>
  <si>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</si>
  <si>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</si>
  <si>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</si>
  <si>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</si>
  <si>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</si>
  <si>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</si>
  <si>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</si>
  <si>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</si>
  <si>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</si>
  <si>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</si>
  <si>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</si>
  <si>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</si>
  <si>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</si>
  <si>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</si>
  <si>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</si>
  <si>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</si>
  <si>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</si>
  <si>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</si>
  <si>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</si>
  <si>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</si>
  <si>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</si>
  <si>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</si>
  <si>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</si>
  <si>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</si>
  <si>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</si>
  <si>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</si>
  <si>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</si>
  <si>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</si>
  <si>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</si>
  <si>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</si>
  <si>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</si>
  <si>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</si>
  <si>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</si>
  <si>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</si>
  <si>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</si>
  <si>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</si>
  <si>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</si>
  <si>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</si>
  <si>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</si>
  <si>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</si>
  <si>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</si>
  <si>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</si>
  <si>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</si>
  <si>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</si>
  <si>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</si>
  <si>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</si>
  <si>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</si>
  <si>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</si>
  <si>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</si>
  <si>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</si>
  <si>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</si>
  <si>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</si>
  <si>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</si>
  <si>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</si>
  <si>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</si>
  <si>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</si>
  <si>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</si>
  <si>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</si>
  <si>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</si>
  <si>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</si>
  <si>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</si>
  <si>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</si>
  <si>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</si>
  <si>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</si>
  <si>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</si>
  <si>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</si>
  <si>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</si>
  <si>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</si>
  <si>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</si>
  <si>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</si>
  <si>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</si>
  <si>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</si>
  <si>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</si>
  <si>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</si>
  <si>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</si>
  <si>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</si>
  <si>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</si>
  <si>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</si>
  <si>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</si>
  <si>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</si>
  <si>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</si>
  <si>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</si>
  <si>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</si>
  <si>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</si>
  <si>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</si>
  <si>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</si>
  <si>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</si>
  <si>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</si>
  <si>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</si>
  <si>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</si>
  <si>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</si>
  <si>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</si>
  <si>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</si>
  <si>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</si>
  <si>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</si>
  <si>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</si>
  <si>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</si>
  <si>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</si>
  <si>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</si>
  <si>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</si>
  <si>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</si>
  <si>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</si>
  <si>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</si>
  <si>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</si>
  <si>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</si>
  <si>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</si>
  <si>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</si>
  <si>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</si>
  <si>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</si>
  <si>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</si>
  <si>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</si>
  <si>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</si>
  <si>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</si>
  <si>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</si>
  <si>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</si>
  <si>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</si>
  <si>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</si>
  <si>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</si>
  <si>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</si>
  <si>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</si>
  <si>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</si>
  <si>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</si>
  <si>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</si>
  <si>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</si>
  <si>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</si>
  <si>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</si>
  <si>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</si>
  <si>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</si>
  <si>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</si>
  <si>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</si>
  <si>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</si>
  <si>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</si>
  <si>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</si>
  <si>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</si>
  <si>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</si>
  <si>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</si>
  <si>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</si>
  <si>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</si>
  <si>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</si>
  <si>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</si>
  <si>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</si>
  <si>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</si>
  <si>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</si>
  <si>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</si>
  <si>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</si>
  <si>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</si>
  <si>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</si>
  <si>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</si>
  <si>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</si>
  <si>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</si>
  <si>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</si>
  <si>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</si>
  <si>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</si>
  <si>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</si>
  <si>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</si>
  <si>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</si>
  <si>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</si>
  <si>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</si>
  <si>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</si>
  <si>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</si>
  <si>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</si>
  <si>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</si>
  <si>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</si>
  <si>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</si>
  <si>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</si>
  <si>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</si>
  <si>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</si>
  <si>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</si>
  <si>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</si>
  <si>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</si>
  <si>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</si>
  <si>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</si>
  <si>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</si>
  <si>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</si>
  <si>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</si>
  <si>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</si>
  <si>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</si>
  <si>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</si>
  <si>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</si>
  <si>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</si>
  <si>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</si>
  <si>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</si>
  <si>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</si>
  <si>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</si>
  <si>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</si>
  <si>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</si>
  <si>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</si>
  <si>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</si>
  <si>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</si>
  <si>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</si>
  <si>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</si>
  <si>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</si>
  <si>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</si>
  <si>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</si>
  <si>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</si>
  <si>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</si>
  <si>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</si>
  <si>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</si>
  <si>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</si>
  <si>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</si>
  <si>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</si>
  <si>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</si>
  <si>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</si>
  <si>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</si>
  <si>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</si>
  <si>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</si>
  <si>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</si>
  <si>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</si>
  <si>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</si>
  <si>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</si>
  <si>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</si>
  <si>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</si>
  <si>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</si>
  <si>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</si>
  <si>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</si>
  <si>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</si>
  <si>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</si>
  <si>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</si>
  <si>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</si>
  <si>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</si>
  <si>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</si>
  <si>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</si>
  <si>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</si>
  <si>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</si>
  <si>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</si>
  <si>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</si>
  <si>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</si>
  <si>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</si>
  <si>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</si>
  <si>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</si>
  <si>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</si>
  <si>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</si>
  <si>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</si>
  <si>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</si>
  <si>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</si>
  <si>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</si>
  <si>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</si>
  <si>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</si>
  <si>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</si>
  <si>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</si>
  <si>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</si>
  <si>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</si>
  <si>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</si>
  <si>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</si>
  <si>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</si>
  <si>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</si>
  <si>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</si>
  <si>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</si>
  <si>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</si>
  <si>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</si>
  <si>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</si>
  <si>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</si>
  <si>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</si>
  <si>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</si>
  <si>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</si>
  <si>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</si>
  <si>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</si>
  <si>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</si>
  <si>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</si>
  <si>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</si>
  <si>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</si>
  <si>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</si>
  <si>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</si>
  <si>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</si>
  <si>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</si>
  <si>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</si>
  <si>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</si>
  <si>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</si>
  <si>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</si>
  <si>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</si>
  <si>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</si>
  <si>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</si>
  <si>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</si>
  <si>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</si>
  <si>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</si>
  <si>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</si>
  <si>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</si>
  <si>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</si>
  <si>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</si>
  <si>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</si>
  <si>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</si>
  <si>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</si>
  <si>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</si>
  <si>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</si>
  <si>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</si>
  <si>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</si>
  <si>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</si>
  <si>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</si>
  <si>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</si>
  <si>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</si>
  <si>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</si>
  <si>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</si>
  <si>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</si>
  <si>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</si>
  <si>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</si>
  <si>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</si>
  <si>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</si>
  <si>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</si>
  <si>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</si>
  <si>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</si>
  <si>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</si>
  <si>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</si>
  <si>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</si>
  <si>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</si>
  <si>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</si>
  <si>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</si>
  <si>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</si>
  <si>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</si>
  <si>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</si>
  <si>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</si>
  <si>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</si>
  <si>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</si>
  <si>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</si>
  <si>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</si>
  <si>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</si>
  <si>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</si>
  <si>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</si>
  <si>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</si>
  <si>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</si>
  <si>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</si>
  <si>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</si>
  <si>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</si>
  <si>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</si>
  <si>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</si>
  <si>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</si>
  <si>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</si>
  <si>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</si>
  <si>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</si>
  <si>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</si>
  <si>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</si>
  <si>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</si>
  <si>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</si>
  <si>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</si>
  <si>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</si>
  <si>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</si>
  <si>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</si>
  <si>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</si>
  <si>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</si>
  <si>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</si>
  <si>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</si>
  <si>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</si>
  <si>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</si>
  <si>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</si>
  <si>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</si>
  <si>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</si>
  <si>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</si>
  <si>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</si>
  <si>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</si>
  <si>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</si>
  <si>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</si>
  <si>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</si>
  <si>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</si>
  <si>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</si>
  <si>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</si>
  <si>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</si>
  <si>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</si>
  <si>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</si>
  <si>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</si>
  <si>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</si>
  <si>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</si>
  <si>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</si>
  <si>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</si>
  <si>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</si>
  <si>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</si>
  <si>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</si>
  <si>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</si>
  <si>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</si>
  <si>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</si>
  <si>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</si>
  <si>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</si>
  <si>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</si>
  <si>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</si>
  <si>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</si>
  <si>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</si>
  <si>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</si>
  <si>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</si>
  <si>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</si>
  <si>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</si>
  <si>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</si>
  <si>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</si>
  <si>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</si>
  <si>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</si>
  <si>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</si>
  <si>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</si>
  <si>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</si>
  <si>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</si>
  <si>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</si>
  <si>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</si>
  <si>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</si>
  <si>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</si>
  <si>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</si>
  <si>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</si>
  <si>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</si>
  <si>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</si>
  <si>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</si>
  <si>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</si>
  <si>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</si>
  <si>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</si>
  <si>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</si>
  <si>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</si>
  <si>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</si>
  <si>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</si>
  <si>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</si>
  <si>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</si>
  <si>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</si>
  <si>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</si>
  <si>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</si>
  <si>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</si>
  <si>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</si>
  <si>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</si>
  <si>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</si>
  <si>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</si>
  <si>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</si>
  <si>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</si>
  <si>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</si>
  <si>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</si>
  <si>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</si>
  <si>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</si>
  <si>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</si>
  <si>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</si>
  <si>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</si>
  <si>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</si>
  <si>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</si>
  <si>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</si>
  <si>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</si>
  <si>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</si>
  <si>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</si>
  <si>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</si>
  <si>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</si>
  <si>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</si>
  <si>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</si>
  <si>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</si>
  <si>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</si>
  <si>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</si>
  <si>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</si>
  <si>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</si>
  <si>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</si>
  <si>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</si>
  <si>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</si>
  <si>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</si>
  <si>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</si>
  <si>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</si>
  <si>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</si>
  <si>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</si>
  <si>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</si>
  <si>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</si>
  <si>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</si>
  <si>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</si>
  <si>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</si>
  <si>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</si>
  <si>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</si>
  <si>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</si>
  <si>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</si>
  <si>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</si>
  <si>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</si>
  <si>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</si>
  <si>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</si>
  <si>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</si>
  <si>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</si>
  <si>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</si>
  <si>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</si>
  <si>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</si>
  <si>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</si>
  <si>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</si>
  <si>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</si>
  <si>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</si>
  <si>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</si>
  <si>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</si>
  <si>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</si>
  <si>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</si>
  <si>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</si>
  <si>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</si>
  <si>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</si>
  <si>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</si>
  <si>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</si>
  <si>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</si>
  <si>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</si>
  <si>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</si>
  <si>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</si>
  <si>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</si>
  <si>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</si>
  <si>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</si>
  <si>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</si>
  <si>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</si>
  <si>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</si>
  <si>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</si>
  <si>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</si>
  <si>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</si>
  <si>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</si>
  <si>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</si>
  <si>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</si>
  <si>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</si>
  <si>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</si>
  <si>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</si>
  <si>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</si>
  <si>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</si>
  <si>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</si>
  <si>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</si>
  <si>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</si>
  <si>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</si>
  <si>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</si>
  <si>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</si>
  <si>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</si>
  <si>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</si>
  <si>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</si>
  <si>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</si>
  <si>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</si>
  <si>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</si>
  <si>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</si>
  <si>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</si>
  <si>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</si>
  <si>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</si>
  <si>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</si>
  <si>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</si>
  <si>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</si>
  <si>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</si>
  <si>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</si>
  <si>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</si>
  <si>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</si>
  <si>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</si>
  <si>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</si>
  <si>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</si>
  <si>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</si>
  <si>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</si>
  <si>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</si>
  <si>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</si>
  <si>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</si>
  <si>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</si>
  <si>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</si>
  <si>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</si>
  <si>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</si>
  <si>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</si>
  <si>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</si>
  <si>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</si>
  <si>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</si>
  <si>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</si>
  <si>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</si>
  <si>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</si>
  <si>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</si>
  <si>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</si>
  <si>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</si>
  <si>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</si>
  <si>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</si>
  <si>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</si>
  <si>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</si>
  <si>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</si>
  <si>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</si>
  <si>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</si>
  <si>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</si>
  <si>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</si>
  <si>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</si>
  <si>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</si>
  <si>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</si>
  <si>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</si>
  <si>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</si>
  <si>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</si>
  <si>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</si>
  <si>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</si>
  <si>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</si>
  <si>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</si>
  <si>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</si>
  <si>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</si>
  <si>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</si>
  <si>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</si>
  <si>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</si>
  <si>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</si>
  <si>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</si>
  <si>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</si>
  <si>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</si>
  <si>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</si>
  <si>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</si>
  <si>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</si>
  <si>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</si>
  <si>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</si>
  <si>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</si>
  <si>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</si>
  <si>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</si>
  <si>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</si>
  <si>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</si>
  <si>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</si>
  <si>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</si>
  <si>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</si>
  <si>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</si>
  <si>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</si>
  <si>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</si>
  <si>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</si>
  <si>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</si>
  <si>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</si>
  <si>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</si>
  <si>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</si>
  <si>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</si>
  <si>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</si>
  <si>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</si>
  <si>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</si>
  <si>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</si>
  <si>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</si>
  <si>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</si>
  <si>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</si>
  <si>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</si>
  <si>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</si>
  <si>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</si>
  <si>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</si>
  <si>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</si>
  <si>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</si>
  <si>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</si>
  <si>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</si>
  <si>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</si>
  <si>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</si>
  <si>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</si>
  <si>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</si>
  <si>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</si>
  <si>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</si>
  <si>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</si>
  <si>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</si>
  <si>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</si>
  <si>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</si>
  <si>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</si>
  <si>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</si>
  <si>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</si>
  <si>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</si>
  <si>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</si>
  <si>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</si>
  <si>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</si>
  <si>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</si>
  <si>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</si>
  <si>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</si>
  <si>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</si>
  <si>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</si>
  <si>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</si>
  <si>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</si>
  <si>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</si>
  <si>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</si>
  <si>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</si>
  <si>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</si>
  <si>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</si>
  <si>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</si>
  <si>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</si>
  <si>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</si>
  <si>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</si>
  <si>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</si>
  <si>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</si>
  <si>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</si>
  <si>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</si>
  <si>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</si>
  <si>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</si>
  <si>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</si>
  <si>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</si>
  <si>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</si>
  <si>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</si>
  <si>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</si>
  <si>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</si>
  <si>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</si>
  <si>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</si>
  <si>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</si>
  <si>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</si>
  <si>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</si>
  <si>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</si>
  <si>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</si>
  <si>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</si>
  <si>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</si>
  <si>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</si>
  <si>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</si>
  <si>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</si>
  <si>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</si>
  <si>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</si>
  <si>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</si>
  <si>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</si>
  <si>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</si>
  <si>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</si>
  <si>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</si>
  <si>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</si>
  <si>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</si>
  <si>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</si>
  <si>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</si>
  <si>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</si>
  <si>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</si>
  <si>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</si>
  <si>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</si>
  <si>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</si>
  <si>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</si>
  <si>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</si>
  <si>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</si>
  <si>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</si>
  <si>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</si>
  <si>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</si>
  <si>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</si>
  <si>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</si>
  <si>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</si>
  <si>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</si>
  <si>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</si>
  <si>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</si>
  <si>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</si>
  <si>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</si>
  <si>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</si>
  <si>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</si>
  <si>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</si>
  <si>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</si>
  <si>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</si>
  <si>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</si>
  <si>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</si>
  <si>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</si>
  <si>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</si>
  <si>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</si>
  <si>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</si>
  <si>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</si>
  <si>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</si>
  <si>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</si>
  <si>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</si>
  <si>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</si>
  <si>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</si>
  <si>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</si>
  <si>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</si>
  <si>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</si>
  <si>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</si>
  <si>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</si>
  <si>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</si>
  <si>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</si>
  <si>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</si>
  <si>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</si>
  <si>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</si>
  <si>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</si>
  <si>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</si>
  <si>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</si>
  <si>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</si>
  <si>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</si>
  <si>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</si>
  <si>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</si>
  <si>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</si>
  <si>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</si>
  <si>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</si>
  <si>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</si>
  <si>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</si>
  <si>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</si>
  <si>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</si>
  <si>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</si>
  <si>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</si>
  <si>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</si>
  <si>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</si>
  <si>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</si>
  <si>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</si>
  <si>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</si>
  <si>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</si>
  <si>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</si>
  <si>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</si>
  <si>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</si>
  <si>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</si>
  <si>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</si>
  <si>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</si>
  <si>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</si>
  <si>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</si>
  <si>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</si>
  <si>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</si>
  <si>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</si>
  <si>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</si>
  <si>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</si>
  <si>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</si>
  <si>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</si>
  <si>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</si>
  <si>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</si>
  <si>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</si>
  <si>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</si>
  <si>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</si>
  <si>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</si>
  <si>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</si>
  <si>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</si>
  <si>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</si>
  <si>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</si>
  <si>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</si>
  <si>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</si>
  <si>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</si>
  <si>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</si>
  <si>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</si>
  <si>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</si>
  <si>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</si>
  <si>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</si>
  <si>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</si>
  <si>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</si>
  <si>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</si>
  <si>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</si>
  <si>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</si>
  <si>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</si>
  <si>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</si>
  <si>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</si>
  <si>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</si>
  <si>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</si>
  <si>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</si>
  <si>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</si>
  <si>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</si>
  <si>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</si>
  <si>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</si>
  <si>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</si>
  <si>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</si>
  <si>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</si>
  <si>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</si>
  <si>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</si>
  <si>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</si>
  <si>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</si>
  <si>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</si>
  <si>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</si>
  <si>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</si>
  <si>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</si>
  <si>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</si>
  <si>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</si>
  <si>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</si>
  <si>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</si>
  <si>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</si>
  <si>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</si>
  <si>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</si>
  <si>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</si>
  <si>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</si>
  <si>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</si>
  <si>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</si>
  <si>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</si>
  <si>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</si>
  <si>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</si>
  <si>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</si>
  <si>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</si>
  <si>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</si>
  <si>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</si>
  <si>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</si>
  <si>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</si>
  <si>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</si>
  <si>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</si>
  <si>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</si>
  <si>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</si>
  <si>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</si>
  <si>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</si>
  <si>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</si>
  <si>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</si>
  <si>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</si>
  <si>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</si>
  <si>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</si>
  <si>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</si>
  <si>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</si>
  <si>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</si>
  <si>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</si>
  <si>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</si>
  <si>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</si>
  <si>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</si>
  <si>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</si>
  <si>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</si>
  <si>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</si>
  <si>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</si>
  <si>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</si>
  <si>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</si>
  <si>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</si>
  <si>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</si>
  <si>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</si>
  <si>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</si>
  <si>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</si>
  <si>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</si>
  <si>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</si>
  <si>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</si>
  <si>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</si>
  <si>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</si>
  <si>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</si>
  <si>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</si>
  <si>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</si>
  <si>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</si>
  <si>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</si>
  <si>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</si>
  <si>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</si>
  <si>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</si>
  <si>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</si>
  <si>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</si>
  <si>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</si>
  <si>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</si>
  <si>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</si>
  <si>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</si>
  <si>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</si>
  <si>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</si>
  <si>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</si>
  <si>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</si>
  <si>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</si>
  <si>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</si>
  <si>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</si>
  <si>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</si>
  <si>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</si>
  <si>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</si>
  <si>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</si>
  <si>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</si>
  <si>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</si>
  <si>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</si>
  <si>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</si>
  <si>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</si>
  <si>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</si>
  <si>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</si>
  <si>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</si>
  <si>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</si>
  <si>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</si>
  <si>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</si>
  <si>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</si>
  <si>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</si>
  <si>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</si>
  <si>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</si>
  <si>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</si>
  <si>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</si>
  <si>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</si>
  <si>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</si>
  <si>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</si>
  <si>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</si>
  <si>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</si>
  <si>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</si>
  <si>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</si>
  <si>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</si>
  <si>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</si>
  <si>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</si>
  <si>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</si>
  <si>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</si>
  <si>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</si>
  <si>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</si>
  <si>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</si>
  <si>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</si>
  <si>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</si>
  <si>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</si>
  <si>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</si>
  <si>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</si>
  <si>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</si>
  <si>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</si>
  <si>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</si>
  <si>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</si>
  <si>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</si>
  <si>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</si>
  <si>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</si>
  <si>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</si>
  <si>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</si>
  <si>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</si>
  <si>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</si>
  <si>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</si>
  <si>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</si>
  <si>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</si>
  <si>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</si>
  <si>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</si>
  <si>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</si>
  <si>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</si>
  <si>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</si>
  <si>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</si>
  <si>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</si>
  <si>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</si>
  <si>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</si>
  <si>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</si>
  <si>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</si>
  <si>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</si>
  <si>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</si>
  <si>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</si>
  <si>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</si>
  <si>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</si>
  <si>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</si>
  <si>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</si>
  <si>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</si>
  <si>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</si>
  <si>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</si>
  <si>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</si>
  <si>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</si>
  <si>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</si>
  <si>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</si>
  <si>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</si>
  <si>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</si>
  <si>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</si>
  <si>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</si>
  <si>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</si>
  <si>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</si>
  <si>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</si>
  <si>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</si>
  <si>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</si>
  <si>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</si>
  <si>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</si>
  <si>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</si>
  <si>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</si>
  <si>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</si>
  <si>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</si>
  <si>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</si>
  <si>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</si>
  <si>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</si>
  <si>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</si>
  <si>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</si>
  <si>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</si>
  <si>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</si>
  <si>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</si>
  <si>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</si>
  <si>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</si>
  <si>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</si>
  <si>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</si>
  <si>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</si>
  <si>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</si>
  <si>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</si>
  <si>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</si>
  <si>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</si>
  <si>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</si>
  <si>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</si>
  <si>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</si>
  <si>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</si>
  <si>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</si>
  <si>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</si>
  <si>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</si>
  <si>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</si>
  <si>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</si>
  <si>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</si>
  <si>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</si>
  <si>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</si>
  <si>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</si>
  <si>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</si>
  <si>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</si>
  <si>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</si>
  <si>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</si>
  <si>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</si>
  <si>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</si>
  <si>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</si>
  <si>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</si>
  <si>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</si>
  <si>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</si>
  <si>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</si>
  <si>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</si>
  <si>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</si>
  <si>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</si>
  <si>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</si>
  <si>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</si>
  <si>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</si>
  <si>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</si>
  <si>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</si>
  <si>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</si>
  <si>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</si>
  <si>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</si>
  <si>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</si>
  <si>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</si>
  <si>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</si>
  <si>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</si>
  <si>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</si>
  <si>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</si>
  <si>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</si>
  <si>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</si>
  <si>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</si>
  <si>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</si>
  <si>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</si>
  <si>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</si>
  <si>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</si>
  <si>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</si>
  <si>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</si>
  <si>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</si>
  <si>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</si>
  <si>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</si>
  <si>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</si>
  <si>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</si>
  <si>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</si>
  <si>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</si>
  <si>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</si>
  <si>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</si>
  <si>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</si>
  <si>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</si>
  <si>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</si>
  <si>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</si>
  <si>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</si>
  <si>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</si>
  <si>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</si>
  <si>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</si>
  <si>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</si>
  <si>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</si>
  <si>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</si>
  <si>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</si>
  <si>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</si>
  <si>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</si>
  <si>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</si>
  <si>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</si>
  <si>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</si>
  <si>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</si>
  <si>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</si>
  <si>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</si>
  <si>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</si>
  <si>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</si>
  <si>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</si>
  <si>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</si>
  <si>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</si>
  <si>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</si>
  <si>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</si>
  <si>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</si>
  <si>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</si>
  <si>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</si>
  <si>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</si>
  <si>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</si>
  <si>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</si>
  <si>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</si>
  <si>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</si>
  <si>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</si>
  <si>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</si>
  <si>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</si>
  <si>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</si>
  <si>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</si>
  <si>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</si>
  <si>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</si>
  <si>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</si>
  <si>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</si>
  <si>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</si>
  <si>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</si>
  <si>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</si>
  <si>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</si>
  <si>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</si>
  <si>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</si>
  <si>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</si>
  <si>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</si>
  <si>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</si>
  <si>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</si>
  <si>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</si>
  <si>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</si>
  <si>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</si>
  <si>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</si>
  <si>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</si>
  <si>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</si>
  <si>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</si>
  <si>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</si>
  <si>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</si>
  <si>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</si>
  <si>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</si>
  <si>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</si>
  <si>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</si>
  <si>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</si>
  <si>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</si>
  <si>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</si>
  <si>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</si>
  <si>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</si>
  <si>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</si>
  <si>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</si>
  <si>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</si>
  <si>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</si>
  <si>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</si>
  <si>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</si>
  <si>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</si>
  <si>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</si>
  <si>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</si>
  <si>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</si>
  <si>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</si>
  <si>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</si>
  <si>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</si>
  <si>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</si>
  <si>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</si>
  <si>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</si>
  <si>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</si>
  <si>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</si>
  <si>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</si>
  <si>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</si>
  <si>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</si>
  <si>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</si>
  <si>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</si>
  <si>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</si>
  <si>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</si>
  <si>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</si>
  <si>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</si>
  <si>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</si>
  <si>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</si>
  <si>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</si>
  <si>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</si>
  <si>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</si>
  <si>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</si>
  <si>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</si>
  <si>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344J2394</t>
  </si>
  <si>
    <t>344J2403</t>
  </si>
  <si>
    <t>332J2451</t>
  </si>
  <si>
    <t>332J2449</t>
  </si>
  <si>
    <t>2379393-NL1WD</t>
  </si>
  <si>
    <t>133S0172</t>
  </si>
  <si>
    <t>2382758-NL1BU</t>
  </si>
  <si>
    <t>332J2381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</si>
  <si>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</si>
  <si>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</si>
  <si>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</si>
  <si>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</si>
  <si>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</si>
  <si>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</si>
  <si>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</si>
  <si>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344J2426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</si>
  <si>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</si>
  <si>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</si>
  <si>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</si>
  <si>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</si>
  <si>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</si>
  <si>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</si>
  <si>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</si>
  <si>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</si>
  <si>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</si>
  <si>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</si>
  <si>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133S0185</t>
  </si>
  <si>
    <t>2389244-US1TT</t>
  </si>
  <si>
    <t>2389234-US1TT</t>
  </si>
  <si>
    <t>133S0184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</si>
  <si>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</si>
  <si>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</si>
  <si>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</si>
  <si>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</si>
  <si>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</si>
  <si>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</si>
  <si>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</si>
  <si>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</si>
  <si>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</si>
  <si>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</si>
  <si>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</si>
  <si>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</si>
  <si>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</si>
  <si>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</si>
  <si>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</si>
  <si>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</si>
  <si>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</si>
  <si>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</si>
  <si>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</si>
  <si>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</si>
  <si>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</si>
  <si>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</si>
  <si>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</si>
  <si>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</si>
  <si>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</si>
  <si>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</si>
  <si>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</si>
  <si>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</si>
  <si>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</si>
  <si>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</si>
  <si>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</si>
  <si>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</si>
  <si>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</si>
  <si>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</si>
  <si>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133S0186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</si>
  <si>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</si>
  <si>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</si>
  <si>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</si>
  <si>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</si>
  <si>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</si>
  <si>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</si>
  <si>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</si>
  <si>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</si>
  <si>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</si>
  <si>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</si>
  <si>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</si>
  <si>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</si>
  <si>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</si>
  <si>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</si>
  <si>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</si>
  <si>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</si>
  <si>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</si>
  <si>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</si>
  <si>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</si>
  <si>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</si>
  <si>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</si>
  <si>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</si>
  <si>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</si>
  <si>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</si>
  <si>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</si>
  <si>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</si>
  <si>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</si>
  <si>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</si>
  <si>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</si>
  <si>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</si>
  <si>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</si>
  <si>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</si>
  <si>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</si>
  <si>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</si>
  <si>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</si>
  <si>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</si>
  <si>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</si>
  <si>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</si>
  <si>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</si>
  <si>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</si>
  <si>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Maurices</t>
  </si>
  <si>
    <t>Thien Son Hung Yen Co., Ltd</t>
  </si>
  <si>
    <t>Buyer PO</t>
  </si>
  <si>
    <t>COMEZ BAND</t>
  </si>
  <si>
    <t>Stalizer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</si>
  <si>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</si>
  <si>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</si>
  <si>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</si>
  <si>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</si>
  <si>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</si>
  <si>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</si>
  <si>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</si>
  <si>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</si>
  <si>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</si>
  <si>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</si>
  <si>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</si>
  <si>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</si>
  <si>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</si>
  <si>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</si>
  <si>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</si>
  <si>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</si>
  <si>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</si>
  <si>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</si>
  <si>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</si>
  <si>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</si>
  <si>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</si>
  <si>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</si>
  <si>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</si>
  <si>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</si>
  <si>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</si>
  <si>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</si>
  <si>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</si>
  <si>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</si>
  <si>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</si>
  <si>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</si>
  <si>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</si>
  <si>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</si>
  <si>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</si>
  <si>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</si>
  <si>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</si>
  <si>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</si>
  <si>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</si>
  <si>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</si>
  <si>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</si>
  <si>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</si>
  <si>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</si>
  <si>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</si>
  <si>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</si>
  <si>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</si>
  <si>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</si>
  <si>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</si>
  <si>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</si>
  <si>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</si>
  <si>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</si>
  <si>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</si>
  <si>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</si>
  <si>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</si>
  <si>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</si>
  <si>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</si>
  <si>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</si>
  <si>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</si>
  <si>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</si>
  <si>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</si>
  <si>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</si>
  <si>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</si>
  <si>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</si>
  <si>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</si>
  <si>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</si>
  <si>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</si>
  <si>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</si>
  <si>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</si>
  <si>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</si>
  <si>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</si>
  <si>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</si>
  <si>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</si>
  <si>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</si>
  <si>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</si>
  <si>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</si>
  <si>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</si>
  <si>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</si>
  <si>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</si>
  <si>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</si>
  <si>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</si>
  <si>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</si>
  <si>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</si>
  <si>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</si>
  <si>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</si>
  <si>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</si>
  <si>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</si>
  <si>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</si>
  <si>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</si>
  <si>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</si>
  <si>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</si>
  <si>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</si>
  <si>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</si>
  <si>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</si>
  <si>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</si>
  <si>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</si>
  <si>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</si>
  <si>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</si>
  <si>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</si>
  <si>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</si>
  <si>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Courier113002</t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</si>
  <si>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</si>
  <si>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</si>
  <si>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</si>
  <si>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</si>
  <si>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</si>
  <si>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</si>
  <si>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</si>
  <si>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</si>
  <si>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</si>
  <si>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</si>
  <si>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</si>
  <si>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</si>
  <si>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</si>
  <si>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</si>
  <si>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</si>
  <si>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</si>
  <si>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</si>
  <si>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</si>
  <si>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</si>
  <si>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</si>
  <si>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</si>
  <si>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</si>
  <si>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SAPPHIRE</t>
  </si>
  <si>
    <t>TEAL</t>
  </si>
  <si>
    <t>THREAD</t>
  </si>
  <si>
    <t>NYLON THREAD</t>
  </si>
  <si>
    <t>100D/2-5000MT</t>
  </si>
  <si>
    <t>SPUN THREAD</t>
  </si>
  <si>
    <t>60'S/3 5000M</t>
  </si>
  <si>
    <t>WHIMSICAL PRINT</t>
  </si>
  <si>
    <t>BRA TAPE</t>
  </si>
  <si>
    <t>MOBILION TAPE</t>
  </si>
  <si>
    <t>PICOT UNDER BRA BAND</t>
  </si>
  <si>
    <t>CI번호</t>
    <phoneticPr fontId="1" type="noConversion"/>
  </si>
  <si>
    <t>Courier-0</t>
  </si>
  <si>
    <t>DHG-SC-11232021(A)</t>
  </si>
  <si>
    <t>SUNO21103106</t>
  </si>
  <si>
    <t>ZOE PRINT</t>
  </si>
  <si>
    <t>OLIVE</t>
  </si>
  <si>
    <t>Beauty Blue (W33738)</t>
  </si>
  <si>
    <t>SPICED LATTE</t>
  </si>
  <si>
    <t>SUNSET PRINT</t>
  </si>
  <si>
    <t xml:space="preserve">PRETTY PAISLEY PRINT </t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</si>
  <si>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</si>
  <si>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</si>
  <si>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</si>
  <si>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</si>
  <si>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</si>
  <si>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</si>
  <si>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ESGM22742KM</t>
  </si>
  <si>
    <t>1 of Total 6 Pages</t>
    <phoneticPr fontId="1" type="noConversion"/>
  </si>
  <si>
    <t>DHGK-20221115</t>
  </si>
  <si>
    <t>DHGK-20221115</t>
    <phoneticPr fontId="1" type="noConversion"/>
  </si>
  <si>
    <t>Null</t>
  </si>
  <si>
    <t>1 of Total 4 Pages</t>
    <phoneticPr fontId="1" type="noConversion"/>
  </si>
  <si>
    <t>TBA1115</t>
  </si>
  <si>
    <t>KRW</t>
  </si>
  <si>
    <t>PI_SUNO1130</t>
  </si>
  <si>
    <t>5팀</t>
  </si>
  <si>
    <t>원자재</t>
  </si>
  <si>
    <t>부자재</t>
  </si>
  <si>
    <t>임가공</t>
  </si>
  <si>
    <t>핸들링</t>
  </si>
  <si>
    <t>DHGK-2159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</si>
</sst>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9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4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26" fontId="3" fillId="3" borderId="10" xfId="2" applyNumberFormat="1" applyFont="1" applyFill="1" applyBorder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263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41" Type="http://schemas.openxmlformats.org/officeDocument/2006/relationships/hyperlink" Target="#&#44204;&#51201;&#49436;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Tracking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png"/><Relationship Id="rId18" Type="http://schemas.openxmlformats.org/officeDocument/2006/relationships/image" Target="../media/image29.svg"/><Relationship Id="rId26" Type="http://schemas.openxmlformats.org/officeDocument/2006/relationships/image" Target="../media/image20.png"/><Relationship Id="rId39" Type="http://schemas.openxmlformats.org/officeDocument/2006/relationships/image" Target="../media/image35.svg"/><Relationship Id="rId21" Type="http://schemas.openxmlformats.org/officeDocument/2006/relationships/image" Target="../media/image38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image" Target="../media/image28.png"/><Relationship Id="rId25" Type="http://schemas.openxmlformats.org/officeDocument/2006/relationships/image" Target="../media/image19.svg"/><Relationship Id="rId33" Type="http://schemas.openxmlformats.org/officeDocument/2006/relationships/hyperlink" Target="#&#52404;&#53356;&#47532;&#49828;&#53944;!A1"/><Relationship Id="rId38" Type="http://schemas.openxmlformats.org/officeDocument/2006/relationships/image" Target="../media/image34.png"/><Relationship Id="rId2" Type="http://schemas.openxmlformats.org/officeDocument/2006/relationships/image" Target="../media/image4.svg"/><Relationship Id="rId16" Type="http://schemas.openxmlformats.org/officeDocument/2006/relationships/image" Target="../media/image27.svg"/><Relationship Id="rId20" Type="http://schemas.openxmlformats.org/officeDocument/2006/relationships/image" Target="../media/image31.svg"/><Relationship Id="rId29" Type="http://schemas.openxmlformats.org/officeDocument/2006/relationships/image" Target="../media/image23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18.png"/><Relationship Id="rId32" Type="http://schemas.openxmlformats.org/officeDocument/2006/relationships/image" Target="../media/image25.svg"/><Relationship Id="rId37" Type="http://schemas.openxmlformats.org/officeDocument/2006/relationships/hyperlink" Target="#Tracking!A1"/><Relationship Id="rId40" Type="http://schemas.openxmlformats.org/officeDocument/2006/relationships/hyperlink" Target="#&#44204;&#51201;&#49436;!A1"/><Relationship Id="rId5" Type="http://schemas.openxmlformats.org/officeDocument/2006/relationships/image" Target="../media/image7.png"/><Relationship Id="rId15" Type="http://schemas.openxmlformats.org/officeDocument/2006/relationships/image" Target="../media/image26.png"/><Relationship Id="rId23" Type="http://schemas.openxmlformats.org/officeDocument/2006/relationships/hyperlink" Target="#&#51064;&#45940;&#53944;&#44288;&#47532;!A1"/><Relationship Id="rId28" Type="http://schemas.openxmlformats.org/officeDocument/2006/relationships/image" Target="../media/image22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30.png"/><Relationship Id="rId31" Type="http://schemas.openxmlformats.org/officeDocument/2006/relationships/image" Target="../media/image24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7.svg"/><Relationship Id="rId22" Type="http://schemas.openxmlformats.org/officeDocument/2006/relationships/image" Target="../media/image39.svg"/><Relationship Id="rId27" Type="http://schemas.openxmlformats.org/officeDocument/2006/relationships/image" Target="../media/image21.svg"/><Relationship Id="rId30" Type="http://schemas.openxmlformats.org/officeDocument/2006/relationships/hyperlink" Target="#PO&#44288;&#47532;!A1"/><Relationship Id="rId35" Type="http://schemas.openxmlformats.org/officeDocument/2006/relationships/image" Target="../media/image32.png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" Type="http://schemas.openxmlformats.org/officeDocument/2006/relationships/image" Target="../media/image5.png"/><Relationship Id="rId21" Type="http://schemas.openxmlformats.org/officeDocument/2006/relationships/image" Target="../media/image21.svg"/><Relationship Id="rId34" Type="http://schemas.openxmlformats.org/officeDocument/2006/relationships/hyperlink" Target="#&#44204;&#51201;&#49436;!A1"/><Relationship Id="rId7" Type="http://schemas.openxmlformats.org/officeDocument/2006/relationships/image" Target="../media/image11.png"/><Relationship Id="rId12" Type="http://schemas.openxmlformats.org/officeDocument/2006/relationships/image" Target="../media/image29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5.svg"/><Relationship Id="rId2" Type="http://schemas.openxmlformats.org/officeDocument/2006/relationships/image" Target="../media/image4.svg"/><Relationship Id="rId16" Type="http://schemas.openxmlformats.org/officeDocument/2006/relationships/image" Target="../media/image41.svg"/><Relationship Id="rId20" Type="http://schemas.openxmlformats.org/officeDocument/2006/relationships/image" Target="../media/image20.png"/><Relationship Id="rId29" Type="http://schemas.openxmlformats.org/officeDocument/2006/relationships/image" Target="../media/image32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image" Target="../media/image28.png"/><Relationship Id="rId24" Type="http://schemas.openxmlformats.org/officeDocument/2006/relationships/hyperlink" Target="#PO&#44288;&#47532;!A1"/><Relationship Id="rId32" Type="http://schemas.openxmlformats.org/officeDocument/2006/relationships/image" Target="../media/image34.png"/><Relationship Id="rId5" Type="http://schemas.openxmlformats.org/officeDocument/2006/relationships/image" Target="../media/image9.png"/><Relationship Id="rId15" Type="http://schemas.openxmlformats.org/officeDocument/2006/relationships/image" Target="../media/image40.png"/><Relationship Id="rId23" Type="http://schemas.openxmlformats.org/officeDocument/2006/relationships/image" Target="../media/image23.svg"/><Relationship Id="rId28" Type="http://schemas.openxmlformats.org/officeDocument/2006/relationships/hyperlink" Target="#&#48156;&#51452;&#49436;!A1"/><Relationship Id="rId10" Type="http://schemas.openxmlformats.org/officeDocument/2006/relationships/image" Target="../media/image27.svg"/><Relationship Id="rId19" Type="http://schemas.openxmlformats.org/officeDocument/2006/relationships/image" Target="../media/image19.svg"/><Relationship Id="rId31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26.png"/><Relationship Id="rId14" Type="http://schemas.openxmlformats.org/officeDocument/2006/relationships/image" Target="../media/image3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3.svg"/><Relationship Id="rId8" Type="http://schemas.openxmlformats.org/officeDocument/2006/relationships/image" Target="../media/image13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9.svg"/><Relationship Id="rId26" Type="http://schemas.openxmlformats.org/officeDocument/2006/relationships/image" Target="../media/image22.png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33.svg"/><Relationship Id="rId7" Type="http://schemas.openxmlformats.org/officeDocument/2006/relationships/image" Target="../media/image9.png"/><Relationship Id="rId12" Type="http://schemas.openxmlformats.org/officeDocument/2006/relationships/image" Target="../media/image37.svg"/><Relationship Id="rId17" Type="http://schemas.openxmlformats.org/officeDocument/2006/relationships/image" Target="../media/image28.png"/><Relationship Id="rId25" Type="http://schemas.openxmlformats.org/officeDocument/2006/relationships/image" Target="../media/image21.sv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2" Type="http://schemas.openxmlformats.org/officeDocument/2006/relationships/image" Target="../media/image4.svg"/><Relationship Id="rId16" Type="http://schemas.openxmlformats.org/officeDocument/2006/relationships/image" Target="../media/image27.svg"/><Relationship Id="rId20" Type="http://schemas.openxmlformats.org/officeDocument/2006/relationships/image" Target="../media/image31.svg"/><Relationship Id="rId29" Type="http://schemas.openxmlformats.org/officeDocument/2006/relationships/image" Target="../media/image24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0.pn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5" Type="http://schemas.openxmlformats.org/officeDocument/2006/relationships/image" Target="../media/image7.png"/><Relationship Id="rId15" Type="http://schemas.openxmlformats.org/officeDocument/2006/relationships/image" Target="../media/image26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30.png"/><Relationship Id="rId31" Type="http://schemas.openxmlformats.org/officeDocument/2006/relationships/hyperlink" Target="#&#52404;&#53356;&#47532;&#49828;&#53944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17.svg"/><Relationship Id="rId39" Type="http://schemas.openxmlformats.org/officeDocument/2006/relationships/image" Target="../media/image32.png"/><Relationship Id="rId21" Type="http://schemas.openxmlformats.org/officeDocument/2006/relationships/image" Target="../media/image28.png"/><Relationship Id="rId34" Type="http://schemas.openxmlformats.org/officeDocument/2006/relationships/hyperlink" Target="#PO&#44288;&#47532;!A1"/><Relationship Id="rId42" Type="http://schemas.openxmlformats.org/officeDocument/2006/relationships/image" Target="../media/image34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27.svg"/><Relationship Id="rId29" Type="http://schemas.openxmlformats.org/officeDocument/2006/relationships/image" Target="../media/image19.svg"/><Relationship Id="rId41" Type="http://schemas.openxmlformats.org/officeDocument/2006/relationships/hyperlink" Target="#Tracking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31.svg"/><Relationship Id="rId32" Type="http://schemas.openxmlformats.org/officeDocument/2006/relationships/image" Target="../media/image22.png"/><Relationship Id="rId37" Type="http://schemas.openxmlformats.org/officeDocument/2006/relationships/hyperlink" Target="#&#52404;&#53356;&#47532;&#49828;&#53944;!A1"/><Relationship Id="rId40" Type="http://schemas.openxmlformats.org/officeDocument/2006/relationships/image" Target="../media/image33.sv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30.png"/><Relationship Id="rId28" Type="http://schemas.openxmlformats.org/officeDocument/2006/relationships/image" Target="../media/image18.png"/><Relationship Id="rId36" Type="http://schemas.openxmlformats.org/officeDocument/2006/relationships/image" Target="../media/image25.svg"/><Relationship Id="rId10" Type="http://schemas.openxmlformats.org/officeDocument/2006/relationships/image" Target="../media/image15.svg"/><Relationship Id="rId19" Type="http://schemas.openxmlformats.org/officeDocument/2006/relationships/image" Target="../media/image26.png"/><Relationship Id="rId31" Type="http://schemas.openxmlformats.org/officeDocument/2006/relationships/image" Target="../media/image21.svg"/><Relationship Id="rId44" Type="http://schemas.openxmlformats.org/officeDocument/2006/relationships/hyperlink" Target="#&#44204;&#51201;&#49436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9.svg"/><Relationship Id="rId27" Type="http://schemas.openxmlformats.org/officeDocument/2006/relationships/hyperlink" Target="#&#51064;&#45940;&#53944;&#44288;&#47532;!A1"/><Relationship Id="rId30" Type="http://schemas.openxmlformats.org/officeDocument/2006/relationships/image" Target="../media/image20.png"/><Relationship Id="rId35" Type="http://schemas.openxmlformats.org/officeDocument/2006/relationships/image" Target="../media/image24.png"/><Relationship Id="rId43" Type="http://schemas.openxmlformats.org/officeDocument/2006/relationships/image" Target="../media/image35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11.png"/><Relationship Id="rId25" Type="http://schemas.openxmlformats.org/officeDocument/2006/relationships/image" Target="../media/image16.png"/><Relationship Id="rId33" Type="http://schemas.openxmlformats.org/officeDocument/2006/relationships/image" Target="../media/image23.svg"/><Relationship Id="rId38" Type="http://schemas.openxmlformats.org/officeDocument/2006/relationships/hyperlink" Target="#&#48156;&#51452;&#49436;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png"/><Relationship Id="rId18" Type="http://schemas.openxmlformats.org/officeDocument/2006/relationships/image" Target="../media/image27.svg"/><Relationship Id="rId26" Type="http://schemas.openxmlformats.org/officeDocument/2006/relationships/image" Target="../media/image18.png"/><Relationship Id="rId39" Type="http://schemas.openxmlformats.org/officeDocument/2006/relationships/hyperlink" Target="#Tracking!A1"/><Relationship Id="rId21" Type="http://schemas.openxmlformats.org/officeDocument/2006/relationships/image" Target="../media/image30.png"/><Relationship Id="rId34" Type="http://schemas.openxmlformats.org/officeDocument/2006/relationships/image" Target="../media/image25.svg"/><Relationship Id="rId42" Type="http://schemas.openxmlformats.org/officeDocument/2006/relationships/hyperlink" Target="#&#44204;&#51201;&#49436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0" Type="http://schemas.openxmlformats.org/officeDocument/2006/relationships/image" Target="../media/image29.svg"/><Relationship Id="rId29" Type="http://schemas.openxmlformats.org/officeDocument/2006/relationships/image" Target="../media/image21.sv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7.svg"/><Relationship Id="rId32" Type="http://schemas.openxmlformats.org/officeDocument/2006/relationships/hyperlink" Target="#PO&#44288;&#47532;!A1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6.png"/><Relationship Id="rId28" Type="http://schemas.openxmlformats.org/officeDocument/2006/relationships/image" Target="../media/image20.pn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8.png"/><Relationship Id="rId31" Type="http://schemas.openxmlformats.org/officeDocument/2006/relationships/image" Target="../media/image2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5.svg"/><Relationship Id="rId22" Type="http://schemas.openxmlformats.org/officeDocument/2006/relationships/image" Target="../media/image31.svg"/><Relationship Id="rId27" Type="http://schemas.openxmlformats.org/officeDocument/2006/relationships/image" Target="../media/image19.svg"/><Relationship Id="rId30" Type="http://schemas.openxmlformats.org/officeDocument/2006/relationships/image" Target="../media/image22.png"/><Relationship Id="rId35" Type="http://schemas.openxmlformats.org/officeDocument/2006/relationships/hyperlink" Target="#&#52404;&#53356;&#47532;&#49828;&#53944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26.png"/><Relationship Id="rId25" Type="http://schemas.openxmlformats.org/officeDocument/2006/relationships/hyperlink" Target="#&#51064;&#45940;&#53944;&#44288;&#47532;!A1"/><Relationship Id="rId33" Type="http://schemas.openxmlformats.org/officeDocument/2006/relationships/image" Target="../media/image24.png"/><Relationship Id="rId38" Type="http://schemas.openxmlformats.org/officeDocument/2006/relationships/image" Target="../media/image33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png"/><Relationship Id="rId18" Type="http://schemas.openxmlformats.org/officeDocument/2006/relationships/image" Target="../media/image27.svg"/><Relationship Id="rId26" Type="http://schemas.openxmlformats.org/officeDocument/2006/relationships/image" Target="../media/image18.png"/><Relationship Id="rId39" Type="http://schemas.openxmlformats.org/officeDocument/2006/relationships/hyperlink" Target="#Tracking!A1"/><Relationship Id="rId21" Type="http://schemas.openxmlformats.org/officeDocument/2006/relationships/image" Target="../media/image30.png"/><Relationship Id="rId34" Type="http://schemas.openxmlformats.org/officeDocument/2006/relationships/image" Target="../media/image25.svg"/><Relationship Id="rId42" Type="http://schemas.openxmlformats.org/officeDocument/2006/relationships/hyperlink" Target="#&#44204;&#51201;&#49436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0" Type="http://schemas.openxmlformats.org/officeDocument/2006/relationships/image" Target="../media/image29.svg"/><Relationship Id="rId29" Type="http://schemas.openxmlformats.org/officeDocument/2006/relationships/image" Target="../media/image21.sv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7.svg"/><Relationship Id="rId32" Type="http://schemas.openxmlformats.org/officeDocument/2006/relationships/hyperlink" Target="#PO&#44288;&#47532;!A1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6.png"/><Relationship Id="rId28" Type="http://schemas.openxmlformats.org/officeDocument/2006/relationships/image" Target="../media/image20.pn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8.png"/><Relationship Id="rId31" Type="http://schemas.openxmlformats.org/officeDocument/2006/relationships/image" Target="../media/image2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5.svg"/><Relationship Id="rId22" Type="http://schemas.openxmlformats.org/officeDocument/2006/relationships/image" Target="../media/image31.svg"/><Relationship Id="rId27" Type="http://schemas.openxmlformats.org/officeDocument/2006/relationships/image" Target="../media/image19.svg"/><Relationship Id="rId30" Type="http://schemas.openxmlformats.org/officeDocument/2006/relationships/image" Target="../media/image22.png"/><Relationship Id="rId35" Type="http://schemas.openxmlformats.org/officeDocument/2006/relationships/hyperlink" Target="#&#52404;&#53356;&#47532;&#49828;&#53944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26.png"/><Relationship Id="rId25" Type="http://schemas.openxmlformats.org/officeDocument/2006/relationships/hyperlink" Target="#&#51064;&#45940;&#53944;&#44288;&#47532;!A1"/><Relationship Id="rId33" Type="http://schemas.openxmlformats.org/officeDocument/2006/relationships/image" Target="../media/image24.png"/><Relationship Id="rId38" Type="http://schemas.openxmlformats.org/officeDocument/2006/relationships/image" Target="../media/image33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9.png"/><Relationship Id="rId18" Type="http://schemas.openxmlformats.org/officeDocument/2006/relationships/image" Target="../media/image51.svg"/><Relationship Id="rId26" Type="http://schemas.openxmlformats.org/officeDocument/2006/relationships/image" Target="../media/image18.png"/><Relationship Id="rId39" Type="http://schemas.openxmlformats.org/officeDocument/2006/relationships/hyperlink" Target="#Tracking!A1"/><Relationship Id="rId21" Type="http://schemas.openxmlformats.org/officeDocument/2006/relationships/image" Target="../media/image28.png"/><Relationship Id="rId34" Type="http://schemas.openxmlformats.org/officeDocument/2006/relationships/image" Target="../media/image25.svg"/><Relationship Id="rId42" Type="http://schemas.openxmlformats.org/officeDocument/2006/relationships/hyperlink" Target="#&#44204;&#51201;&#49436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27.svg"/><Relationship Id="rId29" Type="http://schemas.openxmlformats.org/officeDocument/2006/relationships/image" Target="../media/image21.svg"/><Relationship Id="rId41" Type="http://schemas.openxmlformats.org/officeDocument/2006/relationships/image" Target="../media/image35.svg"/><Relationship Id="rId1" Type="http://schemas.openxmlformats.org/officeDocument/2006/relationships/image" Target="../media/image46.png"/><Relationship Id="rId6" Type="http://schemas.openxmlformats.org/officeDocument/2006/relationships/image" Target="../media/image8.svg"/><Relationship Id="rId11" Type="http://schemas.openxmlformats.org/officeDocument/2006/relationships/image" Target="../media/image48.png"/><Relationship Id="rId24" Type="http://schemas.openxmlformats.org/officeDocument/2006/relationships/image" Target="../media/image31.svg"/><Relationship Id="rId32" Type="http://schemas.openxmlformats.org/officeDocument/2006/relationships/hyperlink" Target="#PO&#44288;&#47532;!A1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30.png"/><Relationship Id="rId28" Type="http://schemas.openxmlformats.org/officeDocument/2006/relationships/image" Target="../media/image20.pn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6.png"/><Relationship Id="rId31" Type="http://schemas.openxmlformats.org/officeDocument/2006/relationships/image" Target="../media/image2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9.svg"/><Relationship Id="rId27" Type="http://schemas.openxmlformats.org/officeDocument/2006/relationships/image" Target="../media/image19.svg"/><Relationship Id="rId30" Type="http://schemas.openxmlformats.org/officeDocument/2006/relationships/image" Target="../media/image22.png"/><Relationship Id="rId35" Type="http://schemas.openxmlformats.org/officeDocument/2006/relationships/hyperlink" Target="#&#52404;&#53356;&#47532;&#49828;&#53944;!A1"/><Relationship Id="rId8" Type="http://schemas.openxmlformats.org/officeDocument/2006/relationships/image" Target="../media/image10.svg"/><Relationship Id="rId3" Type="http://schemas.openxmlformats.org/officeDocument/2006/relationships/image" Target="../media/image47.png"/><Relationship Id="rId12" Type="http://schemas.openxmlformats.org/officeDocument/2006/relationships/image" Target="../media/image13.svg"/><Relationship Id="rId17" Type="http://schemas.openxmlformats.org/officeDocument/2006/relationships/image" Target="../media/image50.png"/><Relationship Id="rId25" Type="http://schemas.openxmlformats.org/officeDocument/2006/relationships/hyperlink" Target="#&#51064;&#45940;&#53944;&#44288;&#47532;!A1"/><Relationship Id="rId33" Type="http://schemas.openxmlformats.org/officeDocument/2006/relationships/image" Target="../media/image24.png"/><Relationship Id="rId38" Type="http://schemas.openxmlformats.org/officeDocument/2006/relationships/image" Target="../media/image3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25" name="그래픽 24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1B32F751-F9E0-47AC-8559-26AA2058E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CE96A34-DABB-4EBC-90C3-B915C478F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2D86602A-B8EB-4C6F-BAC6-A469FA08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FD649CC0-72D7-47E1-83AD-7EA1F492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0" name="그래픽 29" descr="광고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9D85E65-CBA7-4B06-8802-1065D3336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1" name="그래픽 30" descr="가로 막대형 차트 윤곽선">
          <a:extLst>
            <a:ext uri="{FF2B5EF4-FFF2-40B4-BE49-F238E27FC236}">
              <a16:creationId xmlns:a16="http://schemas.microsoft.com/office/drawing/2014/main" id="{6C1DBB8A-0450-417E-B681-B1E304146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2" name="그래픽 31" descr="청사진 윤곽선">
          <a:extLst>
            <a:ext uri="{FF2B5EF4-FFF2-40B4-BE49-F238E27FC236}">
              <a16:creationId xmlns:a16="http://schemas.microsoft.com/office/drawing/2014/main" id="{2ABC2FA2-3BFA-4935-AB78-D61AAA228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51EE2959-0BA1-4136-ACD7-40C9CBD5D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1C3132BC-825F-40FF-86B2-671E4BA0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67EE44F1-D880-4DC9-AA07-DDC89FB61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9" name="그래픽 48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27FC3E80-32C4-4557-B452-F567FBB0D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50" name="그래픽 49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D295A095-5B78-4EE6-85EB-BCAC05705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1" name="그래픽 50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84FAC7D-46F1-4340-8CAB-13404021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52" name="그래픽 51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F4B25F5B-07EC-4BC4-ADD0-767DCF93A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8" name="그래픽 27" descr="주소록 윤곽선">
          <a:extLst>
            <a:ext uri="{FF2B5EF4-FFF2-40B4-BE49-F238E27FC236}">
              <a16:creationId xmlns:a16="http://schemas.microsoft.com/office/drawing/2014/main" id="{CFE8E3AE-9406-46AF-88FB-870625FCD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D178BACC-804D-45BC-A98C-234D29E3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0" name="그래픽 29" descr="클립보드 선택 표시됨 단색으로 채워진">
          <a:extLst>
            <a:ext uri="{FF2B5EF4-FFF2-40B4-BE49-F238E27FC236}">
              <a16:creationId xmlns:a16="http://schemas.microsoft.com/office/drawing/2014/main" id="{F73CA994-A525-4290-97D3-E0BAB3EC0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7" name="그래픽 3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46595A-D85F-41FD-82E7-A1EC7E92E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8" name="그래픽 37" descr="가로 막대형 차트 윤곽선">
          <a:extLst>
            <a:ext uri="{FF2B5EF4-FFF2-40B4-BE49-F238E27FC236}">
              <a16:creationId xmlns:a16="http://schemas.microsoft.com/office/drawing/2014/main" id="{5B9F2110-3020-4A24-8A91-39859635E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9" name="그래픽 38" descr="청사진 윤곽선">
          <a:extLst>
            <a:ext uri="{FF2B5EF4-FFF2-40B4-BE49-F238E27FC236}">
              <a16:creationId xmlns:a16="http://schemas.microsoft.com/office/drawing/2014/main" id="{7CC2D465-A2A6-441C-A607-CAF2C3B24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DCF8A76A-FCA8-4A5A-A978-978AE3F00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0CCA9F6-77F6-4538-ABA8-AD0249250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9134460-6484-4A94-9172-6B80C252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3" name="그래픽 42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1237DC1-4BDE-4A53-9E7F-5279A28E0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44" name="그래픽 43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2610E594-6ED9-4F2C-9DB2-35CA9C331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66CFF5C-7CB2-40BC-A0DA-5D92C504B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46" name="그래픽 4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1796B6C1-5157-495A-B5AE-23D79936C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7B980FA2-8661-46DE-B46B-1C03E271A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5C950FF3-506E-4420-B7F1-FA53C2384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DC1F8288-35EE-4648-AF9D-68DE963D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0" name="그래픽 39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BA3C1FA-B9DD-43FC-9892-A8BDE7049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41" name="그래픽 40" descr="가로 막대형 차트 윤곽선">
          <a:extLst>
            <a:ext uri="{FF2B5EF4-FFF2-40B4-BE49-F238E27FC236}">
              <a16:creationId xmlns:a16="http://schemas.microsoft.com/office/drawing/2014/main" id="{045D3756-75C4-4F01-9967-012511C19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42" name="그래픽 41" descr="청사진 윤곽선">
          <a:extLst>
            <a:ext uri="{FF2B5EF4-FFF2-40B4-BE49-F238E27FC236}">
              <a16:creationId xmlns:a16="http://schemas.microsoft.com/office/drawing/2014/main" id="{95D980CB-2F35-4495-9C2C-01AB43B55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43" name="그래픽 4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AE733AF1-04B6-47A5-A4E6-DBFF59B0C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4" name="그래픽 4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5EAFF3A4-45E3-4C3B-90C8-059C3E497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9EF79A12-2929-4A46-B273-F1281334F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CE46443-BF04-4840-87E7-70BF1A04F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47" name="그래픽 46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64E3DFFF-AED8-4FB7-B6F1-088375616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5DAD3CD0-2B88-4324-91CE-08580D6EF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49" name="그래픽 48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B8166617-E9FD-40BB-9A68-A74430468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8" name="그래픽 37" descr="주소록 윤곽선">
          <a:extLst>
            <a:ext uri="{FF2B5EF4-FFF2-40B4-BE49-F238E27FC236}">
              <a16:creationId xmlns:a16="http://schemas.microsoft.com/office/drawing/2014/main" id="{CB829CD4-C16C-4184-BEE3-99C435C4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E11DB8EF-F30C-442B-B3F6-4C319C3F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5859E4D1-CACE-445F-8FCD-1606E8EA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8" name="그래픽 47" descr="광고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BBB71647-EFAE-44AD-B289-59FF4A806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49" name="그래픽 48" descr="가로 막대형 차트 윤곽선">
          <a:extLst>
            <a:ext uri="{FF2B5EF4-FFF2-40B4-BE49-F238E27FC236}">
              <a16:creationId xmlns:a16="http://schemas.microsoft.com/office/drawing/2014/main" id="{4F79AEC5-9EF5-4FB7-97BE-82B388610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50" name="그래픽 49" descr="청사진 윤곽선">
          <a:extLst>
            <a:ext uri="{FF2B5EF4-FFF2-40B4-BE49-F238E27FC236}">
              <a16:creationId xmlns:a16="http://schemas.microsoft.com/office/drawing/2014/main" id="{30DD0E07-9C29-4081-B1CF-D94F7E7AD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82A6915A-0353-4FC1-8345-379A2E4A3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52" name="그래픽 51" descr="청사진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9B1F953-4A97-49C8-95B2-3F3BA393E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53" name="그래픽 52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4AEB1CD-5E28-4EBE-A90A-9A9529891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98652236-BC2A-4D24-A6D8-1F3FD9246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55" name="그래픽 54" descr="기준 위치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26F18734-1487-46CB-8AAE-DE699CFFA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6" name="그래픽 55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85D121E8-27EC-4BA6-88A5-E00E127C1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57" name="그래픽 56" descr="체크리스트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6405306-69CA-4DBE-B0FA-A2A5D740A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9" name="그래픽 18" descr="주소록 윤곽선">
          <a:extLst>
            <a:ext uri="{FF2B5EF4-FFF2-40B4-BE49-F238E27FC236}">
              <a16:creationId xmlns:a16="http://schemas.microsoft.com/office/drawing/2014/main" id="{F24061D0-AC62-4DF5-BAA5-BDDF280D1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0" name="그래픽 19" descr="은행 수표  윤곽선">
          <a:extLst>
            <a:ext uri="{FF2B5EF4-FFF2-40B4-BE49-F238E27FC236}">
              <a16:creationId xmlns:a16="http://schemas.microsoft.com/office/drawing/2014/main" id="{B7A04EF0-207C-472C-9FFD-999FFED4B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1" name="그래픽 20" descr="클립보드 선택 표시됨 단색으로 채워진">
          <a:extLst>
            <a:ext uri="{FF2B5EF4-FFF2-40B4-BE49-F238E27FC236}">
              <a16:creationId xmlns:a16="http://schemas.microsoft.com/office/drawing/2014/main" id="{0E5461C3-6204-430F-9E47-75977DEFD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9FD3453-F011-497D-B73E-67C52F728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019E1E3E-0017-4936-BF19-E61E47ED3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7BC52388-EC50-404D-8BAC-6F7AF4A18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5C9172C-750C-41C9-B117-B028C24BC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DD42251-F92A-41FE-A305-3E207E97A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BDF64E0-1C62-4597-A108-F2907231C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2D861146-8D26-46B2-93B5-841C7EC2B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36" name="그래픽 35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782AE14F-38F6-4AB0-A670-9468E00B3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7" name="그래픽 3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2E35179-CB57-4FB9-960B-982D7140C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98416B6-3968-403A-AA40-704428217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0" name="그래픽 19" descr="주소록 윤곽선">
          <a:extLst>
            <a:ext uri="{FF2B5EF4-FFF2-40B4-BE49-F238E27FC236}">
              <a16:creationId xmlns:a16="http://schemas.microsoft.com/office/drawing/2014/main" id="{380BF63D-AFA8-4AFE-9258-E470E211C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1" name="그래픽 20" descr="은행 수표  윤곽선">
          <a:extLst>
            <a:ext uri="{FF2B5EF4-FFF2-40B4-BE49-F238E27FC236}">
              <a16:creationId xmlns:a16="http://schemas.microsoft.com/office/drawing/2014/main" id="{5D0A0514-E965-4B1D-B798-D7CB8C451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2" name="그래픽 21" descr="클립보드 선택 표시됨 단색으로 채워진">
          <a:extLst>
            <a:ext uri="{FF2B5EF4-FFF2-40B4-BE49-F238E27FC236}">
              <a16:creationId xmlns:a16="http://schemas.microsoft.com/office/drawing/2014/main" id="{DE45C7F3-120D-4F05-8352-FB4853DA0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0" name="그래픽 29" descr="광고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335747E-95DD-4FFC-A316-0ACF3647A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1" name="그래픽 30" descr="가로 막대형 차트 윤곽선">
          <a:extLst>
            <a:ext uri="{FF2B5EF4-FFF2-40B4-BE49-F238E27FC236}">
              <a16:creationId xmlns:a16="http://schemas.microsoft.com/office/drawing/2014/main" id="{8F2D15EB-6357-41D7-B2BA-3B5B778B6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2" name="그래픽 31" descr="청사진 윤곽선">
          <a:extLst>
            <a:ext uri="{FF2B5EF4-FFF2-40B4-BE49-F238E27FC236}">
              <a16:creationId xmlns:a16="http://schemas.microsoft.com/office/drawing/2014/main" id="{45670A11-7DC9-42DE-B3D1-344254F4C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254E72F-E55F-44BD-825F-AAB35EF68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4" name="그래픽 33" descr="청사진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2E95F7E4-C0A4-4A9A-899E-9D7638661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34BCFC3-1ED3-4BCB-B582-4F2798565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3E0CB585-186B-4694-9286-42B10D3BC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37" name="그래픽 36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FD2D937E-EC69-4501-BEF1-15082F9BE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8" name="그래픽 37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3942AE62-A112-41D0-A598-36EFEA8DD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201DA99E-2D4A-4269-856A-86A9D3980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0BB3AE76-4195-47B6-99D7-A51F0628E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6861831F-E03F-4A73-867F-A056C63F7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D7D6C093-4217-487B-A558-56492667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20</xdr:col>
      <xdr:colOff>619124</xdr:colOff>
      <xdr:row>0</xdr:row>
      <xdr:rowOff>3146</xdr:rowOff>
    </xdr:from>
    <xdr:to>
      <xdr:col>21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377725</xdr:colOff>
      <xdr:row>0</xdr:row>
      <xdr:rowOff>0</xdr:rowOff>
    </xdr:from>
    <xdr:to>
      <xdr:col>20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1" name="그래픽 40" descr="광고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EBFD58B-6B47-423F-A0CB-BA4AB4604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42" name="그래픽 41" descr="가로 막대형 차트 윤곽선">
          <a:extLst>
            <a:ext uri="{FF2B5EF4-FFF2-40B4-BE49-F238E27FC236}">
              <a16:creationId xmlns:a16="http://schemas.microsoft.com/office/drawing/2014/main" id="{1B3AA8FC-20EF-4F32-8D06-1D9287766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45" name="그래픽 44" descr="청사진 윤곽선">
          <a:extLst>
            <a:ext uri="{FF2B5EF4-FFF2-40B4-BE49-F238E27FC236}">
              <a16:creationId xmlns:a16="http://schemas.microsoft.com/office/drawing/2014/main" id="{3628F064-ED66-4A85-8C25-3CC0998CA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21619BC7-02D0-4D3D-B718-758210D04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7" name="그래픽 46" descr="청사진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D990ACA8-E04C-4B63-96AE-64E6AD32B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7F73E41-AB99-421F-8E6B-6A9763B39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9" name="그래픽 48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4A0DD33-FB34-4292-BACA-D576A9E91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50" name="그래픽 49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02F3685-1CF8-421E-84C2-B4076CF40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1" name="그래픽 50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7DA13B0D-D28E-48CD-B70F-C178F97AE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52" name="그래픽 51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CC854FC-B757-4F61-9308-CECED4BD5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8" sqref="Q8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56"/>
      <c r="B2" s="156"/>
      <c r="C2" s="156"/>
      <c r="D2" s="4"/>
      <c r="E2" s="4"/>
      <c r="F2" s="4"/>
      <c r="G2" s="8"/>
      <c r="H2" s="19" t="s">
        <v>12</v>
      </c>
      <c r="I2" s="20" t="s">
        <v>1131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57" t="s">
        <v>1473</v>
      </c>
      <c r="C3" s="157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12"/>
      <c r="B4" s="157" t="s">
        <v>1474</v>
      </c>
      <c r="C4" s="157"/>
      <c r="D4" s="4"/>
      <c r="E4" s="10" t="s">
        <v>4501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57" t="s">
        <v>1520</v>
      </c>
      <c r="C5" s="157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62" t="s">
        <v>1475</v>
      </c>
      <c r="C6" s="162"/>
      <c r="D6" s="4"/>
      <c r="E6" s="10" t="s">
        <v>4496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62" t="s">
        <v>1476</v>
      </c>
      <c r="C7" s="162"/>
      <c r="D7" s="4"/>
      <c r="E7" s="4" t="s">
        <v>4319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57" t="s">
        <v>1477</v>
      </c>
      <c r="C8" s="157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57" t="s">
        <v>1478</v>
      </c>
      <c r="C9" s="157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51"/>
      <c r="B10" s="157" t="s">
        <v>4483</v>
      </c>
      <c r="C10" s="157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16"/>
      <c r="B11" s="157" t="s">
        <v>4355</v>
      </c>
      <c r="C11" s="157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2"/>
      <c r="B12" s="157" t="s">
        <v>1479</v>
      </c>
      <c r="C12" s="157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51"/>
      <c r="B13" s="156"/>
      <c r="C13" s="156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56"/>
      <c r="C14" s="156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56" t="s">
        <v>5</v>
      </c>
      <c r="C15" s="15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56" t="s">
        <v>6</v>
      </c>
      <c r="C16" s="15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58" t="s">
        <v>1098</v>
      </c>
      <c r="C18" s="158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1499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A1:C1"/>
    <mergeCell ref="A2:C2"/>
    <mergeCell ref="B3:C3"/>
    <mergeCell ref="B4:C4"/>
    <mergeCell ref="B7:C7"/>
    <mergeCell ref="B6:C6"/>
    <mergeCell ref="B14:C14"/>
    <mergeCell ref="B5:C5"/>
    <mergeCell ref="B15:C15"/>
    <mergeCell ref="B16:C16"/>
    <mergeCell ref="B18:C18"/>
    <mergeCell ref="B8:C8"/>
    <mergeCell ref="B9:C9"/>
    <mergeCell ref="B12:C12"/>
    <mergeCell ref="B11:C11"/>
    <mergeCell ref="B13:C13"/>
    <mergeCell ref="B10:C10"/>
  </mergeCells>
  <phoneticPr fontId="1" type="noConversion"/>
  <conditionalFormatting sqref="I3:I27">
    <cfRule type="cellIs" dxfId="262" priority="5" operator="equal">
      <formula>"CLOSE"</formula>
    </cfRule>
    <cfRule type="cellIs" dxfId="261" priority="6" operator="equal">
      <formula>"수정"</formula>
    </cfRule>
    <cfRule type="cellIs" dxfId="260" priority="7" operator="equal">
      <formula>"UPDATED"</formula>
    </cfRule>
  </conditionalFormatting>
  <conditionalFormatting sqref="E4">
    <cfRule type="containsBlanks" dxfId="259" priority="4">
      <formula>LEN(TRIM(E4))=0</formula>
    </cfRule>
    <cfRule type="notContainsBlanks" dxfId="258" priority="8">
      <formula>LEN(TRIM(E4))&gt;0</formula>
    </cfRule>
  </conditionalFormatting>
  <conditionalFormatting sqref="E8 E6">
    <cfRule type="containsBlanks" dxfId="257" priority="2">
      <formula>LEN(TRIM(E6))=0</formula>
    </cfRule>
  </conditionalFormatting>
  <conditionalFormatting sqref="E6 E8">
    <cfRule type="notContainsBlanks" dxfId="256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4:C4" location="PO관리!A1" display="2. PO 관리" xr:uid="{0B3F4AAF-B785-45B4-B284-6898710473E6}"/>
    <hyperlink ref="B6:C6" location="지출계획!A1" display="3. 지출계획" xr:uid="{7279BD09-1752-4168-8E9E-5BE05CAE030B}"/>
    <hyperlink ref="B7:C7" location="매출채권!A1" display="4. 매출채권" xr:uid="{3E2DEA01-06F5-47EA-8E85-BE96DFC2DD36}"/>
    <hyperlink ref="B8:C8" location="체크리스트!A1" display="5. 체크리스트" xr:uid="{08070A6F-63B3-4692-97B3-B81D1D884737}"/>
    <hyperlink ref="B18:C18" r:id="rId1" display="대시보드" xr:uid="{26BD9E25-8378-4FE8-ADF4-54EC498EBD74}"/>
    <hyperlink ref="B9:C9" location="발주서!A1" display="6. 발주서" xr:uid="{5ECECA7A-E5F6-4B1C-ADB1-0751F03D1B19}"/>
    <hyperlink ref="B12:C12" location="Tracking!A1" display="Tracking" xr:uid="{DD37050D-30A0-4AE8-A13E-7ACAD180D518}"/>
    <hyperlink ref="B5:C5" location="PO관리툴!A1" display="PO 관리" xr:uid="{0F068DE7-83B6-4272-B156-3F702EA1BD41}"/>
    <hyperlink ref="B11:C11" location="선적수량!A1" display="선적수량" xr:uid="{ECFEB2F1-F122-4D0C-887F-459029083DF3}"/>
    <hyperlink ref="B10:C10" location="견적서!A1" display="견적서" xr:uid="{F369106F-C690-4E38-B97B-36692F6678D5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1491</v>
      </c>
    </row>
    <row r="2" spans="1:21" x14ac:dyDescent="0.25">
      <c r="B2" s="19" t="s">
        <v>12</v>
      </c>
      <c r="C2" s="20" t="s">
        <v>1463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1145</v>
      </c>
      <c r="B3" s="25">
        <v>1145</v>
      </c>
      <c r="C3" s="25" t="s">
        <v>1099</v>
      </c>
      <c r="H3" s="25">
        <v>1145</v>
      </c>
      <c r="I3" s="25" t="s">
        <v>229</v>
      </c>
      <c r="J3" s="25" t="s">
        <v>1099</v>
      </c>
      <c r="K3" s="25" t="s">
        <v>4335</v>
      </c>
      <c r="L3" s="25" t="s">
        <v>4487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4336</v>
      </c>
    </row>
    <row r="4" spans="1:21" x14ac:dyDescent="0.25">
      <c r="A4" s="25" t="s">
        <v>1099</v>
      </c>
      <c r="B4" s="25">
        <v>1146</v>
      </c>
      <c r="C4" s="25" t="s">
        <v>1100</v>
      </c>
    </row>
    <row r="5" spans="1:21" x14ac:dyDescent="0.25">
      <c r="A5" s="25" t="s">
        <v>4335</v>
      </c>
      <c r="B5" s="25">
        <v>1147</v>
      </c>
      <c r="C5" s="25" t="s">
        <v>1101</v>
      </c>
    </row>
    <row r="6" spans="1:21" x14ac:dyDescent="0.25">
      <c r="A6" s="25" t="s">
        <v>4487</v>
      </c>
      <c r="B6" s="25">
        <v>1148</v>
      </c>
      <c r="C6" s="25" t="s">
        <v>1102</v>
      </c>
    </row>
    <row r="7" spans="1:21" x14ac:dyDescent="0.25">
      <c r="A7" s="25" t="s">
        <v>223</v>
      </c>
      <c r="B7" s="25">
        <v>1149</v>
      </c>
      <c r="C7" s="25" t="s">
        <v>1103</v>
      </c>
    </row>
    <row r="8" spans="1:21" x14ac:dyDescent="0.25">
      <c r="A8" s="25">
        <v>2022</v>
      </c>
      <c r="B8" s="25">
        <v>1150</v>
      </c>
      <c r="C8" s="25" t="s">
        <v>1104</v>
      </c>
    </row>
    <row r="9" spans="1:21" x14ac:dyDescent="0.25">
      <c r="A9" s="25" t="s">
        <v>224</v>
      </c>
      <c r="B9" s="25">
        <v>1151</v>
      </c>
      <c r="C9" s="25" t="s">
        <v>1105</v>
      </c>
    </row>
    <row r="10" spans="1:21" x14ac:dyDescent="0.25">
      <c r="A10" s="25" t="s">
        <v>225</v>
      </c>
      <c r="B10" s="25">
        <v>1152</v>
      </c>
      <c r="C10" s="25" t="s">
        <v>1106</v>
      </c>
    </row>
    <row r="11" spans="1:21" x14ac:dyDescent="0.25">
      <c r="A11" s="25" t="s">
        <v>226</v>
      </c>
      <c r="B11" s="25">
        <v>1153</v>
      </c>
      <c r="C11" s="25" t="s">
        <v>1107</v>
      </c>
    </row>
    <row r="12" spans="1:21" x14ac:dyDescent="0.25">
      <c r="A12" s="25" t="s">
        <v>227</v>
      </c>
      <c r="B12" s="25">
        <v>1154</v>
      </c>
      <c r="C12" s="25" t="s">
        <v>1108</v>
      </c>
    </row>
    <row r="13" spans="1:21" x14ac:dyDescent="0.25">
      <c r="B13" s="25">
        <v>1155</v>
      </c>
      <c r="C13" s="25" t="s">
        <v>1109</v>
      </c>
    </row>
    <row r="14" spans="1:21" x14ac:dyDescent="0.25">
      <c r="A14" s="25" t="s">
        <v>4336</v>
      </c>
      <c r="B14" s="25">
        <v>1156</v>
      </c>
      <c r="C14" s="25" t="s">
        <v>1110</v>
      </c>
    </row>
    <row r="15" spans="1:21" x14ac:dyDescent="0.25">
      <c r="B15" s="25">
        <v>1157</v>
      </c>
      <c r="C15" s="25" t="s">
        <v>1111</v>
      </c>
    </row>
    <row r="16" spans="1:21" x14ac:dyDescent="0.25">
      <c r="B16" s="25">
        <v>1158</v>
      </c>
      <c r="C16" s="25" t="s">
        <v>1112</v>
      </c>
    </row>
    <row r="17" spans="2:3" x14ac:dyDescent="0.25">
      <c r="B17" s="25">
        <v>1159</v>
      </c>
      <c r="C17" s="25" t="s">
        <v>1113</v>
      </c>
    </row>
    <row r="18" spans="2:3" x14ac:dyDescent="0.25">
      <c r="B18" s="25">
        <v>1160</v>
      </c>
      <c r="C18" s="25" t="s">
        <v>1114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5" sqref="B5:C5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3" customWidth="1"/>
    <col min="21" max="21" width="11.69921875" style="144" bestFit="1" customWidth="1"/>
    <col min="22" max="22" width="10.69921875" style="145" customWidth="1"/>
    <col min="23" max="23" width="10.69921875" style="146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9"/>
      <c r="U1" s="29"/>
      <c r="V1" s="30"/>
      <c r="W1" s="141"/>
      <c r="X1" s="28"/>
    </row>
    <row r="2" spans="1:24" ht="20" customHeight="1" x14ac:dyDescent="0.25">
      <c r="A2" s="156"/>
      <c r="B2" s="156"/>
      <c r="C2" s="156"/>
      <c r="D2" s="4"/>
      <c r="E2" s="4"/>
      <c r="F2" s="4"/>
      <c r="G2" s="8"/>
      <c r="H2" s="19" t="s">
        <v>12</v>
      </c>
      <c r="I2" s="20" t="s">
        <v>1131</v>
      </c>
      <c r="J2" s="15" t="s">
        <v>258</v>
      </c>
      <c r="K2" s="15" t="s">
        <v>259</v>
      </c>
      <c r="L2" s="15" t="s">
        <v>1135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40" t="s">
        <v>262</v>
      </c>
      <c r="U2" s="27" t="s">
        <v>263</v>
      </c>
      <c r="V2" s="26" t="s">
        <v>264</v>
      </c>
      <c r="W2" s="142" t="s">
        <v>265</v>
      </c>
      <c r="X2" s="20" t="s">
        <v>24</v>
      </c>
    </row>
    <row r="3" spans="1:24" ht="20" customHeight="1" x14ac:dyDescent="0.25">
      <c r="A3" s="151"/>
      <c r="B3" s="157" t="s">
        <v>1473</v>
      </c>
      <c r="C3" s="157"/>
      <c r="D3" s="4"/>
      <c r="E3" s="4"/>
      <c r="F3" s="4"/>
      <c r="G3" s="8"/>
      <c r="H3" s="147"/>
      <c r="I3" s="16"/>
      <c r="J3" s="16"/>
      <c r="K3" s="16"/>
      <c r="L3" s="16"/>
      <c r="M3" s="147"/>
      <c r="N3" s="16"/>
      <c r="O3" s="147"/>
      <c r="P3" s="16"/>
      <c r="Q3" s="147"/>
      <c r="R3" s="16"/>
      <c r="S3" s="147"/>
      <c r="T3" s="79"/>
      <c r="U3" s="36"/>
      <c r="V3" s="148"/>
      <c r="W3" s="84"/>
      <c r="X3" s="16"/>
    </row>
    <row r="4" spans="1:24" ht="20" customHeight="1" x14ac:dyDescent="0.25">
      <c r="A4" s="151"/>
      <c r="B4" s="157" t="s">
        <v>1474</v>
      </c>
      <c r="C4" s="157"/>
      <c r="D4" s="4"/>
      <c r="E4" s="4"/>
      <c r="F4" s="4"/>
      <c r="G4" s="8"/>
      <c r="H4" s="147"/>
      <c r="I4" s="16"/>
      <c r="J4" s="16"/>
      <c r="K4" s="16"/>
      <c r="L4" s="16"/>
      <c r="M4" s="147"/>
      <c r="N4" s="16"/>
      <c r="O4" s="147"/>
      <c r="P4" s="16"/>
      <c r="Q4" s="147"/>
      <c r="R4" s="16"/>
      <c r="S4" s="147"/>
      <c r="T4" s="79"/>
      <c r="U4" s="36"/>
      <c r="V4" s="148"/>
      <c r="W4" s="84"/>
      <c r="X4" s="16"/>
    </row>
    <row r="5" spans="1:24" ht="20" customHeight="1" thickBot="1" x14ac:dyDescent="0.3">
      <c r="A5" s="151"/>
      <c r="B5" s="157" t="s">
        <v>1520</v>
      </c>
      <c r="C5" s="157"/>
      <c r="D5" s="4"/>
      <c r="E5" s="23" t="s">
        <v>207</v>
      </c>
      <c r="F5" s="4"/>
      <c r="G5" s="8"/>
      <c r="H5" s="147"/>
      <c r="I5" s="16"/>
      <c r="J5" s="16"/>
      <c r="K5" s="16"/>
      <c r="L5" s="16"/>
      <c r="M5" s="147"/>
      <c r="N5" s="16"/>
      <c r="O5" s="147"/>
      <c r="P5" s="16"/>
      <c r="Q5" s="147"/>
      <c r="R5" s="16"/>
      <c r="S5" s="147"/>
      <c r="T5" s="79"/>
      <c r="U5" s="36"/>
      <c r="V5" s="148"/>
      <c r="W5" s="84"/>
      <c r="X5" s="16"/>
    </row>
    <row r="6" spans="1:24" ht="20" customHeight="1" thickBot="1" x14ac:dyDescent="0.3">
      <c r="A6" s="151"/>
      <c r="B6" s="162" t="s">
        <v>1475</v>
      </c>
      <c r="C6" s="162"/>
      <c r="D6" s="4"/>
      <c r="E6" s="10" t="s">
        <v>4337</v>
      </c>
      <c r="F6" s="4"/>
      <c r="G6" s="8"/>
      <c r="H6" s="147"/>
      <c r="I6" s="16"/>
      <c r="J6" s="16"/>
      <c r="K6" s="16"/>
      <c r="L6" s="16"/>
      <c r="M6" s="147"/>
      <c r="N6" s="16"/>
      <c r="O6" s="147"/>
      <c r="P6" s="16"/>
      <c r="Q6" s="147"/>
      <c r="R6" s="16"/>
      <c r="S6" s="147"/>
      <c r="T6" s="79"/>
      <c r="U6" s="36"/>
      <c r="V6" s="148"/>
      <c r="W6" s="84"/>
      <c r="X6" s="16"/>
    </row>
    <row r="7" spans="1:24" ht="20" customHeight="1" thickBot="1" x14ac:dyDescent="0.3">
      <c r="A7" s="151"/>
      <c r="B7" s="162" t="s">
        <v>1476</v>
      </c>
      <c r="C7" s="162"/>
      <c r="D7" s="4"/>
      <c r="E7" s="4" t="s">
        <v>206</v>
      </c>
      <c r="F7" s="4"/>
      <c r="G7" s="8"/>
      <c r="H7" s="147"/>
      <c r="I7" s="16"/>
      <c r="J7" s="16"/>
      <c r="K7" s="16"/>
      <c r="L7" s="16"/>
      <c r="M7" s="147"/>
      <c r="N7" s="16"/>
      <c r="O7" s="147"/>
      <c r="P7" s="16"/>
      <c r="Q7" s="147"/>
      <c r="R7" s="16"/>
      <c r="S7" s="147"/>
      <c r="T7" s="79"/>
      <c r="U7" s="36"/>
      <c r="V7" s="148"/>
      <c r="W7" s="84"/>
      <c r="X7" s="16"/>
    </row>
    <row r="8" spans="1:24" ht="20" customHeight="1" thickBot="1" x14ac:dyDescent="0.3">
      <c r="A8" s="151"/>
      <c r="B8" s="157" t="s">
        <v>1477</v>
      </c>
      <c r="C8" s="157"/>
      <c r="D8" s="4"/>
      <c r="E8" s="10"/>
      <c r="F8" s="4"/>
      <c r="G8" s="8"/>
      <c r="H8" s="147"/>
      <c r="I8" s="16"/>
      <c r="J8" s="16"/>
      <c r="K8" s="16"/>
      <c r="L8" s="16"/>
      <c r="M8" s="147"/>
      <c r="N8" s="16"/>
      <c r="O8" s="147"/>
      <c r="P8" s="16"/>
      <c r="Q8" s="147"/>
      <c r="R8" s="16"/>
      <c r="S8" s="147"/>
      <c r="T8" s="79"/>
      <c r="U8" s="36"/>
      <c r="V8" s="148"/>
      <c r="W8" s="84"/>
      <c r="X8" s="16"/>
    </row>
    <row r="9" spans="1:24" ht="20" customHeight="1" x14ac:dyDescent="0.25">
      <c r="A9" s="151"/>
      <c r="B9" s="157" t="s">
        <v>1478</v>
      </c>
      <c r="C9" s="157"/>
      <c r="D9" s="4"/>
      <c r="E9" s="4"/>
      <c r="F9" s="4"/>
      <c r="G9" s="8"/>
      <c r="H9" s="147"/>
      <c r="I9" s="16"/>
      <c r="J9" s="16"/>
      <c r="K9" s="16"/>
      <c r="L9" s="16"/>
      <c r="M9" s="147"/>
      <c r="N9" s="16"/>
      <c r="O9" s="147"/>
      <c r="P9" s="16"/>
      <c r="Q9" s="147"/>
      <c r="R9" s="16"/>
      <c r="S9" s="147"/>
      <c r="T9" s="79"/>
      <c r="U9" s="36"/>
      <c r="V9" s="148"/>
      <c r="W9" s="84"/>
      <c r="X9" s="16"/>
    </row>
    <row r="10" spans="1:24" ht="20" customHeight="1" x14ac:dyDescent="0.25">
      <c r="A10" s="151"/>
      <c r="B10" s="157" t="s">
        <v>4483</v>
      </c>
      <c r="C10" s="157"/>
      <c r="D10" s="24"/>
      <c r="E10" s="33" t="s">
        <v>208</v>
      </c>
      <c r="F10" s="4"/>
      <c r="G10" s="8"/>
      <c r="H10" s="147"/>
      <c r="I10" s="16"/>
      <c r="J10" s="16"/>
      <c r="K10" s="16"/>
      <c r="L10" s="16"/>
      <c r="M10" s="147"/>
      <c r="N10" s="16"/>
      <c r="O10" s="147"/>
      <c r="P10" s="16"/>
      <c r="Q10" s="147"/>
      <c r="R10" s="16"/>
      <c r="S10" s="147"/>
      <c r="T10" s="79"/>
      <c r="U10" s="36"/>
      <c r="V10" s="148"/>
      <c r="W10" s="84"/>
      <c r="X10" s="16"/>
    </row>
    <row r="11" spans="1:24" ht="20" customHeight="1" x14ac:dyDescent="0.25">
      <c r="A11" s="151"/>
      <c r="B11" s="157" t="s">
        <v>4355</v>
      </c>
      <c r="C11" s="157"/>
      <c r="D11" s="24" t="s">
        <v>215</v>
      </c>
      <c r="E11" s="34" t="str">
        <f>인덴트_임시!A4</f>
        <v>DHGK-2143</v>
      </c>
      <c r="F11" s="4"/>
      <c r="G11" s="8"/>
      <c r="H11" s="147"/>
      <c r="I11" s="16"/>
      <c r="J11" s="16"/>
      <c r="K11" s="16"/>
      <c r="L11" s="16"/>
      <c r="M11" s="147"/>
      <c r="N11" s="16"/>
      <c r="O11" s="147"/>
      <c r="P11" s="16"/>
      <c r="Q11" s="147"/>
      <c r="R11" s="16"/>
      <c r="S11" s="147"/>
      <c r="T11" s="79"/>
      <c r="U11" s="36"/>
      <c r="V11" s="148"/>
      <c r="W11" s="84"/>
      <c r="X11" s="16"/>
    </row>
    <row r="12" spans="1:24" ht="20" customHeight="1" x14ac:dyDescent="0.25">
      <c r="A12" s="151"/>
      <c r="B12" s="157" t="s">
        <v>1479</v>
      </c>
      <c r="C12" s="157"/>
      <c r="D12" s="24" t="s">
        <v>216</v>
      </c>
      <c r="E12" s="33" t="s">
        <v>209</v>
      </c>
      <c r="F12" s="4"/>
      <c r="G12" s="8"/>
      <c r="H12" s="147"/>
      <c r="I12" s="16"/>
      <c r="J12" s="16"/>
      <c r="K12" s="16"/>
      <c r="L12" s="16"/>
      <c r="M12" s="147"/>
      <c r="N12" s="16"/>
      <c r="O12" s="147"/>
      <c r="P12" s="16"/>
      <c r="Q12" s="147"/>
      <c r="R12" s="16"/>
      <c r="S12" s="147"/>
      <c r="T12" s="79"/>
      <c r="U12" s="36"/>
      <c r="V12" s="148"/>
      <c r="W12" s="84"/>
      <c r="X12" s="16"/>
    </row>
    <row r="13" spans="1:24" ht="20" customHeight="1" x14ac:dyDescent="0.25">
      <c r="A13" s="112"/>
      <c r="B13" s="156"/>
      <c r="C13" s="156"/>
      <c r="D13" s="24" t="s">
        <v>217</v>
      </c>
      <c r="E13" s="34" t="str">
        <f>인덴트_임시!A5</f>
        <v>Maurices</v>
      </c>
      <c r="F13" s="4"/>
      <c r="G13" s="8"/>
      <c r="H13" s="147"/>
      <c r="I13" s="16"/>
      <c r="J13" s="16"/>
      <c r="K13" s="16"/>
      <c r="L13" s="16"/>
      <c r="M13" s="147"/>
      <c r="N13" s="16"/>
      <c r="O13" s="147"/>
      <c r="P13" s="16"/>
      <c r="Q13" s="147"/>
      <c r="R13" s="16"/>
      <c r="S13" s="147"/>
      <c r="T13" s="79"/>
      <c r="U13" s="36"/>
      <c r="V13" s="148"/>
      <c r="W13" s="84"/>
      <c r="X13" s="16"/>
    </row>
    <row r="14" spans="1:24" ht="20" customHeight="1" x14ac:dyDescent="0.25">
      <c r="A14" s="112"/>
      <c r="B14" s="156"/>
      <c r="C14" s="156"/>
      <c r="D14" s="24"/>
      <c r="E14" s="33" t="s">
        <v>210</v>
      </c>
      <c r="F14" s="4"/>
      <c r="G14" s="8"/>
      <c r="H14" s="147"/>
      <c r="I14" s="16"/>
      <c r="J14" s="16"/>
      <c r="K14" s="16"/>
      <c r="L14" s="16"/>
      <c r="M14" s="147"/>
      <c r="N14" s="16"/>
      <c r="O14" s="147"/>
      <c r="P14" s="16"/>
      <c r="Q14" s="147"/>
      <c r="R14" s="16"/>
      <c r="S14" s="147"/>
      <c r="T14" s="79"/>
      <c r="U14" s="36"/>
      <c r="V14" s="148"/>
      <c r="W14" s="84"/>
      <c r="X14" s="16"/>
    </row>
    <row r="15" spans="1:24" ht="20" customHeight="1" x14ac:dyDescent="0.25">
      <c r="A15" s="112"/>
      <c r="B15" s="156" t="s">
        <v>5</v>
      </c>
      <c r="C15" s="156"/>
      <c r="D15" s="24" t="s">
        <v>218</v>
      </c>
      <c r="E15" s="34" t="str">
        <f>인덴트_임시!A6</f>
        <v>ESGM22742KM</v>
      </c>
      <c r="F15" s="4"/>
      <c r="G15" s="8"/>
      <c r="H15" s="147"/>
      <c r="I15" s="16"/>
      <c r="J15" s="16"/>
      <c r="K15" s="16"/>
      <c r="L15" s="16"/>
      <c r="M15" s="147"/>
      <c r="N15" s="16"/>
      <c r="O15" s="147"/>
      <c r="P15" s="16"/>
      <c r="Q15" s="147"/>
      <c r="R15" s="16"/>
      <c r="S15" s="147"/>
      <c r="T15" s="79"/>
      <c r="U15" s="36"/>
      <c r="V15" s="148"/>
      <c r="W15" s="84"/>
      <c r="X15" s="16"/>
    </row>
    <row r="16" spans="1:24" ht="20" customHeight="1" x14ac:dyDescent="0.25">
      <c r="A16" s="112"/>
      <c r="B16" s="156" t="s">
        <v>6</v>
      </c>
      <c r="C16" s="156"/>
      <c r="D16" s="24" t="s">
        <v>219</v>
      </c>
      <c r="E16" s="33" t="s">
        <v>211</v>
      </c>
      <c r="F16" s="4"/>
      <c r="G16" s="8"/>
      <c r="H16" s="147"/>
      <c r="I16" s="16"/>
      <c r="J16" s="16"/>
      <c r="K16" s="16"/>
      <c r="L16" s="16"/>
      <c r="M16" s="147"/>
      <c r="N16" s="16"/>
      <c r="O16" s="147"/>
      <c r="P16" s="16"/>
      <c r="Q16" s="147"/>
      <c r="R16" s="16"/>
      <c r="S16" s="147"/>
      <c r="T16" s="79"/>
      <c r="U16" s="36"/>
      <c r="V16" s="148"/>
      <c r="W16" s="84"/>
      <c r="X16" s="16"/>
    </row>
    <row r="17" spans="1:24" ht="20" customHeight="1" x14ac:dyDescent="0.25">
      <c r="A17" s="112"/>
      <c r="B17" s="112"/>
      <c r="C17" s="112"/>
      <c r="D17" s="24" t="s">
        <v>220</v>
      </c>
      <c r="E17" s="34" t="str">
        <f>인덴트_임시!A7&amp;" "&amp;인덴트_임시!A8</f>
        <v>SS 2022</v>
      </c>
      <c r="F17" s="4"/>
      <c r="G17" s="8"/>
      <c r="H17" s="147"/>
      <c r="I17" s="16"/>
      <c r="J17" s="16"/>
      <c r="K17" s="16"/>
      <c r="L17" s="16"/>
      <c r="M17" s="147"/>
      <c r="N17" s="16"/>
      <c r="O17" s="147"/>
      <c r="P17" s="16"/>
      <c r="Q17" s="147"/>
      <c r="R17" s="16"/>
      <c r="S17" s="147"/>
      <c r="T17" s="79"/>
      <c r="U17" s="36"/>
      <c r="V17" s="148"/>
      <c r="W17" s="84"/>
      <c r="X17" s="16"/>
    </row>
    <row r="18" spans="1:24" ht="20" customHeight="1" x14ac:dyDescent="0.25">
      <c r="A18" s="112"/>
      <c r="B18" s="158" t="s">
        <v>1098</v>
      </c>
      <c r="C18" s="158"/>
      <c r="D18" s="24"/>
      <c r="E18" s="33" t="s">
        <v>256</v>
      </c>
      <c r="F18" s="4"/>
      <c r="G18" s="8"/>
      <c r="H18" s="147"/>
      <c r="I18" s="16"/>
      <c r="J18" s="16"/>
      <c r="K18" s="16"/>
      <c r="L18" s="16"/>
      <c r="M18" s="147"/>
      <c r="N18" s="16"/>
      <c r="O18" s="147"/>
      <c r="P18" s="16"/>
      <c r="Q18" s="147"/>
      <c r="R18" s="16"/>
      <c r="S18" s="147"/>
      <c r="T18" s="79"/>
      <c r="U18" s="36"/>
      <c r="V18" s="148"/>
      <c r="W18" s="84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7"/>
      <c r="I19" s="16"/>
      <c r="J19" s="16"/>
      <c r="K19" s="16"/>
      <c r="L19" s="16"/>
      <c r="M19" s="147"/>
      <c r="N19" s="16"/>
      <c r="O19" s="147"/>
      <c r="P19" s="16"/>
      <c r="Q19" s="147"/>
      <c r="R19" s="16"/>
      <c r="S19" s="147"/>
      <c r="T19" s="79"/>
      <c r="U19" s="36"/>
      <c r="V19" s="148"/>
      <c r="W19" s="84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7"/>
      <c r="I20" s="16"/>
      <c r="J20" s="16"/>
      <c r="K20" s="16"/>
      <c r="L20" s="16"/>
      <c r="M20" s="147"/>
      <c r="N20" s="16"/>
      <c r="O20" s="147"/>
      <c r="P20" s="16"/>
      <c r="Q20" s="147"/>
      <c r="R20" s="16"/>
      <c r="S20" s="147"/>
      <c r="T20" s="79"/>
      <c r="U20" s="36"/>
      <c r="V20" s="148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7"/>
      <c r="I21" s="16"/>
      <c r="J21" s="16"/>
      <c r="K21" s="16"/>
      <c r="L21" s="16"/>
      <c r="M21" s="147"/>
      <c r="N21" s="16"/>
      <c r="O21" s="147"/>
      <c r="P21" s="16"/>
      <c r="Q21" s="147"/>
      <c r="R21" s="16"/>
      <c r="S21" s="147"/>
      <c r="T21" s="79"/>
      <c r="U21" s="36"/>
      <c r="V21" s="148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7"/>
      <c r="I22" s="16"/>
      <c r="J22" s="16"/>
      <c r="K22" s="16"/>
      <c r="L22" s="16"/>
      <c r="M22" s="147"/>
      <c r="N22" s="16"/>
      <c r="O22" s="147"/>
      <c r="P22" s="16"/>
      <c r="Q22" s="147"/>
      <c r="R22" s="16"/>
      <c r="S22" s="147"/>
      <c r="T22" s="79"/>
      <c r="U22" s="36"/>
      <c r="V22" s="148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7"/>
      <c r="I23" s="16"/>
      <c r="J23" s="16"/>
      <c r="K23" s="16"/>
      <c r="L23" s="16"/>
      <c r="M23" s="147"/>
      <c r="N23" s="16"/>
      <c r="O23" s="147"/>
      <c r="P23" s="16"/>
      <c r="Q23" s="147"/>
      <c r="R23" s="16"/>
      <c r="S23" s="147"/>
      <c r="T23" s="79"/>
      <c r="U23" s="36"/>
      <c r="V23" s="148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7"/>
      <c r="I24" s="16"/>
      <c r="J24" s="16"/>
      <c r="K24" s="16"/>
      <c r="L24" s="16"/>
      <c r="M24" s="147"/>
      <c r="N24" s="16"/>
      <c r="O24" s="147"/>
      <c r="P24" s="16"/>
      <c r="Q24" s="147"/>
      <c r="R24" s="16"/>
      <c r="S24" s="147"/>
      <c r="T24" s="79"/>
      <c r="U24" s="36"/>
      <c r="V24" s="148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7"/>
      <c r="I25" s="16"/>
      <c r="J25" s="16"/>
      <c r="K25" s="16"/>
      <c r="L25" s="16"/>
      <c r="M25" s="147"/>
      <c r="N25" s="16"/>
      <c r="O25" s="147"/>
      <c r="P25" s="16"/>
      <c r="Q25" s="147"/>
      <c r="R25" s="16"/>
      <c r="S25" s="147"/>
      <c r="T25" s="79"/>
      <c r="U25" s="36"/>
      <c r="V25" s="148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7"/>
      <c r="I26" s="16"/>
      <c r="J26" s="16"/>
      <c r="K26" s="16"/>
      <c r="L26" s="16"/>
      <c r="M26" s="147"/>
      <c r="N26" s="16"/>
      <c r="O26" s="147"/>
      <c r="P26" s="16"/>
      <c r="Q26" s="147"/>
      <c r="R26" s="16"/>
      <c r="S26" s="147"/>
      <c r="T26" s="79"/>
      <c r="U26" s="36"/>
      <c r="V26" s="148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7"/>
      <c r="I27" s="16"/>
      <c r="J27" s="16"/>
      <c r="K27" s="16"/>
      <c r="L27" s="16"/>
      <c r="M27" s="147"/>
      <c r="N27" s="16"/>
      <c r="O27" s="147"/>
      <c r="P27" s="16"/>
      <c r="Q27" s="147"/>
      <c r="R27" s="16"/>
      <c r="S27" s="147"/>
      <c r="T27" s="79"/>
      <c r="U27" s="36"/>
      <c r="V27" s="148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7"/>
      <c r="I28" s="16"/>
      <c r="J28" s="16"/>
      <c r="K28" s="16"/>
      <c r="L28" s="16"/>
      <c r="M28" s="147"/>
      <c r="N28" s="16"/>
      <c r="O28" s="147"/>
      <c r="P28" s="16"/>
      <c r="Q28" s="147"/>
      <c r="R28" s="16"/>
      <c r="S28" s="147"/>
      <c r="T28" s="79"/>
      <c r="U28" s="36"/>
      <c r="V28" s="148"/>
      <c r="W28" s="84"/>
      <c r="X28" s="16"/>
    </row>
    <row r="29" spans="1:24" ht="20" customHeight="1" x14ac:dyDescent="0.25">
      <c r="H29" s="147"/>
      <c r="I29" s="16"/>
      <c r="J29" s="16"/>
      <c r="K29" s="16"/>
      <c r="L29" s="16"/>
      <c r="M29" s="147"/>
      <c r="N29" s="16"/>
      <c r="O29" s="147"/>
      <c r="P29" s="16"/>
      <c r="Q29" s="147"/>
      <c r="R29" s="16"/>
      <c r="S29" s="147"/>
      <c r="T29" s="79"/>
      <c r="U29" s="36"/>
      <c r="V29" s="148"/>
      <c r="W29" s="84"/>
      <c r="X29" s="16"/>
    </row>
    <row r="30" spans="1:24" ht="20" customHeight="1" x14ac:dyDescent="0.25">
      <c r="H30" s="147"/>
      <c r="I30" s="16"/>
      <c r="J30" s="16"/>
      <c r="K30" s="16"/>
      <c r="L30" s="16"/>
      <c r="M30" s="147"/>
      <c r="N30" s="16"/>
      <c r="O30" s="147"/>
      <c r="P30" s="16"/>
      <c r="Q30" s="147"/>
      <c r="R30" s="16"/>
      <c r="S30" s="147"/>
      <c r="T30" s="79"/>
      <c r="U30" s="36"/>
      <c r="V30" s="148"/>
      <c r="W30" s="84"/>
      <c r="X30" s="16"/>
    </row>
    <row r="31" spans="1:24" ht="20" customHeight="1" x14ac:dyDescent="0.25">
      <c r="H31" s="147"/>
      <c r="I31" s="16"/>
      <c r="J31" s="16"/>
      <c r="K31" s="16"/>
      <c r="L31" s="16"/>
      <c r="M31" s="147"/>
      <c r="N31" s="16"/>
      <c r="O31" s="147"/>
      <c r="P31" s="16"/>
      <c r="Q31" s="147"/>
      <c r="R31" s="16"/>
      <c r="S31" s="147"/>
      <c r="T31" s="79"/>
      <c r="U31" s="36"/>
      <c r="V31" s="148"/>
      <c r="W31" s="84"/>
      <c r="X31" s="16"/>
    </row>
    <row r="32" spans="1:24" ht="20" customHeight="1" x14ac:dyDescent="0.25">
      <c r="H32" s="147"/>
      <c r="I32" s="16"/>
      <c r="J32" s="16"/>
      <c r="K32" s="16"/>
      <c r="L32" s="16"/>
      <c r="M32" s="147"/>
      <c r="N32" s="16"/>
      <c r="O32" s="147"/>
      <c r="P32" s="16"/>
      <c r="Q32" s="147"/>
      <c r="R32" s="16"/>
      <c r="S32" s="147"/>
      <c r="T32" s="79"/>
      <c r="U32" s="36"/>
      <c r="V32" s="148"/>
      <c r="W32" s="84"/>
      <c r="X32" s="16"/>
    </row>
    <row r="33" spans="8:24" ht="20" customHeight="1" x14ac:dyDescent="0.25">
      <c r="H33" s="147"/>
      <c r="I33" s="16"/>
      <c r="J33" s="16"/>
      <c r="K33" s="16"/>
      <c r="L33" s="16"/>
      <c r="M33" s="147"/>
      <c r="N33" s="16"/>
      <c r="O33" s="147"/>
      <c r="P33" s="16"/>
      <c r="Q33" s="147"/>
      <c r="R33" s="16"/>
      <c r="S33" s="147"/>
      <c r="T33" s="79"/>
      <c r="U33" s="36"/>
      <c r="V33" s="148"/>
      <c r="W33" s="84"/>
      <c r="X33" s="16"/>
    </row>
    <row r="34" spans="8:24" ht="20" customHeight="1" x14ac:dyDescent="0.25">
      <c r="H34" s="147"/>
      <c r="I34" s="16"/>
      <c r="J34" s="16"/>
      <c r="K34" s="16"/>
      <c r="L34" s="16"/>
      <c r="M34" s="147"/>
      <c r="N34" s="16"/>
      <c r="O34" s="147"/>
      <c r="P34" s="16"/>
      <c r="Q34" s="147"/>
      <c r="R34" s="16"/>
      <c r="S34" s="147"/>
      <c r="T34" s="79"/>
      <c r="U34" s="36"/>
      <c r="V34" s="148"/>
      <c r="W34" s="84"/>
      <c r="X34" s="16"/>
    </row>
    <row r="35" spans="8:24" ht="20" customHeight="1" x14ac:dyDescent="0.25">
      <c r="H35" s="147"/>
      <c r="I35" s="16"/>
      <c r="J35" s="16"/>
      <c r="K35" s="16"/>
      <c r="L35" s="16"/>
      <c r="M35" s="147"/>
      <c r="N35" s="16"/>
      <c r="O35" s="147"/>
      <c r="P35" s="16"/>
      <c r="Q35" s="147"/>
      <c r="R35" s="16"/>
      <c r="S35" s="147"/>
      <c r="T35" s="79"/>
      <c r="U35" s="36"/>
      <c r="V35" s="148"/>
      <c r="W35" s="84"/>
      <c r="X35" s="16"/>
    </row>
    <row r="36" spans="8:24" ht="20" customHeight="1" x14ac:dyDescent="0.25">
      <c r="H36" s="147"/>
      <c r="I36" s="16"/>
      <c r="J36" s="16"/>
      <c r="K36" s="16"/>
      <c r="L36" s="16"/>
      <c r="M36" s="147"/>
      <c r="N36" s="16"/>
      <c r="O36" s="147"/>
      <c r="P36" s="16"/>
      <c r="Q36" s="147"/>
      <c r="R36" s="16"/>
      <c r="S36" s="147"/>
      <c r="T36" s="79"/>
      <c r="U36" s="36"/>
      <c r="V36" s="148"/>
      <c r="W36" s="84"/>
      <c r="X36" s="16"/>
    </row>
    <row r="37" spans="8:24" ht="20" customHeight="1" x14ac:dyDescent="0.25">
      <c r="H37" s="147"/>
      <c r="I37" s="16"/>
      <c r="J37" s="16"/>
      <c r="K37" s="16"/>
      <c r="L37" s="16"/>
      <c r="M37" s="147"/>
      <c r="N37" s="16"/>
      <c r="O37" s="147"/>
      <c r="P37" s="16"/>
      <c r="Q37" s="147"/>
      <c r="R37" s="16"/>
      <c r="S37" s="147"/>
      <c r="T37" s="79"/>
      <c r="U37" s="36"/>
      <c r="V37" s="148"/>
      <c r="W37" s="84"/>
      <c r="X37" s="16"/>
    </row>
    <row r="38" spans="8:24" ht="20" customHeight="1" x14ac:dyDescent="0.25">
      <c r="H38" s="147"/>
      <c r="I38" s="16"/>
      <c r="J38" s="16"/>
      <c r="K38" s="16"/>
      <c r="L38" s="16"/>
      <c r="M38" s="147"/>
      <c r="N38" s="16"/>
      <c r="O38" s="147"/>
      <c r="P38" s="16"/>
      <c r="Q38" s="147"/>
      <c r="R38" s="16"/>
      <c r="S38" s="147"/>
      <c r="T38" s="79"/>
      <c r="U38" s="36"/>
      <c r="V38" s="148"/>
      <c r="W38" s="84"/>
      <c r="X38" s="16"/>
    </row>
    <row r="39" spans="8:24" ht="20" customHeight="1" x14ac:dyDescent="0.25">
      <c r="H39" s="147"/>
      <c r="I39" s="16"/>
      <c r="J39" s="16"/>
      <c r="K39" s="16"/>
      <c r="L39" s="16"/>
      <c r="M39" s="147"/>
      <c r="N39" s="16"/>
      <c r="O39" s="147"/>
      <c r="P39" s="16"/>
      <c r="Q39" s="147"/>
      <c r="R39" s="16"/>
      <c r="S39" s="147"/>
      <c r="T39" s="79"/>
      <c r="U39" s="36"/>
      <c r="V39" s="148"/>
      <c r="W39" s="84"/>
      <c r="X39" s="16"/>
    </row>
    <row r="40" spans="8:24" ht="20" customHeight="1" x14ac:dyDescent="0.25">
      <c r="H40" s="147"/>
      <c r="I40" s="16"/>
      <c r="J40" s="16"/>
      <c r="K40" s="16"/>
      <c r="L40" s="16"/>
      <c r="M40" s="147"/>
      <c r="N40" s="16"/>
      <c r="O40" s="147"/>
      <c r="P40" s="16"/>
      <c r="Q40" s="147"/>
      <c r="R40" s="16"/>
      <c r="S40" s="147"/>
      <c r="T40" s="79"/>
      <c r="U40" s="36"/>
      <c r="V40" s="148"/>
      <c r="W40" s="84"/>
      <c r="X40" s="16"/>
    </row>
    <row r="41" spans="8:24" ht="20" customHeight="1" x14ac:dyDescent="0.25">
      <c r="H41" s="147"/>
      <c r="I41" s="16"/>
      <c r="J41" s="16"/>
      <c r="K41" s="16"/>
      <c r="L41" s="16"/>
      <c r="M41" s="147"/>
      <c r="N41" s="16"/>
      <c r="O41" s="147"/>
      <c r="P41" s="16"/>
      <c r="Q41" s="147"/>
      <c r="R41" s="16"/>
      <c r="S41" s="147"/>
      <c r="T41" s="79"/>
      <c r="U41" s="36"/>
      <c r="V41" s="148"/>
      <c r="W41" s="84"/>
      <c r="X41" s="16"/>
    </row>
    <row r="42" spans="8:24" ht="20" customHeight="1" x14ac:dyDescent="0.25">
      <c r="H42" s="147"/>
      <c r="I42" s="16"/>
      <c r="J42" s="16"/>
      <c r="K42" s="16"/>
      <c r="L42" s="16"/>
      <c r="M42" s="147"/>
      <c r="N42" s="16"/>
      <c r="O42" s="147"/>
      <c r="P42" s="16"/>
      <c r="Q42" s="147"/>
      <c r="R42" s="16"/>
      <c r="S42" s="147"/>
      <c r="T42" s="79"/>
      <c r="U42" s="36"/>
      <c r="V42" s="148"/>
      <c r="W42" s="84"/>
      <c r="X42" s="16"/>
    </row>
    <row r="43" spans="8:24" ht="20" customHeight="1" x14ac:dyDescent="0.25">
      <c r="H43" s="147"/>
      <c r="I43" s="16"/>
      <c r="J43" s="16"/>
      <c r="K43" s="16"/>
      <c r="L43" s="16"/>
      <c r="M43" s="147"/>
      <c r="N43" s="16"/>
      <c r="O43" s="147"/>
      <c r="P43" s="16"/>
      <c r="Q43" s="147"/>
      <c r="R43" s="16"/>
      <c r="S43" s="147"/>
      <c r="T43" s="79"/>
      <c r="U43" s="36"/>
      <c r="V43" s="148"/>
      <c r="W43" s="84"/>
      <c r="X43" s="16"/>
    </row>
    <row r="44" spans="8:24" ht="20" customHeight="1" x14ac:dyDescent="0.25">
      <c r="H44" s="147"/>
      <c r="I44" s="16"/>
      <c r="J44" s="16"/>
      <c r="K44" s="16"/>
      <c r="L44" s="16"/>
      <c r="M44" s="147"/>
      <c r="N44" s="16"/>
      <c r="O44" s="147"/>
      <c r="P44" s="16"/>
      <c r="Q44" s="147"/>
      <c r="R44" s="16"/>
      <c r="S44" s="147"/>
      <c r="T44" s="79"/>
      <c r="U44" s="36"/>
      <c r="V44" s="148"/>
      <c r="W44" s="84"/>
      <c r="X44" s="16"/>
    </row>
    <row r="45" spans="8:24" ht="20" customHeight="1" x14ac:dyDescent="0.25">
      <c r="H45" s="147"/>
      <c r="I45" s="16"/>
      <c r="J45" s="16"/>
      <c r="K45" s="16"/>
      <c r="L45" s="16"/>
      <c r="M45" s="147"/>
      <c r="N45" s="16"/>
      <c r="O45" s="147"/>
      <c r="P45" s="16"/>
      <c r="Q45" s="147"/>
      <c r="R45" s="16"/>
      <c r="S45" s="147"/>
      <c r="T45" s="79"/>
      <c r="U45" s="36"/>
      <c r="V45" s="148"/>
      <c r="W45" s="84"/>
      <c r="X45" s="16"/>
    </row>
    <row r="46" spans="8:24" ht="20" customHeight="1" x14ac:dyDescent="0.25">
      <c r="H46" s="147"/>
      <c r="I46" s="16"/>
      <c r="J46" s="16"/>
      <c r="K46" s="16"/>
      <c r="L46" s="16"/>
      <c r="M46" s="147"/>
      <c r="N46" s="16"/>
      <c r="O46" s="147"/>
      <c r="P46" s="16"/>
      <c r="Q46" s="147"/>
      <c r="R46" s="16"/>
      <c r="S46" s="147"/>
      <c r="T46" s="79"/>
      <c r="U46" s="36"/>
      <c r="V46" s="148"/>
      <c r="W46" s="84"/>
      <c r="X46" s="16"/>
    </row>
    <row r="47" spans="8:24" ht="20" customHeight="1" x14ac:dyDescent="0.25">
      <c r="H47" s="147"/>
      <c r="I47" s="16"/>
      <c r="J47" s="16"/>
      <c r="K47" s="16"/>
      <c r="L47" s="16"/>
      <c r="M47" s="147"/>
      <c r="N47" s="16"/>
      <c r="O47" s="147"/>
      <c r="P47" s="16"/>
      <c r="Q47" s="147"/>
      <c r="R47" s="16"/>
      <c r="S47" s="147"/>
      <c r="T47" s="79"/>
      <c r="U47" s="36"/>
      <c r="V47" s="148"/>
      <c r="W47" s="84"/>
      <c r="X47" s="16"/>
    </row>
    <row r="48" spans="8:24" ht="20" customHeight="1" x14ac:dyDescent="0.25">
      <c r="H48" s="147"/>
      <c r="I48" s="16"/>
      <c r="J48" s="16"/>
      <c r="K48" s="16"/>
      <c r="L48" s="16"/>
      <c r="M48" s="147"/>
      <c r="N48" s="16"/>
      <c r="O48" s="147"/>
      <c r="P48" s="16"/>
      <c r="Q48" s="147"/>
      <c r="R48" s="16"/>
      <c r="S48" s="147"/>
      <c r="T48" s="79"/>
      <c r="U48" s="36"/>
      <c r="V48" s="148"/>
      <c r="W48" s="84"/>
      <c r="X48" s="16"/>
    </row>
    <row r="49" spans="8:24" ht="20" customHeight="1" x14ac:dyDescent="0.25">
      <c r="H49" s="147"/>
      <c r="I49" s="16"/>
      <c r="J49" s="16"/>
      <c r="K49" s="16"/>
      <c r="L49" s="16"/>
      <c r="M49" s="147"/>
      <c r="N49" s="16"/>
      <c r="O49" s="147"/>
      <c r="P49" s="16"/>
      <c r="Q49" s="147"/>
      <c r="R49" s="16"/>
      <c r="S49" s="147"/>
      <c r="T49" s="79"/>
      <c r="U49" s="36"/>
      <c r="V49" s="148"/>
      <c r="W49" s="84"/>
      <c r="X49" s="16"/>
    </row>
    <row r="50" spans="8:24" ht="20" customHeight="1" x14ac:dyDescent="0.25">
      <c r="H50" s="147"/>
      <c r="I50" s="16"/>
      <c r="J50" s="16"/>
      <c r="K50" s="16"/>
      <c r="L50" s="16"/>
      <c r="M50" s="147"/>
      <c r="N50" s="16"/>
      <c r="O50" s="147"/>
      <c r="P50" s="16"/>
      <c r="Q50" s="147"/>
      <c r="R50" s="16"/>
      <c r="S50" s="147"/>
      <c r="T50" s="79"/>
      <c r="U50" s="36"/>
      <c r="V50" s="148"/>
      <c r="W50" s="84"/>
      <c r="X50" s="16"/>
    </row>
    <row r="51" spans="8:24" ht="20" customHeight="1" x14ac:dyDescent="0.25">
      <c r="H51" s="147"/>
      <c r="I51" s="16"/>
      <c r="J51" s="16"/>
      <c r="K51" s="16"/>
      <c r="L51" s="16"/>
      <c r="M51" s="147"/>
      <c r="N51" s="16"/>
      <c r="O51" s="147"/>
      <c r="P51" s="16"/>
      <c r="Q51" s="147"/>
      <c r="R51" s="16"/>
      <c r="S51" s="147"/>
      <c r="T51" s="79"/>
      <c r="U51" s="36"/>
      <c r="V51" s="148"/>
      <c r="W51" s="84"/>
      <c r="X51" s="16"/>
    </row>
    <row r="52" spans="8:24" ht="20" customHeight="1" x14ac:dyDescent="0.25">
      <c r="H52" s="147"/>
      <c r="I52" s="16"/>
      <c r="J52" s="16"/>
      <c r="K52" s="16"/>
      <c r="L52" s="16"/>
      <c r="M52" s="147"/>
      <c r="N52" s="16"/>
      <c r="O52" s="147"/>
      <c r="P52" s="16"/>
      <c r="Q52" s="147"/>
      <c r="R52" s="16"/>
      <c r="S52" s="147"/>
      <c r="T52" s="79"/>
      <c r="U52" s="36"/>
      <c r="V52" s="148"/>
      <c r="W52" s="84"/>
      <c r="X52" s="16"/>
    </row>
    <row r="53" spans="8:24" ht="20" customHeight="1" x14ac:dyDescent="0.25">
      <c r="H53" s="147"/>
      <c r="I53" s="16"/>
      <c r="J53" s="16"/>
      <c r="K53" s="16"/>
      <c r="L53" s="16"/>
      <c r="M53" s="147"/>
      <c r="N53" s="16"/>
      <c r="O53" s="147"/>
      <c r="P53" s="16"/>
      <c r="Q53" s="147"/>
      <c r="R53" s="16"/>
      <c r="S53" s="147"/>
      <c r="T53" s="79"/>
      <c r="U53" s="36"/>
      <c r="V53" s="148"/>
      <c r="W53" s="84"/>
      <c r="X53" s="16"/>
    </row>
    <row r="54" spans="8:24" ht="20" customHeight="1" x14ac:dyDescent="0.25">
      <c r="H54" s="147"/>
      <c r="I54" s="16"/>
      <c r="J54" s="16"/>
      <c r="K54" s="16"/>
      <c r="L54" s="16"/>
      <c r="M54" s="147"/>
      <c r="N54" s="16"/>
      <c r="O54" s="147"/>
      <c r="P54" s="16"/>
      <c r="Q54" s="147"/>
      <c r="R54" s="16"/>
      <c r="S54" s="147"/>
      <c r="T54" s="79"/>
      <c r="U54" s="36"/>
      <c r="V54" s="148"/>
      <c r="W54" s="84"/>
      <c r="X54" s="16"/>
    </row>
    <row r="55" spans="8:24" ht="20" customHeight="1" x14ac:dyDescent="0.25">
      <c r="H55" s="147"/>
      <c r="I55" s="16"/>
      <c r="J55" s="16"/>
      <c r="K55" s="16"/>
      <c r="L55" s="16"/>
      <c r="M55" s="147"/>
      <c r="N55" s="16"/>
      <c r="O55" s="147"/>
      <c r="P55" s="16"/>
      <c r="Q55" s="147"/>
      <c r="R55" s="16"/>
      <c r="S55" s="147"/>
      <c r="T55" s="79"/>
      <c r="U55" s="36"/>
      <c r="V55" s="148"/>
      <c r="W55" s="84"/>
      <c r="X55" s="16"/>
    </row>
    <row r="56" spans="8:24" ht="20" customHeight="1" x14ac:dyDescent="0.25">
      <c r="H56" s="147"/>
      <c r="I56" s="16"/>
      <c r="J56" s="16"/>
      <c r="K56" s="16"/>
      <c r="L56" s="16"/>
      <c r="M56" s="147"/>
      <c r="N56" s="16"/>
      <c r="O56" s="147"/>
      <c r="P56" s="16"/>
      <c r="Q56" s="147"/>
      <c r="R56" s="16"/>
      <c r="S56" s="147"/>
      <c r="T56" s="79"/>
      <c r="U56" s="36"/>
      <c r="V56" s="148"/>
      <c r="W56" s="84"/>
      <c r="X56" s="16"/>
    </row>
    <row r="57" spans="8:24" ht="20" customHeight="1" x14ac:dyDescent="0.25">
      <c r="H57" s="147"/>
      <c r="I57" s="16"/>
      <c r="J57" s="16"/>
      <c r="K57" s="16"/>
      <c r="L57" s="16"/>
      <c r="M57" s="147"/>
      <c r="N57" s="16"/>
      <c r="O57" s="147"/>
      <c r="P57" s="16"/>
      <c r="Q57" s="147"/>
      <c r="R57" s="16"/>
      <c r="S57" s="147"/>
      <c r="T57" s="79"/>
      <c r="U57" s="36"/>
      <c r="V57" s="148"/>
      <c r="W57" s="84"/>
      <c r="X57" s="16"/>
    </row>
    <row r="58" spans="8:24" ht="20" customHeight="1" x14ac:dyDescent="0.25">
      <c r="H58" s="147"/>
      <c r="I58" s="16"/>
      <c r="J58" s="16"/>
      <c r="K58" s="16"/>
      <c r="L58" s="16"/>
      <c r="M58" s="147"/>
      <c r="N58" s="16"/>
      <c r="O58" s="147"/>
      <c r="P58" s="16"/>
      <c r="Q58" s="147"/>
      <c r="R58" s="16"/>
      <c r="S58" s="147"/>
      <c r="T58" s="79"/>
      <c r="U58" s="36"/>
      <c r="V58" s="148"/>
      <c r="W58" s="84"/>
      <c r="X58" s="16"/>
    </row>
    <row r="59" spans="8:24" ht="20" customHeight="1" x14ac:dyDescent="0.25">
      <c r="H59" s="147"/>
      <c r="I59" s="16"/>
      <c r="J59" s="16"/>
      <c r="K59" s="16"/>
      <c r="L59" s="16"/>
      <c r="M59" s="147"/>
      <c r="N59" s="16"/>
      <c r="O59" s="147"/>
      <c r="P59" s="16"/>
      <c r="Q59" s="147"/>
      <c r="R59" s="16"/>
      <c r="S59" s="147"/>
      <c r="T59" s="79"/>
      <c r="U59" s="36"/>
      <c r="V59" s="148"/>
      <c r="W59" s="84"/>
      <c r="X59" s="16"/>
    </row>
    <row r="60" spans="8:24" ht="20" customHeight="1" x14ac:dyDescent="0.25">
      <c r="H60" s="147"/>
      <c r="I60" s="16"/>
      <c r="J60" s="16"/>
      <c r="K60" s="16"/>
      <c r="L60" s="16"/>
      <c r="M60" s="147"/>
      <c r="N60" s="16"/>
      <c r="O60" s="147"/>
      <c r="P60" s="16"/>
      <c r="Q60" s="147"/>
      <c r="R60" s="16"/>
      <c r="S60" s="147"/>
      <c r="T60" s="79"/>
      <c r="U60" s="36"/>
      <c r="V60" s="148"/>
      <c r="W60" s="84"/>
      <c r="X60" s="16"/>
    </row>
    <row r="61" spans="8:24" ht="20" customHeight="1" x14ac:dyDescent="0.25">
      <c r="H61" s="147"/>
      <c r="I61" s="16"/>
      <c r="J61" s="16"/>
      <c r="K61" s="16"/>
      <c r="L61" s="16"/>
      <c r="M61" s="147"/>
      <c r="N61" s="16"/>
      <c r="O61" s="147"/>
      <c r="P61" s="16"/>
      <c r="Q61" s="147"/>
      <c r="R61" s="16"/>
      <c r="S61" s="147"/>
      <c r="T61" s="79"/>
      <c r="U61" s="36"/>
      <c r="V61" s="148"/>
      <c r="W61" s="84"/>
      <c r="X61" s="16"/>
    </row>
    <row r="62" spans="8:24" ht="20" customHeight="1" x14ac:dyDescent="0.25">
      <c r="H62" s="147"/>
      <c r="I62" s="16"/>
      <c r="J62" s="16"/>
      <c r="K62" s="16"/>
      <c r="L62" s="16"/>
      <c r="M62" s="147"/>
      <c r="N62" s="16"/>
      <c r="O62" s="147"/>
      <c r="P62" s="16"/>
      <c r="Q62" s="147"/>
      <c r="R62" s="16"/>
      <c r="S62" s="147"/>
      <c r="T62" s="79"/>
      <c r="U62" s="36"/>
      <c r="V62" s="148"/>
      <c r="W62" s="84"/>
      <c r="X62" s="16"/>
    </row>
    <row r="63" spans="8:24" ht="20" customHeight="1" x14ac:dyDescent="0.25">
      <c r="H63" s="147"/>
      <c r="I63" s="16"/>
      <c r="J63" s="16"/>
      <c r="K63" s="16"/>
      <c r="L63" s="16"/>
      <c r="M63" s="147"/>
      <c r="N63" s="16"/>
      <c r="O63" s="147"/>
      <c r="P63" s="16"/>
      <c r="Q63" s="147"/>
      <c r="R63" s="16"/>
      <c r="S63" s="147"/>
      <c r="T63" s="79"/>
      <c r="U63" s="36"/>
      <c r="V63" s="148"/>
      <c r="W63" s="84"/>
      <c r="X63" s="16"/>
    </row>
    <row r="64" spans="8:24" ht="20" customHeight="1" x14ac:dyDescent="0.25">
      <c r="H64" s="147"/>
      <c r="I64" s="16"/>
      <c r="J64" s="16"/>
      <c r="K64" s="16"/>
      <c r="L64" s="16"/>
      <c r="M64" s="147"/>
      <c r="N64" s="16"/>
      <c r="O64" s="147"/>
      <c r="P64" s="16"/>
      <c r="Q64" s="147"/>
      <c r="R64" s="16"/>
      <c r="S64" s="147"/>
      <c r="T64" s="79"/>
      <c r="U64" s="36"/>
      <c r="V64" s="148"/>
      <c r="W64" s="84"/>
      <c r="X64" s="16"/>
    </row>
    <row r="65" spans="8:24" ht="20" customHeight="1" x14ac:dyDescent="0.25">
      <c r="H65" s="147"/>
      <c r="I65" s="16"/>
      <c r="J65" s="16"/>
      <c r="K65" s="16"/>
      <c r="L65" s="16"/>
      <c r="M65" s="147"/>
      <c r="N65" s="16"/>
      <c r="O65" s="147"/>
      <c r="P65" s="16"/>
      <c r="Q65" s="147"/>
      <c r="R65" s="16"/>
      <c r="S65" s="147"/>
      <c r="T65" s="79"/>
      <c r="U65" s="36"/>
      <c r="V65" s="148"/>
      <c r="W65" s="84"/>
      <c r="X65" s="16"/>
    </row>
    <row r="66" spans="8:24" ht="20" customHeight="1" x14ac:dyDescent="0.25">
      <c r="H66" s="147"/>
      <c r="I66" s="16"/>
      <c r="J66" s="16"/>
      <c r="K66" s="16"/>
      <c r="L66" s="16"/>
      <c r="M66" s="147"/>
      <c r="N66" s="16"/>
      <c r="O66" s="147"/>
      <c r="P66" s="16"/>
      <c r="Q66" s="147"/>
      <c r="R66" s="16"/>
      <c r="S66" s="147"/>
      <c r="T66" s="79"/>
      <c r="U66" s="36"/>
      <c r="V66" s="148"/>
      <c r="W66" s="84"/>
      <c r="X66" s="16"/>
    </row>
    <row r="67" spans="8:24" ht="20" customHeight="1" x14ac:dyDescent="0.25">
      <c r="H67" s="147"/>
      <c r="I67" s="16"/>
      <c r="J67" s="16"/>
      <c r="K67" s="16"/>
      <c r="L67" s="16"/>
      <c r="M67" s="147"/>
      <c r="N67" s="16"/>
      <c r="O67" s="147"/>
      <c r="P67" s="16"/>
      <c r="Q67" s="147"/>
      <c r="R67" s="16"/>
      <c r="S67" s="147"/>
      <c r="T67" s="79"/>
      <c r="U67" s="36"/>
      <c r="V67" s="148"/>
      <c r="W67" s="84"/>
      <c r="X67" s="16"/>
    </row>
    <row r="68" spans="8:24" ht="20" customHeight="1" x14ac:dyDescent="0.25">
      <c r="H68" s="147"/>
      <c r="I68" s="16"/>
      <c r="J68" s="16"/>
      <c r="K68" s="16"/>
      <c r="L68" s="16"/>
      <c r="M68" s="147"/>
      <c r="N68" s="16"/>
      <c r="O68" s="147"/>
      <c r="P68" s="16"/>
      <c r="Q68" s="147"/>
      <c r="R68" s="16"/>
      <c r="S68" s="147"/>
      <c r="T68" s="79"/>
      <c r="U68" s="36"/>
      <c r="V68" s="148"/>
      <c r="W68" s="84"/>
      <c r="X68" s="16"/>
    </row>
    <row r="69" spans="8:24" ht="20" customHeight="1" x14ac:dyDescent="0.25">
      <c r="H69" s="147"/>
      <c r="I69" s="16"/>
      <c r="J69" s="16"/>
      <c r="K69" s="16"/>
      <c r="L69" s="16"/>
      <c r="M69" s="147"/>
      <c r="N69" s="16"/>
      <c r="O69" s="147"/>
      <c r="P69" s="16"/>
      <c r="Q69" s="147"/>
      <c r="R69" s="16"/>
      <c r="S69" s="147"/>
      <c r="T69" s="79"/>
      <c r="U69" s="36"/>
      <c r="V69" s="148"/>
      <c r="W69" s="84"/>
      <c r="X69" s="16"/>
    </row>
    <row r="70" spans="8:24" ht="20" customHeight="1" x14ac:dyDescent="0.25">
      <c r="H70" s="147"/>
      <c r="I70" s="16"/>
      <c r="J70" s="16"/>
      <c r="K70" s="16"/>
      <c r="L70" s="16"/>
      <c r="M70" s="147"/>
      <c r="N70" s="16"/>
      <c r="O70" s="147"/>
      <c r="P70" s="16"/>
      <c r="Q70" s="147"/>
      <c r="R70" s="16"/>
      <c r="S70" s="147"/>
      <c r="T70" s="79"/>
      <c r="U70" s="36"/>
      <c r="V70" s="148"/>
      <c r="W70" s="84"/>
      <c r="X70" s="16"/>
    </row>
    <row r="71" spans="8:24" ht="20" customHeight="1" x14ac:dyDescent="0.25">
      <c r="H71" s="147"/>
      <c r="I71" s="16"/>
      <c r="J71" s="16"/>
      <c r="K71" s="16"/>
      <c r="L71" s="16"/>
      <c r="M71" s="147"/>
      <c r="N71" s="16"/>
      <c r="O71" s="147"/>
      <c r="P71" s="16"/>
      <c r="Q71" s="147"/>
      <c r="R71" s="16"/>
      <c r="S71" s="147"/>
      <c r="T71" s="79"/>
      <c r="U71" s="36"/>
      <c r="V71" s="148"/>
      <c r="W71" s="84"/>
      <c r="X71" s="16"/>
    </row>
    <row r="72" spans="8:24" ht="20" customHeight="1" x14ac:dyDescent="0.25">
      <c r="H72" s="147"/>
      <c r="I72" s="16"/>
      <c r="J72" s="16"/>
      <c r="K72" s="16"/>
      <c r="L72" s="16"/>
      <c r="M72" s="147"/>
      <c r="N72" s="16"/>
      <c r="O72" s="147"/>
      <c r="P72" s="16"/>
      <c r="Q72" s="147"/>
      <c r="R72" s="16"/>
      <c r="S72" s="147"/>
      <c r="T72" s="79"/>
      <c r="U72" s="36"/>
      <c r="V72" s="148"/>
      <c r="W72" s="84"/>
      <c r="X72" s="16"/>
    </row>
    <row r="73" spans="8:24" ht="20" customHeight="1" x14ac:dyDescent="0.25">
      <c r="H73" s="147"/>
      <c r="I73" s="16"/>
      <c r="J73" s="16"/>
      <c r="K73" s="16"/>
      <c r="L73" s="16"/>
      <c r="M73" s="147"/>
      <c r="N73" s="16"/>
      <c r="O73" s="147"/>
      <c r="P73" s="16"/>
      <c r="Q73" s="147"/>
      <c r="R73" s="16"/>
      <c r="S73" s="147"/>
      <c r="T73" s="79"/>
      <c r="U73" s="36"/>
      <c r="V73" s="148"/>
      <c r="W73" s="84"/>
      <c r="X73" s="16"/>
    </row>
    <row r="74" spans="8:24" ht="20" customHeight="1" x14ac:dyDescent="0.25">
      <c r="H74" s="147"/>
      <c r="I74" s="16"/>
      <c r="J74" s="16"/>
      <c r="K74" s="16"/>
      <c r="L74" s="16"/>
      <c r="M74" s="147"/>
      <c r="N74" s="16"/>
      <c r="O74" s="147"/>
      <c r="P74" s="16"/>
      <c r="Q74" s="147"/>
      <c r="R74" s="16"/>
      <c r="S74" s="147"/>
      <c r="T74" s="79"/>
      <c r="U74" s="36"/>
      <c r="V74" s="148"/>
      <c r="W74" s="84"/>
      <c r="X74" s="16"/>
    </row>
    <row r="75" spans="8:24" ht="20" customHeight="1" x14ac:dyDescent="0.25">
      <c r="H75" s="147"/>
      <c r="I75" s="16"/>
      <c r="J75" s="16"/>
      <c r="K75" s="16"/>
      <c r="L75" s="16"/>
      <c r="M75" s="147"/>
      <c r="N75" s="16"/>
      <c r="O75" s="147"/>
      <c r="P75" s="16"/>
      <c r="Q75" s="147"/>
      <c r="R75" s="16"/>
      <c r="S75" s="147"/>
      <c r="T75" s="79"/>
      <c r="U75" s="36"/>
      <c r="V75" s="148"/>
      <c r="W75" s="84"/>
      <c r="X75" s="16"/>
    </row>
    <row r="76" spans="8:24" ht="20" customHeight="1" x14ac:dyDescent="0.25">
      <c r="H76" s="147"/>
      <c r="I76" s="16"/>
      <c r="J76" s="16"/>
      <c r="K76" s="16"/>
      <c r="L76" s="16"/>
      <c r="M76" s="147"/>
      <c r="N76" s="16"/>
      <c r="O76" s="147"/>
      <c r="P76" s="16"/>
      <c r="Q76" s="147"/>
      <c r="R76" s="16"/>
      <c r="S76" s="147"/>
      <c r="T76" s="79"/>
      <c r="U76" s="36"/>
      <c r="V76" s="148"/>
      <c r="W76" s="84"/>
      <c r="X76" s="16"/>
    </row>
    <row r="77" spans="8:24" ht="20" customHeight="1" x14ac:dyDescent="0.25">
      <c r="H77" s="147"/>
      <c r="I77" s="16"/>
      <c r="J77" s="16"/>
      <c r="K77" s="16"/>
      <c r="L77" s="16"/>
      <c r="M77" s="147"/>
      <c r="N77" s="16"/>
      <c r="O77" s="147"/>
      <c r="P77" s="16"/>
      <c r="Q77" s="147"/>
      <c r="R77" s="16"/>
      <c r="S77" s="147"/>
      <c r="T77" s="79"/>
      <c r="U77" s="36"/>
      <c r="V77" s="148"/>
      <c r="W77" s="84"/>
      <c r="X77" s="16"/>
    </row>
    <row r="78" spans="8:24" ht="20" customHeight="1" x14ac:dyDescent="0.25">
      <c r="H78" s="147"/>
      <c r="I78" s="16"/>
      <c r="J78" s="16"/>
      <c r="K78" s="16"/>
      <c r="L78" s="16"/>
      <c r="M78" s="147"/>
      <c r="N78" s="16"/>
      <c r="O78" s="147"/>
      <c r="P78" s="16"/>
      <c r="Q78" s="147"/>
      <c r="R78" s="16"/>
      <c r="S78" s="147"/>
      <c r="T78" s="79"/>
      <c r="U78" s="36"/>
      <c r="V78" s="148"/>
      <c r="W78" s="84"/>
      <c r="X78" s="16"/>
    </row>
    <row r="79" spans="8:24" ht="20" customHeight="1" x14ac:dyDescent="0.25">
      <c r="H79" s="147"/>
      <c r="I79" s="16"/>
      <c r="J79" s="16"/>
      <c r="K79" s="16"/>
      <c r="L79" s="16"/>
      <c r="M79" s="147"/>
      <c r="N79" s="16"/>
      <c r="O79" s="147"/>
      <c r="P79" s="16"/>
      <c r="Q79" s="147"/>
      <c r="R79" s="16"/>
      <c r="S79" s="147"/>
      <c r="T79" s="79"/>
      <c r="U79" s="36"/>
      <c r="V79" s="148"/>
      <c r="W79" s="84"/>
      <c r="X79" s="16"/>
    </row>
    <row r="80" spans="8:24" ht="20" customHeight="1" x14ac:dyDescent="0.25">
      <c r="H80" s="147"/>
      <c r="I80" s="16"/>
      <c r="J80" s="16"/>
      <c r="K80" s="16"/>
      <c r="L80" s="16"/>
      <c r="M80" s="147"/>
      <c r="N80" s="16"/>
      <c r="O80" s="147"/>
      <c r="P80" s="16"/>
      <c r="Q80" s="147"/>
      <c r="R80" s="16"/>
      <c r="S80" s="147"/>
      <c r="T80" s="79"/>
      <c r="U80" s="36"/>
      <c r="V80" s="148"/>
      <c r="W80" s="84"/>
      <c r="X80" s="16"/>
    </row>
    <row r="81" spans="8:24" ht="20" customHeight="1" x14ac:dyDescent="0.25">
      <c r="H81" s="147"/>
      <c r="I81" s="16"/>
      <c r="J81" s="16"/>
      <c r="K81" s="16"/>
      <c r="L81" s="16"/>
      <c r="M81" s="147"/>
      <c r="N81" s="16"/>
      <c r="O81" s="147"/>
      <c r="P81" s="16"/>
      <c r="Q81" s="147"/>
      <c r="R81" s="16"/>
      <c r="S81" s="147"/>
      <c r="T81" s="79"/>
      <c r="U81" s="36"/>
      <c r="V81" s="148"/>
      <c r="W81" s="84"/>
      <c r="X81" s="16"/>
    </row>
    <row r="82" spans="8:24" ht="20" customHeight="1" x14ac:dyDescent="0.25">
      <c r="H82" s="147"/>
      <c r="I82" s="16"/>
      <c r="J82" s="16"/>
      <c r="K82" s="16"/>
      <c r="L82" s="16"/>
      <c r="M82" s="147"/>
      <c r="N82" s="16"/>
      <c r="O82" s="147"/>
      <c r="P82" s="16"/>
      <c r="Q82" s="147"/>
      <c r="R82" s="16"/>
      <c r="S82" s="147"/>
      <c r="T82" s="79"/>
      <c r="U82" s="36"/>
      <c r="V82" s="148"/>
      <c r="W82" s="84"/>
      <c r="X82" s="16"/>
    </row>
    <row r="83" spans="8:24" ht="20" customHeight="1" x14ac:dyDescent="0.25">
      <c r="H83" s="147"/>
      <c r="I83" s="16"/>
      <c r="J83" s="16"/>
      <c r="K83" s="16"/>
      <c r="L83" s="16"/>
      <c r="M83" s="147"/>
      <c r="N83" s="16"/>
      <c r="O83" s="147"/>
      <c r="P83" s="16"/>
      <c r="Q83" s="147"/>
      <c r="R83" s="16"/>
      <c r="S83" s="147"/>
      <c r="T83" s="79"/>
      <c r="U83" s="36"/>
      <c r="V83" s="148"/>
      <c r="W83" s="84"/>
      <c r="X83" s="16"/>
    </row>
    <row r="84" spans="8:24" ht="20" customHeight="1" x14ac:dyDescent="0.25">
      <c r="H84" s="147"/>
      <c r="I84" s="16"/>
      <c r="J84" s="16"/>
      <c r="K84" s="16"/>
      <c r="L84" s="16"/>
      <c r="M84" s="147"/>
      <c r="N84" s="16"/>
      <c r="O84" s="147"/>
      <c r="P84" s="16"/>
      <c r="Q84" s="147"/>
      <c r="R84" s="16"/>
      <c r="S84" s="147"/>
      <c r="T84" s="79"/>
      <c r="U84" s="36"/>
      <c r="V84" s="148"/>
      <c r="W84" s="84"/>
      <c r="X84" s="16"/>
    </row>
    <row r="85" spans="8:24" ht="20" customHeight="1" x14ac:dyDescent="0.25">
      <c r="H85" s="147"/>
      <c r="I85" s="16"/>
      <c r="J85" s="16"/>
      <c r="K85" s="16"/>
      <c r="L85" s="16"/>
      <c r="M85" s="147"/>
      <c r="N85" s="16"/>
      <c r="O85" s="147"/>
      <c r="P85" s="16"/>
      <c r="Q85" s="147"/>
      <c r="R85" s="16"/>
      <c r="S85" s="147"/>
      <c r="T85" s="79"/>
      <c r="U85" s="36"/>
      <c r="V85" s="148"/>
      <c r="W85" s="84"/>
      <c r="X85" s="16"/>
    </row>
    <row r="86" spans="8:24" ht="20" customHeight="1" x14ac:dyDescent="0.25">
      <c r="H86" s="147"/>
      <c r="I86" s="16"/>
      <c r="J86" s="16"/>
      <c r="K86" s="16"/>
      <c r="L86" s="16"/>
      <c r="M86" s="147"/>
      <c r="N86" s="16"/>
      <c r="O86" s="147"/>
      <c r="P86" s="16"/>
      <c r="Q86" s="147"/>
      <c r="R86" s="16"/>
      <c r="S86" s="147"/>
      <c r="T86" s="79"/>
      <c r="U86" s="36"/>
      <c r="V86" s="148"/>
      <c r="W86" s="84"/>
      <c r="X86" s="16"/>
    </row>
    <row r="87" spans="8:24" ht="20" customHeight="1" x14ac:dyDescent="0.25">
      <c r="H87" s="147"/>
      <c r="I87" s="16"/>
      <c r="J87" s="16"/>
      <c r="K87" s="16"/>
      <c r="L87" s="16"/>
      <c r="M87" s="147"/>
      <c r="N87" s="16"/>
      <c r="O87" s="147"/>
      <c r="P87" s="16"/>
      <c r="Q87" s="147"/>
      <c r="R87" s="16"/>
      <c r="S87" s="147"/>
      <c r="T87" s="79"/>
      <c r="U87" s="36"/>
      <c r="V87" s="148"/>
      <c r="W87" s="84"/>
      <c r="X87" s="16"/>
    </row>
    <row r="88" spans="8:24" ht="20" customHeight="1" x14ac:dyDescent="0.25">
      <c r="H88" s="147"/>
      <c r="I88" s="16"/>
      <c r="J88" s="16"/>
      <c r="K88" s="16"/>
      <c r="L88" s="16"/>
      <c r="M88" s="147"/>
      <c r="N88" s="16"/>
      <c r="O88" s="147"/>
      <c r="P88" s="16"/>
      <c r="Q88" s="147"/>
      <c r="R88" s="16"/>
      <c r="S88" s="147"/>
      <c r="T88" s="79"/>
      <c r="U88" s="36"/>
      <c r="V88" s="148"/>
      <c r="W88" s="84"/>
      <c r="X88" s="16"/>
    </row>
    <row r="89" spans="8:24" ht="20" customHeight="1" x14ac:dyDescent="0.25">
      <c r="H89" s="147"/>
      <c r="I89" s="16"/>
      <c r="J89" s="16"/>
      <c r="K89" s="16"/>
      <c r="L89" s="16"/>
      <c r="M89" s="147"/>
      <c r="N89" s="16"/>
      <c r="O89" s="147"/>
      <c r="P89" s="16"/>
      <c r="Q89" s="147"/>
      <c r="R89" s="16"/>
      <c r="S89" s="147"/>
      <c r="T89" s="79"/>
      <c r="U89" s="36"/>
      <c r="V89" s="148"/>
      <c r="W89" s="84"/>
      <c r="X89" s="16"/>
    </row>
    <row r="90" spans="8:24" ht="20" customHeight="1" x14ac:dyDescent="0.25">
      <c r="H90" s="147"/>
      <c r="I90" s="16"/>
      <c r="J90" s="16"/>
      <c r="K90" s="16"/>
      <c r="L90" s="16"/>
      <c r="M90" s="147"/>
      <c r="N90" s="16"/>
      <c r="O90" s="147"/>
      <c r="P90" s="16"/>
      <c r="Q90" s="147"/>
      <c r="R90" s="16"/>
      <c r="S90" s="147"/>
      <c r="T90" s="79"/>
      <c r="U90" s="36"/>
      <c r="V90" s="148"/>
      <c r="W90" s="84"/>
      <c r="X90" s="16"/>
    </row>
    <row r="91" spans="8:24" ht="20" customHeight="1" x14ac:dyDescent="0.25">
      <c r="H91" s="147"/>
      <c r="I91" s="16"/>
      <c r="J91" s="16"/>
      <c r="K91" s="16"/>
      <c r="L91" s="16"/>
      <c r="M91" s="147"/>
      <c r="N91" s="16"/>
      <c r="O91" s="147"/>
      <c r="P91" s="16"/>
      <c r="Q91" s="147"/>
      <c r="R91" s="16"/>
      <c r="S91" s="147"/>
      <c r="T91" s="79"/>
      <c r="U91" s="36"/>
      <c r="V91" s="148"/>
      <c r="W91" s="84"/>
      <c r="X91" s="16"/>
    </row>
    <row r="92" spans="8:24" ht="20" customHeight="1" x14ac:dyDescent="0.25">
      <c r="H92" s="147"/>
      <c r="I92" s="16"/>
      <c r="J92" s="16"/>
      <c r="K92" s="16"/>
      <c r="L92" s="16"/>
      <c r="M92" s="147"/>
      <c r="N92" s="16"/>
      <c r="O92" s="147"/>
      <c r="P92" s="16"/>
      <c r="Q92" s="147"/>
      <c r="R92" s="16"/>
      <c r="S92" s="147"/>
      <c r="T92" s="79"/>
      <c r="U92" s="36"/>
      <c r="V92" s="148"/>
      <c r="W92" s="84"/>
      <c r="X92" s="16"/>
    </row>
    <row r="93" spans="8:24" ht="20" customHeight="1" x14ac:dyDescent="0.25">
      <c r="H93" s="147"/>
      <c r="I93" s="16"/>
      <c r="J93" s="16"/>
      <c r="K93" s="16"/>
      <c r="L93" s="16"/>
      <c r="M93" s="147"/>
      <c r="N93" s="16"/>
      <c r="O93" s="147"/>
      <c r="P93" s="16"/>
      <c r="Q93" s="147"/>
      <c r="R93" s="16"/>
      <c r="S93" s="147"/>
      <c r="T93" s="79"/>
      <c r="U93" s="36"/>
      <c r="V93" s="148"/>
      <c r="W93" s="84"/>
      <c r="X93" s="16"/>
    </row>
    <row r="94" spans="8:24" ht="20" customHeight="1" x14ac:dyDescent="0.25">
      <c r="H94" s="147"/>
      <c r="I94" s="16"/>
      <c r="J94" s="16"/>
      <c r="K94" s="16"/>
      <c r="L94" s="16"/>
      <c r="M94" s="147"/>
      <c r="N94" s="16"/>
      <c r="O94" s="147"/>
      <c r="P94" s="16"/>
      <c r="Q94" s="147"/>
      <c r="R94" s="16"/>
      <c r="S94" s="147"/>
      <c r="T94" s="79"/>
      <c r="U94" s="36"/>
      <c r="V94" s="148"/>
      <c r="W94" s="84"/>
      <c r="X94" s="16"/>
    </row>
    <row r="95" spans="8:24" ht="20" customHeight="1" x14ac:dyDescent="0.25">
      <c r="H95" s="147"/>
      <c r="I95" s="16"/>
      <c r="J95" s="16"/>
      <c r="K95" s="16"/>
      <c r="L95" s="16"/>
      <c r="M95" s="147"/>
      <c r="N95" s="16"/>
      <c r="O95" s="147"/>
      <c r="P95" s="16"/>
      <c r="Q95" s="147"/>
      <c r="R95" s="16"/>
      <c r="S95" s="147"/>
      <c r="T95" s="79"/>
      <c r="U95" s="36"/>
      <c r="V95" s="148"/>
      <c r="W95" s="84"/>
      <c r="X95" s="16"/>
    </row>
    <row r="96" spans="8:24" ht="20" customHeight="1" x14ac:dyDescent="0.25">
      <c r="H96" s="147"/>
      <c r="I96" s="16"/>
      <c r="J96" s="16"/>
      <c r="K96" s="16"/>
      <c r="L96" s="16"/>
      <c r="M96" s="147"/>
      <c r="N96" s="16"/>
      <c r="O96" s="147"/>
      <c r="P96" s="16"/>
      <c r="Q96" s="147"/>
      <c r="R96" s="16"/>
      <c r="S96" s="147"/>
      <c r="T96" s="79"/>
      <c r="U96" s="36"/>
      <c r="V96" s="148"/>
      <c r="W96" s="84"/>
      <c r="X96" s="16"/>
    </row>
    <row r="97" spans="8:24" ht="20" customHeight="1" x14ac:dyDescent="0.25">
      <c r="H97" s="147"/>
      <c r="I97" s="16"/>
      <c r="J97" s="16"/>
      <c r="K97" s="16"/>
      <c r="L97" s="16"/>
      <c r="M97" s="147"/>
      <c r="N97" s="16"/>
      <c r="O97" s="147"/>
      <c r="P97" s="16"/>
      <c r="Q97" s="147"/>
      <c r="R97" s="16"/>
      <c r="S97" s="147"/>
      <c r="T97" s="79"/>
      <c r="U97" s="36"/>
      <c r="V97" s="148"/>
      <c r="W97" s="84"/>
      <c r="X97" s="16"/>
    </row>
    <row r="98" spans="8:24" ht="20" customHeight="1" x14ac:dyDescent="0.25">
      <c r="H98" s="147"/>
      <c r="I98" s="16"/>
      <c r="J98" s="16"/>
      <c r="K98" s="16"/>
      <c r="L98" s="16"/>
      <c r="M98" s="147"/>
      <c r="N98" s="16"/>
      <c r="O98" s="147"/>
      <c r="P98" s="16"/>
      <c r="Q98" s="147"/>
      <c r="R98" s="16"/>
      <c r="S98" s="147"/>
      <c r="T98" s="79"/>
      <c r="U98" s="36"/>
      <c r="V98" s="148"/>
      <c r="W98" s="84"/>
      <c r="X98" s="16"/>
    </row>
    <row r="99" spans="8:24" ht="20" customHeight="1" x14ac:dyDescent="0.25">
      <c r="H99" s="147"/>
      <c r="I99" s="16"/>
      <c r="J99" s="16"/>
      <c r="K99" s="16"/>
      <c r="L99" s="16"/>
      <c r="M99" s="147"/>
      <c r="N99" s="16"/>
      <c r="O99" s="147"/>
      <c r="P99" s="16"/>
      <c r="Q99" s="147"/>
      <c r="R99" s="16"/>
      <c r="S99" s="147"/>
      <c r="T99" s="79"/>
      <c r="U99" s="36"/>
      <c r="V99" s="148"/>
      <c r="W99" s="84"/>
      <c r="X99" s="16"/>
    </row>
    <row r="100" spans="8:24" ht="20" customHeight="1" x14ac:dyDescent="0.25">
      <c r="H100" s="147"/>
      <c r="I100" s="16"/>
      <c r="J100" s="16"/>
      <c r="K100" s="16"/>
      <c r="L100" s="16"/>
      <c r="M100" s="147"/>
      <c r="N100" s="16"/>
      <c r="O100" s="147"/>
      <c r="P100" s="16"/>
      <c r="Q100" s="147"/>
      <c r="R100" s="16"/>
      <c r="S100" s="147"/>
      <c r="T100" s="79"/>
      <c r="U100" s="36"/>
      <c r="V100" s="148"/>
      <c r="W100" s="84"/>
      <c r="X100" s="16"/>
    </row>
    <row r="101" spans="8:24" ht="20" customHeight="1" x14ac:dyDescent="0.25">
      <c r="H101" s="147"/>
      <c r="I101" s="16"/>
      <c r="J101" s="16"/>
      <c r="K101" s="16"/>
      <c r="L101" s="16"/>
      <c r="M101" s="147"/>
      <c r="N101" s="16"/>
      <c r="O101" s="147"/>
      <c r="P101" s="16"/>
      <c r="Q101" s="147"/>
      <c r="R101" s="16"/>
      <c r="S101" s="147"/>
      <c r="T101" s="79"/>
      <c r="U101" s="36"/>
      <c r="V101" s="148"/>
      <c r="W101" s="84"/>
      <c r="X101" s="16"/>
    </row>
    <row r="102" spans="8:24" ht="20" customHeight="1" x14ac:dyDescent="0.25">
      <c r="H102" s="147"/>
      <c r="I102" s="16"/>
      <c r="J102" s="16"/>
      <c r="K102" s="16"/>
      <c r="L102" s="16"/>
      <c r="M102" s="147"/>
      <c r="N102" s="16"/>
      <c r="O102" s="147"/>
      <c r="P102" s="16"/>
      <c r="Q102" s="147"/>
      <c r="R102" s="16"/>
      <c r="S102" s="147"/>
      <c r="T102" s="79"/>
      <c r="U102" s="36"/>
      <c r="V102" s="148"/>
      <c r="W102" s="84"/>
      <c r="X102" s="16"/>
    </row>
    <row r="103" spans="8:24" ht="20" customHeight="1" x14ac:dyDescent="0.25">
      <c r="H103" s="147"/>
      <c r="I103" s="16"/>
      <c r="J103" s="16"/>
      <c r="K103" s="16"/>
      <c r="L103" s="16"/>
      <c r="M103" s="147"/>
      <c r="N103" s="16"/>
      <c r="O103" s="147"/>
      <c r="P103" s="16"/>
      <c r="Q103" s="147"/>
      <c r="R103" s="16"/>
      <c r="S103" s="147"/>
      <c r="T103" s="79"/>
      <c r="U103" s="36"/>
      <c r="V103" s="148"/>
      <c r="W103" s="84"/>
      <c r="X103" s="16"/>
    </row>
    <row r="104" spans="8:24" ht="20" customHeight="1" x14ac:dyDescent="0.25">
      <c r="H104" s="147"/>
      <c r="I104" s="16"/>
      <c r="J104" s="16"/>
      <c r="K104" s="16"/>
      <c r="L104" s="16"/>
      <c r="M104" s="147"/>
      <c r="N104" s="16"/>
      <c r="O104" s="147"/>
      <c r="P104" s="16"/>
      <c r="Q104" s="147"/>
      <c r="R104" s="16"/>
      <c r="S104" s="147"/>
      <c r="T104" s="79"/>
      <c r="U104" s="36"/>
      <c r="V104" s="148"/>
      <c r="W104" s="84"/>
      <c r="X104" s="16"/>
    </row>
    <row r="105" spans="8:24" ht="20" customHeight="1" x14ac:dyDescent="0.25">
      <c r="H105" s="147"/>
      <c r="I105" s="16"/>
      <c r="J105" s="16"/>
      <c r="K105" s="16"/>
      <c r="L105" s="16"/>
      <c r="M105" s="147"/>
      <c r="N105" s="16"/>
      <c r="O105" s="147"/>
      <c r="P105" s="16"/>
      <c r="Q105" s="147"/>
      <c r="R105" s="16"/>
      <c r="S105" s="147"/>
      <c r="T105" s="79"/>
      <c r="U105" s="36"/>
      <c r="V105" s="148"/>
      <c r="W105" s="84"/>
      <c r="X105" s="16"/>
    </row>
    <row r="106" spans="8:24" ht="20" customHeight="1" x14ac:dyDescent="0.25">
      <c r="H106" s="147"/>
      <c r="I106" s="16"/>
      <c r="J106" s="16"/>
      <c r="K106" s="16"/>
      <c r="L106" s="16"/>
      <c r="M106" s="147"/>
      <c r="N106" s="16"/>
      <c r="O106" s="147"/>
      <c r="P106" s="16"/>
      <c r="Q106" s="147"/>
      <c r="R106" s="16"/>
      <c r="S106" s="147"/>
      <c r="T106" s="79"/>
      <c r="U106" s="36"/>
      <c r="V106" s="148"/>
      <c r="W106" s="84"/>
      <c r="X106" s="16"/>
    </row>
    <row r="107" spans="8:24" ht="20" customHeight="1" x14ac:dyDescent="0.25">
      <c r="H107" s="147"/>
      <c r="I107" s="16"/>
      <c r="J107" s="16"/>
      <c r="K107" s="16"/>
      <c r="L107" s="16"/>
      <c r="M107" s="147"/>
      <c r="N107" s="16"/>
      <c r="O107" s="147"/>
      <c r="P107" s="16"/>
      <c r="Q107" s="147"/>
      <c r="R107" s="16"/>
      <c r="S107" s="147"/>
      <c r="T107" s="79"/>
      <c r="U107" s="36"/>
      <c r="V107" s="148"/>
      <c r="W107" s="84"/>
      <c r="X107" s="16"/>
    </row>
    <row r="108" spans="8:24" ht="20" customHeight="1" x14ac:dyDescent="0.25">
      <c r="H108" s="147"/>
      <c r="I108" s="16"/>
      <c r="J108" s="16"/>
      <c r="K108" s="16"/>
      <c r="L108" s="16"/>
      <c r="M108" s="147"/>
      <c r="N108" s="16"/>
      <c r="O108" s="147"/>
      <c r="P108" s="16"/>
      <c r="Q108" s="147"/>
      <c r="R108" s="16"/>
      <c r="S108" s="147"/>
      <c r="T108" s="79"/>
      <c r="U108" s="36"/>
      <c r="V108" s="148"/>
      <c r="W108" s="84"/>
      <c r="X108" s="16"/>
    </row>
    <row r="109" spans="8:24" ht="20" customHeight="1" x14ac:dyDescent="0.25">
      <c r="H109" s="147"/>
      <c r="I109" s="16"/>
      <c r="J109" s="16"/>
      <c r="K109" s="16"/>
      <c r="L109" s="16"/>
      <c r="M109" s="147"/>
      <c r="N109" s="16"/>
      <c r="O109" s="147"/>
      <c r="P109" s="16"/>
      <c r="Q109" s="147"/>
      <c r="R109" s="16"/>
      <c r="S109" s="147"/>
      <c r="T109" s="79"/>
      <c r="U109" s="36"/>
      <c r="V109" s="148"/>
      <c r="W109" s="84"/>
      <c r="X109" s="16"/>
    </row>
    <row r="110" spans="8:24" ht="20" customHeight="1" x14ac:dyDescent="0.25">
      <c r="H110" s="147"/>
      <c r="I110" s="16"/>
      <c r="J110" s="16"/>
      <c r="K110" s="16"/>
      <c r="L110" s="16"/>
      <c r="M110" s="147"/>
      <c r="N110" s="16"/>
      <c r="O110" s="147"/>
      <c r="P110" s="16"/>
      <c r="Q110" s="147"/>
      <c r="R110" s="16"/>
      <c r="S110" s="147"/>
      <c r="T110" s="79"/>
      <c r="U110" s="36"/>
      <c r="V110" s="148"/>
      <c r="W110" s="84"/>
      <c r="X110" s="16"/>
    </row>
    <row r="111" spans="8:24" ht="20" customHeight="1" x14ac:dyDescent="0.25">
      <c r="H111" s="147"/>
      <c r="I111" s="16"/>
      <c r="J111" s="16"/>
      <c r="K111" s="16"/>
      <c r="L111" s="16"/>
      <c r="M111" s="147"/>
      <c r="N111" s="16"/>
      <c r="O111" s="147"/>
      <c r="P111" s="16"/>
      <c r="Q111" s="147"/>
      <c r="R111" s="16"/>
      <c r="S111" s="147"/>
      <c r="T111" s="79"/>
      <c r="U111" s="36"/>
      <c r="V111" s="148"/>
      <c r="W111" s="84"/>
      <c r="X111" s="16"/>
    </row>
    <row r="112" spans="8:24" ht="20" customHeight="1" x14ac:dyDescent="0.25">
      <c r="H112" s="147"/>
      <c r="I112" s="16"/>
      <c r="J112" s="16"/>
      <c r="K112" s="16"/>
      <c r="L112" s="16"/>
      <c r="M112" s="147"/>
      <c r="N112" s="16"/>
      <c r="O112" s="147"/>
      <c r="P112" s="16"/>
      <c r="Q112" s="147"/>
      <c r="R112" s="16"/>
      <c r="S112" s="147"/>
      <c r="T112" s="79"/>
      <c r="U112" s="36"/>
      <c r="V112" s="148"/>
      <c r="W112" s="84"/>
      <c r="X112" s="16"/>
    </row>
    <row r="113" spans="8:24" ht="20" customHeight="1" x14ac:dyDescent="0.25">
      <c r="H113" s="147"/>
      <c r="I113" s="16"/>
      <c r="J113" s="16"/>
      <c r="K113" s="16"/>
      <c r="L113" s="16"/>
      <c r="M113" s="147"/>
      <c r="N113" s="16"/>
      <c r="O113" s="147"/>
      <c r="P113" s="16"/>
      <c r="Q113" s="147"/>
      <c r="R113" s="16"/>
      <c r="S113" s="147"/>
      <c r="T113" s="79"/>
      <c r="U113" s="36"/>
      <c r="V113" s="148"/>
      <c r="W113" s="84"/>
      <c r="X113" s="16"/>
    </row>
    <row r="114" spans="8:24" ht="20" customHeight="1" x14ac:dyDescent="0.25">
      <c r="H114" s="147"/>
      <c r="I114" s="16"/>
      <c r="J114" s="16"/>
      <c r="K114" s="16"/>
      <c r="L114" s="16"/>
      <c r="M114" s="147"/>
      <c r="N114" s="16"/>
      <c r="O114" s="147"/>
      <c r="P114" s="16"/>
      <c r="Q114" s="147"/>
      <c r="R114" s="16"/>
      <c r="S114" s="147"/>
      <c r="T114" s="79"/>
      <c r="U114" s="36"/>
      <c r="V114" s="148"/>
      <c r="W114" s="84"/>
      <c r="X114" s="16"/>
    </row>
    <row r="115" spans="8:24" ht="20" customHeight="1" x14ac:dyDescent="0.25">
      <c r="H115" s="147"/>
      <c r="I115" s="16"/>
      <c r="J115" s="16"/>
      <c r="K115" s="16"/>
      <c r="L115" s="16"/>
      <c r="M115" s="147"/>
      <c r="N115" s="16"/>
      <c r="O115" s="147"/>
      <c r="P115" s="16"/>
      <c r="Q115" s="147"/>
      <c r="R115" s="16"/>
      <c r="S115" s="147"/>
      <c r="T115" s="79"/>
      <c r="U115" s="36"/>
      <c r="V115" s="148"/>
      <c r="W115" s="84"/>
      <c r="X115" s="16"/>
    </row>
    <row r="116" spans="8:24" ht="20" customHeight="1" x14ac:dyDescent="0.25">
      <c r="H116" s="147"/>
      <c r="I116" s="16"/>
      <c r="J116" s="16"/>
      <c r="K116" s="16"/>
      <c r="L116" s="16"/>
      <c r="M116" s="147"/>
      <c r="N116" s="16"/>
      <c r="O116" s="147"/>
      <c r="P116" s="16"/>
      <c r="Q116" s="147"/>
      <c r="R116" s="16"/>
      <c r="S116" s="147"/>
      <c r="T116" s="79"/>
      <c r="U116" s="36"/>
      <c r="V116" s="148"/>
      <c r="W116" s="84"/>
      <c r="X116" s="16"/>
    </row>
    <row r="117" spans="8:24" ht="20" customHeight="1" x14ac:dyDescent="0.25">
      <c r="H117" s="147"/>
      <c r="I117" s="16"/>
      <c r="J117" s="16"/>
      <c r="K117" s="16"/>
      <c r="L117" s="16"/>
      <c r="M117" s="147"/>
      <c r="N117" s="16"/>
      <c r="O117" s="147"/>
      <c r="P117" s="16"/>
      <c r="Q117" s="147"/>
      <c r="R117" s="16"/>
      <c r="S117" s="147"/>
      <c r="T117" s="79"/>
      <c r="U117" s="36"/>
      <c r="V117" s="148"/>
      <c r="W117" s="84"/>
      <c r="X117" s="16"/>
    </row>
    <row r="118" spans="8:24" ht="20" customHeight="1" x14ac:dyDescent="0.25">
      <c r="H118" s="147"/>
      <c r="I118" s="16"/>
      <c r="J118" s="16"/>
      <c r="K118" s="16"/>
      <c r="L118" s="16"/>
      <c r="M118" s="147"/>
      <c r="N118" s="16"/>
      <c r="O118" s="147"/>
      <c r="P118" s="16"/>
      <c r="Q118" s="147"/>
      <c r="R118" s="16"/>
      <c r="S118" s="147"/>
      <c r="T118" s="79"/>
      <c r="U118" s="36"/>
      <c r="V118" s="148"/>
      <c r="W118" s="84"/>
      <c r="X118" s="16"/>
    </row>
    <row r="119" spans="8:24" ht="20" customHeight="1" x14ac:dyDescent="0.25">
      <c r="H119" s="147"/>
      <c r="I119" s="16"/>
      <c r="J119" s="16"/>
      <c r="K119" s="16"/>
      <c r="L119" s="16"/>
      <c r="M119" s="147"/>
      <c r="N119" s="16"/>
      <c r="O119" s="147"/>
      <c r="P119" s="16"/>
      <c r="Q119" s="147"/>
      <c r="R119" s="16"/>
      <c r="S119" s="147"/>
      <c r="T119" s="79"/>
      <c r="U119" s="36"/>
      <c r="V119" s="148"/>
      <c r="W119" s="84"/>
      <c r="X119" s="16"/>
    </row>
    <row r="120" spans="8:24" ht="20" customHeight="1" x14ac:dyDescent="0.25">
      <c r="H120" s="147"/>
      <c r="I120" s="16"/>
      <c r="J120" s="16"/>
      <c r="K120" s="16"/>
      <c r="L120" s="16"/>
      <c r="M120" s="147"/>
      <c r="N120" s="16"/>
      <c r="O120" s="147"/>
      <c r="P120" s="16"/>
      <c r="Q120" s="147"/>
      <c r="R120" s="16"/>
      <c r="S120" s="147"/>
      <c r="T120" s="79"/>
      <c r="U120" s="36"/>
      <c r="V120" s="148"/>
      <c r="W120" s="84"/>
      <c r="X120" s="16"/>
    </row>
    <row r="121" spans="8:24" ht="20" customHeight="1" x14ac:dyDescent="0.25">
      <c r="H121" s="147"/>
      <c r="I121" s="16"/>
      <c r="J121" s="16"/>
      <c r="K121" s="16"/>
      <c r="L121" s="16"/>
      <c r="M121" s="147"/>
      <c r="N121" s="16"/>
      <c r="O121" s="147"/>
      <c r="P121" s="16"/>
      <c r="Q121" s="147"/>
      <c r="R121" s="16"/>
      <c r="S121" s="147"/>
      <c r="T121" s="79"/>
      <c r="U121" s="36"/>
      <c r="V121" s="148"/>
      <c r="W121" s="84"/>
      <c r="X121" s="16"/>
    </row>
    <row r="122" spans="8:24" ht="20" customHeight="1" x14ac:dyDescent="0.25">
      <c r="H122" s="147"/>
      <c r="I122" s="16"/>
      <c r="J122" s="16"/>
      <c r="K122" s="16"/>
      <c r="L122" s="16"/>
      <c r="M122" s="147"/>
      <c r="N122" s="16"/>
      <c r="O122" s="147"/>
      <c r="P122" s="16"/>
      <c r="Q122" s="147"/>
      <c r="R122" s="16"/>
      <c r="S122" s="147"/>
      <c r="T122" s="79"/>
      <c r="U122" s="36"/>
      <c r="V122" s="148"/>
      <c r="W122" s="84"/>
      <c r="X122" s="16"/>
    </row>
    <row r="123" spans="8:24" ht="20" customHeight="1" x14ac:dyDescent="0.25">
      <c r="H123" s="147"/>
      <c r="I123" s="16"/>
      <c r="J123" s="16"/>
      <c r="K123" s="16"/>
      <c r="L123" s="16"/>
      <c r="M123" s="147"/>
      <c r="N123" s="16"/>
      <c r="O123" s="147"/>
      <c r="P123" s="16"/>
      <c r="Q123" s="147"/>
      <c r="R123" s="16"/>
      <c r="S123" s="147"/>
      <c r="T123" s="79"/>
      <c r="U123" s="36"/>
      <c r="V123" s="148"/>
      <c r="W123" s="84"/>
      <c r="X123" s="16"/>
    </row>
    <row r="124" spans="8:24" ht="20" customHeight="1" x14ac:dyDescent="0.25">
      <c r="H124" s="147"/>
      <c r="I124" s="16"/>
      <c r="J124" s="16"/>
      <c r="K124" s="16"/>
      <c r="L124" s="16"/>
      <c r="M124" s="147"/>
      <c r="N124" s="16"/>
      <c r="O124" s="147"/>
      <c r="P124" s="16"/>
      <c r="Q124" s="147"/>
      <c r="R124" s="16"/>
      <c r="S124" s="147"/>
      <c r="T124" s="79"/>
      <c r="U124" s="36"/>
      <c r="V124" s="148"/>
      <c r="W124" s="84"/>
      <c r="X124" s="16"/>
    </row>
    <row r="125" spans="8:24" ht="20" customHeight="1" x14ac:dyDescent="0.25">
      <c r="H125" s="147"/>
      <c r="I125" s="16"/>
      <c r="J125" s="16"/>
      <c r="K125" s="16"/>
      <c r="L125" s="16"/>
      <c r="M125" s="147"/>
      <c r="N125" s="16"/>
      <c r="O125" s="147"/>
      <c r="P125" s="16"/>
      <c r="Q125" s="147"/>
      <c r="R125" s="16"/>
      <c r="S125" s="147"/>
      <c r="T125" s="79"/>
      <c r="U125" s="36"/>
      <c r="V125" s="148"/>
      <c r="W125" s="84"/>
      <c r="X125" s="16"/>
    </row>
    <row r="126" spans="8:24" ht="20" customHeight="1" x14ac:dyDescent="0.25">
      <c r="H126" s="147"/>
      <c r="I126" s="16"/>
      <c r="J126" s="16"/>
      <c r="K126" s="16"/>
      <c r="L126" s="16"/>
      <c r="M126" s="147"/>
      <c r="N126" s="16"/>
      <c r="O126" s="147"/>
      <c r="P126" s="16"/>
      <c r="Q126" s="147"/>
      <c r="R126" s="16"/>
      <c r="S126" s="147"/>
      <c r="T126" s="79"/>
      <c r="U126" s="36"/>
      <c r="V126" s="148"/>
      <c r="W126" s="84"/>
      <c r="X126" s="16"/>
    </row>
    <row r="127" spans="8:24" ht="20" customHeight="1" x14ac:dyDescent="0.25">
      <c r="H127" s="147"/>
      <c r="I127" s="16"/>
      <c r="J127" s="16"/>
      <c r="K127" s="16"/>
      <c r="L127" s="16"/>
      <c r="M127" s="147"/>
      <c r="N127" s="16"/>
      <c r="O127" s="147"/>
      <c r="P127" s="16"/>
      <c r="Q127" s="147"/>
      <c r="R127" s="16"/>
      <c r="S127" s="147"/>
      <c r="T127" s="79"/>
      <c r="U127" s="36"/>
      <c r="V127" s="148"/>
      <c r="W127" s="84"/>
      <c r="X127" s="16"/>
    </row>
    <row r="128" spans="8:24" ht="20" customHeight="1" x14ac:dyDescent="0.25">
      <c r="H128" s="147"/>
      <c r="I128" s="16"/>
      <c r="J128" s="16"/>
      <c r="K128" s="16"/>
      <c r="L128" s="16"/>
      <c r="M128" s="147"/>
      <c r="N128" s="16"/>
      <c r="O128" s="147"/>
      <c r="P128" s="16"/>
      <c r="Q128" s="147"/>
      <c r="R128" s="16"/>
      <c r="S128" s="147"/>
      <c r="T128" s="79"/>
      <c r="U128" s="36"/>
      <c r="V128" s="148"/>
      <c r="W128" s="84"/>
      <c r="X128" s="16"/>
    </row>
    <row r="129" spans="8:24" ht="20" customHeight="1" x14ac:dyDescent="0.25">
      <c r="H129" s="147"/>
      <c r="I129" s="16"/>
      <c r="J129" s="16"/>
      <c r="K129" s="16"/>
      <c r="L129" s="16"/>
      <c r="M129" s="147"/>
      <c r="N129" s="16"/>
      <c r="O129" s="147"/>
      <c r="P129" s="16"/>
      <c r="Q129" s="147"/>
      <c r="R129" s="16"/>
      <c r="S129" s="147"/>
      <c r="T129" s="79"/>
      <c r="U129" s="36"/>
      <c r="V129" s="148"/>
      <c r="W129" s="84"/>
      <c r="X129" s="16"/>
    </row>
    <row r="130" spans="8:24" ht="20" customHeight="1" x14ac:dyDescent="0.25">
      <c r="H130" s="147"/>
      <c r="I130" s="16"/>
      <c r="J130" s="16"/>
      <c r="K130" s="16"/>
      <c r="L130" s="16"/>
      <c r="M130" s="147"/>
      <c r="N130" s="16"/>
      <c r="O130" s="147"/>
      <c r="P130" s="16"/>
      <c r="Q130" s="147"/>
      <c r="R130" s="16"/>
      <c r="S130" s="147"/>
      <c r="T130" s="79"/>
      <c r="U130" s="36"/>
      <c r="V130" s="148"/>
      <c r="W130" s="84"/>
      <c r="X130" s="16"/>
    </row>
    <row r="131" spans="8:24" ht="20" customHeight="1" x14ac:dyDescent="0.25">
      <c r="H131" s="147"/>
      <c r="I131" s="16"/>
      <c r="J131" s="16"/>
      <c r="K131" s="16"/>
      <c r="L131" s="16"/>
      <c r="M131" s="147"/>
      <c r="N131" s="16"/>
      <c r="O131" s="147"/>
      <c r="P131" s="16"/>
      <c r="Q131" s="147"/>
      <c r="R131" s="16"/>
      <c r="S131" s="147"/>
      <c r="T131" s="79"/>
      <c r="U131" s="36"/>
      <c r="V131" s="148"/>
      <c r="W131" s="84"/>
      <c r="X131" s="16"/>
    </row>
    <row r="132" spans="8:24" ht="20" customHeight="1" x14ac:dyDescent="0.25">
      <c r="H132" s="147"/>
      <c r="I132" s="16"/>
      <c r="J132" s="16"/>
      <c r="K132" s="16"/>
      <c r="L132" s="16"/>
      <c r="M132" s="147"/>
      <c r="N132" s="16"/>
      <c r="O132" s="147"/>
      <c r="P132" s="16"/>
      <c r="Q132" s="147"/>
      <c r="R132" s="16"/>
      <c r="S132" s="147"/>
      <c r="T132" s="79"/>
      <c r="U132" s="36"/>
      <c r="V132" s="148"/>
      <c r="W132" s="84"/>
      <c r="X132" s="16"/>
    </row>
    <row r="133" spans="8:24" ht="20" customHeight="1" x14ac:dyDescent="0.25">
      <c r="H133" s="147"/>
      <c r="I133" s="16"/>
      <c r="J133" s="16"/>
      <c r="K133" s="16"/>
      <c r="L133" s="16"/>
      <c r="M133" s="147"/>
      <c r="N133" s="16"/>
      <c r="O133" s="147"/>
      <c r="P133" s="16"/>
      <c r="Q133" s="147"/>
      <c r="R133" s="16"/>
      <c r="S133" s="147"/>
      <c r="T133" s="79"/>
      <c r="U133" s="36"/>
      <c r="V133" s="148"/>
      <c r="W133" s="84"/>
      <c r="X133" s="16"/>
    </row>
    <row r="134" spans="8:24" ht="20" customHeight="1" x14ac:dyDescent="0.25">
      <c r="H134" s="147"/>
      <c r="I134" s="16"/>
      <c r="J134" s="16"/>
      <c r="K134" s="16"/>
      <c r="L134" s="16"/>
      <c r="M134" s="147"/>
      <c r="N134" s="16"/>
      <c r="O134" s="147"/>
      <c r="P134" s="16"/>
      <c r="Q134" s="147"/>
      <c r="R134" s="16"/>
      <c r="S134" s="147"/>
      <c r="T134" s="79"/>
      <c r="U134" s="36"/>
      <c r="V134" s="148"/>
      <c r="W134" s="84"/>
      <c r="X134" s="16"/>
    </row>
    <row r="135" spans="8:24" ht="20" customHeight="1" x14ac:dyDescent="0.25">
      <c r="H135" s="147"/>
      <c r="I135" s="16"/>
      <c r="J135" s="16"/>
      <c r="K135" s="16"/>
      <c r="L135" s="16"/>
      <c r="M135" s="147"/>
      <c r="N135" s="16"/>
      <c r="O135" s="147"/>
      <c r="P135" s="16"/>
      <c r="Q135" s="147"/>
      <c r="R135" s="16"/>
      <c r="S135" s="147"/>
      <c r="T135" s="79"/>
      <c r="U135" s="36"/>
      <c r="V135" s="148"/>
      <c r="W135" s="84"/>
      <c r="X135" s="16"/>
    </row>
    <row r="136" spans="8:24" ht="20" customHeight="1" x14ac:dyDescent="0.25">
      <c r="H136" s="147"/>
      <c r="I136" s="16"/>
      <c r="J136" s="16"/>
      <c r="K136" s="16"/>
      <c r="L136" s="16"/>
      <c r="M136" s="147"/>
      <c r="N136" s="16"/>
      <c r="O136" s="147"/>
      <c r="P136" s="16"/>
      <c r="Q136" s="147"/>
      <c r="R136" s="16"/>
      <c r="S136" s="147"/>
      <c r="T136" s="79"/>
      <c r="U136" s="36"/>
      <c r="V136" s="148"/>
      <c r="W136" s="84"/>
      <c r="X136" s="16"/>
    </row>
    <row r="137" spans="8:24" ht="20" customHeight="1" x14ac:dyDescent="0.25">
      <c r="H137" s="147"/>
      <c r="I137" s="16"/>
      <c r="J137" s="16"/>
      <c r="K137" s="16"/>
      <c r="L137" s="16"/>
      <c r="M137" s="147"/>
      <c r="N137" s="16"/>
      <c r="O137" s="147"/>
      <c r="P137" s="16"/>
      <c r="Q137" s="147"/>
      <c r="R137" s="16"/>
      <c r="S137" s="147"/>
      <c r="T137" s="79"/>
      <c r="U137" s="36"/>
      <c r="V137" s="148"/>
      <c r="W137" s="84"/>
      <c r="X137" s="16"/>
    </row>
    <row r="138" spans="8:24" ht="20" customHeight="1" x14ac:dyDescent="0.25">
      <c r="H138" s="147"/>
      <c r="I138" s="16"/>
      <c r="J138" s="16"/>
      <c r="K138" s="16"/>
      <c r="L138" s="16"/>
      <c r="M138" s="147"/>
      <c r="N138" s="16"/>
      <c r="O138" s="147"/>
      <c r="P138" s="16"/>
      <c r="Q138" s="147"/>
      <c r="R138" s="16"/>
      <c r="S138" s="147"/>
      <c r="T138" s="79"/>
      <c r="U138" s="36"/>
      <c r="V138" s="148"/>
      <c r="W138" s="84"/>
      <c r="X138" s="16"/>
    </row>
    <row r="139" spans="8:24" ht="20" customHeight="1" x14ac:dyDescent="0.25">
      <c r="H139" s="147"/>
      <c r="I139" s="16"/>
      <c r="J139" s="16"/>
      <c r="K139" s="16"/>
      <c r="L139" s="16"/>
      <c r="M139" s="147"/>
      <c r="N139" s="16"/>
      <c r="O139" s="147"/>
      <c r="P139" s="16"/>
      <c r="Q139" s="147"/>
      <c r="R139" s="16"/>
      <c r="S139" s="147"/>
      <c r="T139" s="79"/>
      <c r="U139" s="36"/>
      <c r="V139" s="148"/>
      <c r="W139" s="84"/>
      <c r="X139" s="16"/>
    </row>
    <row r="140" spans="8:24" ht="20" customHeight="1" x14ac:dyDescent="0.25">
      <c r="H140" s="147"/>
      <c r="I140" s="16"/>
      <c r="J140" s="16"/>
      <c r="K140" s="16"/>
      <c r="L140" s="16"/>
      <c r="M140" s="147"/>
      <c r="N140" s="16"/>
      <c r="O140" s="147"/>
      <c r="P140" s="16"/>
      <c r="Q140" s="147"/>
      <c r="R140" s="16"/>
      <c r="S140" s="147"/>
      <c r="T140" s="79"/>
      <c r="U140" s="36"/>
      <c r="V140" s="148"/>
      <c r="W140" s="84"/>
      <c r="X140" s="16"/>
    </row>
    <row r="141" spans="8:24" ht="20" customHeight="1" x14ac:dyDescent="0.25">
      <c r="H141" s="147"/>
      <c r="I141" s="16"/>
      <c r="J141" s="16"/>
      <c r="K141" s="16"/>
      <c r="L141" s="16"/>
      <c r="M141" s="147"/>
      <c r="N141" s="16"/>
      <c r="O141" s="147"/>
      <c r="P141" s="16"/>
      <c r="Q141" s="147"/>
      <c r="R141" s="16"/>
      <c r="S141" s="147"/>
      <c r="T141" s="79"/>
      <c r="U141" s="36"/>
      <c r="V141" s="148"/>
      <c r="W141" s="84"/>
      <c r="X141" s="16"/>
    </row>
    <row r="142" spans="8:24" ht="20" customHeight="1" x14ac:dyDescent="0.25">
      <c r="H142" s="147"/>
      <c r="I142" s="16"/>
      <c r="J142" s="16"/>
      <c r="K142" s="16"/>
      <c r="L142" s="16"/>
      <c r="M142" s="147"/>
      <c r="N142" s="16"/>
      <c r="O142" s="147"/>
      <c r="P142" s="16"/>
      <c r="Q142" s="147"/>
      <c r="R142" s="16"/>
      <c r="S142" s="147"/>
      <c r="T142" s="79"/>
      <c r="U142" s="36"/>
      <c r="V142" s="148"/>
      <c r="W142" s="84"/>
      <c r="X142" s="16"/>
    </row>
    <row r="143" spans="8:24" ht="20" customHeight="1" x14ac:dyDescent="0.25">
      <c r="H143" s="147"/>
      <c r="I143" s="16"/>
      <c r="J143" s="16"/>
      <c r="K143" s="16"/>
      <c r="L143" s="16"/>
      <c r="M143" s="147"/>
      <c r="N143" s="16"/>
      <c r="O143" s="147"/>
      <c r="P143" s="16"/>
      <c r="Q143" s="147"/>
      <c r="R143" s="16"/>
      <c r="S143" s="147"/>
      <c r="T143" s="79"/>
      <c r="U143" s="36"/>
      <c r="V143" s="148"/>
      <c r="W143" s="84"/>
      <c r="X143" s="16"/>
    </row>
    <row r="144" spans="8:24" ht="20" customHeight="1" x14ac:dyDescent="0.25">
      <c r="H144" s="147"/>
      <c r="I144" s="16"/>
      <c r="J144" s="16"/>
      <c r="K144" s="16"/>
      <c r="L144" s="16"/>
      <c r="M144" s="147"/>
      <c r="N144" s="16"/>
      <c r="O144" s="147"/>
      <c r="P144" s="16"/>
      <c r="Q144" s="147"/>
      <c r="R144" s="16"/>
      <c r="S144" s="147"/>
      <c r="T144" s="79"/>
      <c r="U144" s="36"/>
      <c r="V144" s="148"/>
      <c r="W144" s="84"/>
      <c r="X144" s="16"/>
    </row>
    <row r="145" spans="8:24" ht="20" customHeight="1" x14ac:dyDescent="0.25">
      <c r="H145" s="147"/>
      <c r="I145" s="16"/>
      <c r="J145" s="16"/>
      <c r="K145" s="16"/>
      <c r="L145" s="16"/>
      <c r="M145" s="147"/>
      <c r="N145" s="16"/>
      <c r="O145" s="147"/>
      <c r="P145" s="16"/>
      <c r="Q145" s="147"/>
      <c r="R145" s="16"/>
      <c r="S145" s="147"/>
      <c r="T145" s="79"/>
      <c r="U145" s="36"/>
      <c r="V145" s="148"/>
      <c r="W145" s="84"/>
      <c r="X145" s="16"/>
    </row>
    <row r="146" spans="8:24" ht="20" customHeight="1" x14ac:dyDescent="0.25">
      <c r="H146" s="147"/>
      <c r="I146" s="16"/>
      <c r="J146" s="16"/>
      <c r="K146" s="16"/>
      <c r="L146" s="16"/>
      <c r="M146" s="147"/>
      <c r="N146" s="16"/>
      <c r="O146" s="147"/>
      <c r="P146" s="16"/>
      <c r="Q146" s="147"/>
      <c r="R146" s="16"/>
      <c r="S146" s="147"/>
      <c r="T146" s="79"/>
      <c r="U146" s="36"/>
      <c r="V146" s="148"/>
      <c r="W146" s="84"/>
      <c r="X146" s="16"/>
    </row>
    <row r="147" spans="8:24" ht="20" customHeight="1" x14ac:dyDescent="0.25">
      <c r="H147" s="147"/>
      <c r="I147" s="16"/>
      <c r="J147" s="16"/>
      <c r="K147" s="16"/>
      <c r="L147" s="16"/>
      <c r="M147" s="147"/>
      <c r="N147" s="16"/>
      <c r="O147" s="147"/>
      <c r="P147" s="16"/>
      <c r="Q147" s="147"/>
      <c r="R147" s="16"/>
      <c r="S147" s="147"/>
      <c r="T147" s="79"/>
      <c r="U147" s="36"/>
      <c r="V147" s="148"/>
      <c r="W147" s="84"/>
      <c r="X147" s="16"/>
    </row>
    <row r="148" spans="8:24" ht="20" customHeight="1" x14ac:dyDescent="0.25">
      <c r="H148" s="147"/>
      <c r="I148" s="16"/>
      <c r="J148" s="16"/>
      <c r="K148" s="16"/>
      <c r="L148" s="16"/>
      <c r="M148" s="147"/>
      <c r="N148" s="16"/>
      <c r="O148" s="147"/>
      <c r="P148" s="16"/>
      <c r="Q148" s="147"/>
      <c r="R148" s="16"/>
      <c r="S148" s="147"/>
      <c r="T148" s="79"/>
      <c r="U148" s="36"/>
      <c r="V148" s="148"/>
      <c r="W148" s="84"/>
      <c r="X148" s="16"/>
    </row>
    <row r="149" spans="8:24" ht="20" customHeight="1" x14ac:dyDescent="0.25">
      <c r="H149" s="147"/>
      <c r="I149" s="16"/>
      <c r="J149" s="16"/>
      <c r="K149" s="16"/>
      <c r="L149" s="16"/>
      <c r="M149" s="147"/>
      <c r="N149" s="16"/>
      <c r="O149" s="147"/>
      <c r="P149" s="16"/>
      <c r="Q149" s="147"/>
      <c r="R149" s="16"/>
      <c r="S149" s="147"/>
      <c r="T149" s="79"/>
      <c r="U149" s="36"/>
      <c r="V149" s="148"/>
      <c r="W149" s="84"/>
      <c r="X149" s="16"/>
    </row>
    <row r="150" spans="8:24" ht="20" customHeight="1" x14ac:dyDescent="0.25">
      <c r="H150" s="147"/>
      <c r="I150" s="16"/>
      <c r="J150" s="16"/>
      <c r="K150" s="16"/>
      <c r="L150" s="16"/>
      <c r="M150" s="147"/>
      <c r="N150" s="16"/>
      <c r="O150" s="147"/>
      <c r="P150" s="16"/>
      <c r="Q150" s="147"/>
      <c r="R150" s="16"/>
      <c r="S150" s="147"/>
      <c r="T150" s="79"/>
      <c r="U150" s="36"/>
      <c r="V150" s="148"/>
      <c r="W150" s="84"/>
      <c r="X150" s="16"/>
    </row>
    <row r="151" spans="8:24" ht="20" customHeight="1" x14ac:dyDescent="0.25">
      <c r="H151" s="147"/>
      <c r="I151" s="16"/>
      <c r="J151" s="16"/>
      <c r="K151" s="16"/>
      <c r="L151" s="16"/>
      <c r="M151" s="147"/>
      <c r="N151" s="16"/>
      <c r="O151" s="147"/>
      <c r="P151" s="16"/>
      <c r="Q151" s="147"/>
      <c r="R151" s="16"/>
      <c r="S151" s="147"/>
      <c r="T151" s="79"/>
      <c r="U151" s="36"/>
      <c r="V151" s="148"/>
      <c r="W151" s="84"/>
      <c r="X151" s="16"/>
    </row>
    <row r="152" spans="8:24" ht="20" customHeight="1" x14ac:dyDescent="0.25">
      <c r="H152" s="147"/>
      <c r="I152" s="16"/>
      <c r="J152" s="16"/>
      <c r="K152" s="16"/>
      <c r="L152" s="16"/>
      <c r="M152" s="147"/>
      <c r="N152" s="16"/>
      <c r="O152" s="147"/>
      <c r="P152" s="16"/>
      <c r="Q152" s="147"/>
      <c r="R152" s="16"/>
      <c r="S152" s="147"/>
      <c r="T152" s="79"/>
      <c r="U152" s="36"/>
      <c r="V152" s="148"/>
      <c r="W152" s="84"/>
      <c r="X152" s="16"/>
    </row>
    <row r="153" spans="8:24" ht="20" customHeight="1" x14ac:dyDescent="0.25">
      <c r="H153" s="147"/>
      <c r="I153" s="16"/>
      <c r="J153" s="16"/>
      <c r="K153" s="16"/>
      <c r="L153" s="16"/>
      <c r="M153" s="147"/>
      <c r="N153" s="16"/>
      <c r="O153" s="147"/>
      <c r="P153" s="16"/>
      <c r="Q153" s="147"/>
      <c r="R153" s="16"/>
      <c r="S153" s="147"/>
      <c r="T153" s="79"/>
      <c r="U153" s="36"/>
      <c r="V153" s="148"/>
      <c r="W153" s="84"/>
      <c r="X153" s="16"/>
    </row>
    <row r="154" spans="8:24" ht="20" customHeight="1" x14ac:dyDescent="0.25">
      <c r="H154" s="147"/>
      <c r="I154" s="16"/>
      <c r="J154" s="16"/>
      <c r="K154" s="16"/>
      <c r="L154" s="16"/>
      <c r="M154" s="147"/>
      <c r="N154" s="16"/>
      <c r="O154" s="147"/>
      <c r="P154" s="16"/>
      <c r="Q154" s="147"/>
      <c r="R154" s="16"/>
      <c r="S154" s="147"/>
      <c r="T154" s="79"/>
      <c r="U154" s="36"/>
      <c r="V154" s="148"/>
      <c r="W154" s="84"/>
      <c r="X154" s="16"/>
    </row>
    <row r="155" spans="8:24" ht="20" customHeight="1" x14ac:dyDescent="0.25">
      <c r="H155" s="147"/>
      <c r="I155" s="16"/>
      <c r="J155" s="16"/>
      <c r="K155" s="16"/>
      <c r="L155" s="16"/>
      <c r="M155" s="147"/>
      <c r="N155" s="16"/>
      <c r="O155" s="147"/>
      <c r="P155" s="16"/>
      <c r="Q155" s="147"/>
      <c r="R155" s="16"/>
      <c r="S155" s="147"/>
      <c r="T155" s="79"/>
      <c r="U155" s="36"/>
      <c r="V155" s="148"/>
      <c r="W155" s="84"/>
      <c r="X155" s="16"/>
    </row>
    <row r="156" spans="8:24" ht="20" customHeight="1" x14ac:dyDescent="0.25">
      <c r="H156" s="147"/>
      <c r="I156" s="16"/>
      <c r="J156" s="16"/>
      <c r="K156" s="16"/>
      <c r="L156" s="16"/>
      <c r="M156" s="147"/>
      <c r="N156" s="16"/>
      <c r="O156" s="147"/>
      <c r="P156" s="16"/>
      <c r="Q156" s="147"/>
      <c r="R156" s="16"/>
      <c r="S156" s="147"/>
      <c r="T156" s="79"/>
      <c r="U156" s="36"/>
      <c r="V156" s="148"/>
      <c r="W156" s="84"/>
      <c r="X156" s="16"/>
    </row>
    <row r="157" spans="8:24" ht="20" customHeight="1" x14ac:dyDescent="0.25">
      <c r="H157" s="147"/>
      <c r="I157" s="16"/>
      <c r="J157" s="16"/>
      <c r="K157" s="16"/>
      <c r="L157" s="16"/>
      <c r="M157" s="147"/>
      <c r="N157" s="16"/>
      <c r="O157" s="147"/>
      <c r="P157" s="16"/>
      <c r="Q157" s="147"/>
      <c r="R157" s="16"/>
      <c r="S157" s="147"/>
      <c r="T157" s="79"/>
      <c r="U157" s="36"/>
      <c r="V157" s="148"/>
      <c r="W157" s="84"/>
      <c r="X157" s="16"/>
    </row>
    <row r="158" spans="8:24" ht="20" customHeight="1" x14ac:dyDescent="0.25">
      <c r="H158" s="147"/>
      <c r="I158" s="16"/>
      <c r="J158" s="16"/>
      <c r="K158" s="16"/>
      <c r="L158" s="16"/>
      <c r="M158" s="147"/>
      <c r="N158" s="16"/>
      <c r="O158" s="147"/>
      <c r="P158" s="16"/>
      <c r="Q158" s="147"/>
      <c r="R158" s="16"/>
      <c r="S158" s="147"/>
      <c r="T158" s="79"/>
      <c r="U158" s="36"/>
      <c r="V158" s="148"/>
      <c r="W158" s="84"/>
      <c r="X158" s="16"/>
    </row>
    <row r="159" spans="8:24" ht="20" customHeight="1" x14ac:dyDescent="0.25">
      <c r="H159" s="147"/>
      <c r="I159" s="16"/>
      <c r="J159" s="16"/>
      <c r="K159" s="16"/>
      <c r="L159" s="16"/>
      <c r="M159" s="147"/>
      <c r="N159" s="16"/>
      <c r="O159" s="147"/>
      <c r="P159" s="16"/>
      <c r="Q159" s="147"/>
      <c r="R159" s="16"/>
      <c r="S159" s="147"/>
      <c r="T159" s="79"/>
      <c r="U159" s="36"/>
      <c r="V159" s="148"/>
      <c r="W159" s="84"/>
      <c r="X159" s="16"/>
    </row>
    <row r="160" spans="8:24" ht="20" customHeight="1" x14ac:dyDescent="0.25">
      <c r="H160" s="147"/>
      <c r="I160" s="16"/>
      <c r="J160" s="16"/>
      <c r="K160" s="16"/>
      <c r="L160" s="16"/>
      <c r="M160" s="147"/>
      <c r="N160" s="16"/>
      <c r="O160" s="147"/>
      <c r="P160" s="16"/>
      <c r="Q160" s="147"/>
      <c r="R160" s="16"/>
      <c r="S160" s="147"/>
      <c r="T160" s="79"/>
      <c r="U160" s="36"/>
      <c r="V160" s="148"/>
      <c r="W160" s="84"/>
      <c r="X160" s="16"/>
    </row>
    <row r="161" spans="8:24" ht="20" customHeight="1" x14ac:dyDescent="0.25">
      <c r="H161" s="147"/>
      <c r="I161" s="16"/>
      <c r="J161" s="16"/>
      <c r="K161" s="16"/>
      <c r="L161" s="16"/>
      <c r="M161" s="147"/>
      <c r="N161" s="16"/>
      <c r="O161" s="147"/>
      <c r="P161" s="16"/>
      <c r="Q161" s="147"/>
      <c r="R161" s="16"/>
      <c r="S161" s="147"/>
      <c r="T161" s="79"/>
      <c r="U161" s="36"/>
      <c r="V161" s="148"/>
      <c r="W161" s="84"/>
      <c r="X161" s="16"/>
    </row>
    <row r="162" spans="8:24" ht="20" customHeight="1" x14ac:dyDescent="0.25">
      <c r="H162" s="147"/>
      <c r="I162" s="16"/>
      <c r="J162" s="16"/>
      <c r="K162" s="16"/>
      <c r="L162" s="16"/>
      <c r="M162" s="147"/>
      <c r="N162" s="16"/>
      <c r="O162" s="147"/>
      <c r="P162" s="16"/>
      <c r="Q162" s="147"/>
      <c r="R162" s="16"/>
      <c r="S162" s="147"/>
      <c r="T162" s="79"/>
      <c r="U162" s="36"/>
      <c r="V162" s="148"/>
      <c r="W162" s="84"/>
      <c r="X162" s="16"/>
    </row>
    <row r="163" spans="8:24" ht="20" customHeight="1" x14ac:dyDescent="0.25">
      <c r="H163" s="147"/>
      <c r="I163" s="16"/>
      <c r="J163" s="16"/>
      <c r="K163" s="16"/>
      <c r="L163" s="16"/>
      <c r="M163" s="147"/>
      <c r="N163" s="16"/>
      <c r="O163" s="147"/>
      <c r="P163" s="16"/>
      <c r="Q163" s="147"/>
      <c r="R163" s="16"/>
      <c r="S163" s="147"/>
      <c r="T163" s="79"/>
      <c r="U163" s="36"/>
      <c r="V163" s="148"/>
      <c r="W163" s="84"/>
      <c r="X163" s="16"/>
    </row>
    <row r="164" spans="8:24" ht="20" customHeight="1" x14ac:dyDescent="0.25">
      <c r="H164" s="147"/>
      <c r="I164" s="16"/>
      <c r="J164" s="16"/>
      <c r="K164" s="16"/>
      <c r="L164" s="16"/>
      <c r="M164" s="147"/>
      <c r="N164" s="16"/>
      <c r="O164" s="147"/>
      <c r="P164" s="16"/>
      <c r="Q164" s="147"/>
      <c r="R164" s="16"/>
      <c r="S164" s="147"/>
      <c r="T164" s="79"/>
      <c r="U164" s="36"/>
      <c r="V164" s="148"/>
      <c r="W164" s="84"/>
      <c r="X164" s="16"/>
    </row>
    <row r="165" spans="8:24" ht="20" customHeight="1" x14ac:dyDescent="0.25">
      <c r="H165" s="147"/>
      <c r="I165" s="16"/>
      <c r="J165" s="16"/>
      <c r="K165" s="16"/>
      <c r="L165" s="16"/>
      <c r="M165" s="147"/>
      <c r="N165" s="16"/>
      <c r="O165" s="147"/>
      <c r="P165" s="16"/>
      <c r="Q165" s="147"/>
      <c r="R165" s="16"/>
      <c r="S165" s="147"/>
      <c r="T165" s="79"/>
      <c r="U165" s="36"/>
      <c r="V165" s="148"/>
      <c r="W165" s="84"/>
      <c r="X165" s="16"/>
    </row>
    <row r="166" spans="8:24" ht="20" customHeight="1" x14ac:dyDescent="0.25">
      <c r="H166" s="147"/>
      <c r="I166" s="16"/>
      <c r="J166" s="16"/>
      <c r="K166" s="16"/>
      <c r="L166" s="16"/>
      <c r="M166" s="147"/>
      <c r="N166" s="16"/>
      <c r="O166" s="147"/>
      <c r="P166" s="16"/>
      <c r="Q166" s="147"/>
      <c r="R166" s="16"/>
      <c r="S166" s="147"/>
      <c r="T166" s="79"/>
      <c r="U166" s="36"/>
      <c r="V166" s="148"/>
      <c r="W166" s="84"/>
      <c r="X166" s="16"/>
    </row>
    <row r="167" spans="8:24" ht="20" customHeight="1" x14ac:dyDescent="0.25">
      <c r="H167" s="147"/>
      <c r="I167" s="16"/>
      <c r="J167" s="16"/>
      <c r="K167" s="16"/>
      <c r="L167" s="16"/>
      <c r="M167" s="147"/>
      <c r="N167" s="16"/>
      <c r="O167" s="147"/>
      <c r="P167" s="16"/>
      <c r="Q167" s="147"/>
      <c r="R167" s="16"/>
      <c r="S167" s="147"/>
      <c r="T167" s="79"/>
      <c r="U167" s="36"/>
      <c r="V167" s="148"/>
      <c r="W167" s="84"/>
      <c r="X167" s="16"/>
    </row>
    <row r="168" spans="8:24" ht="20" customHeight="1" x14ac:dyDescent="0.25">
      <c r="H168" s="147"/>
      <c r="I168" s="16"/>
      <c r="J168" s="16"/>
      <c r="K168" s="16"/>
      <c r="L168" s="16"/>
      <c r="M168" s="147"/>
      <c r="N168" s="16"/>
      <c r="O168" s="147"/>
      <c r="P168" s="16"/>
      <c r="Q168" s="147"/>
      <c r="R168" s="16"/>
      <c r="S168" s="147"/>
      <c r="T168" s="79"/>
      <c r="U168" s="36"/>
      <c r="V168" s="148"/>
      <c r="W168" s="84"/>
      <c r="X168" s="16"/>
    </row>
    <row r="169" spans="8:24" ht="20" customHeight="1" x14ac:dyDescent="0.25">
      <c r="H169" s="147"/>
      <c r="I169" s="16"/>
      <c r="J169" s="16"/>
      <c r="K169" s="16"/>
      <c r="L169" s="16"/>
      <c r="M169" s="147"/>
      <c r="N169" s="16"/>
      <c r="O169" s="147"/>
      <c r="P169" s="16"/>
      <c r="Q169" s="147"/>
      <c r="R169" s="16"/>
      <c r="S169" s="147"/>
      <c r="T169" s="79"/>
      <c r="U169" s="36"/>
      <c r="V169" s="148"/>
      <c r="W169" s="84"/>
      <c r="X169" s="16"/>
    </row>
    <row r="170" spans="8:24" ht="20" customHeight="1" x14ac:dyDescent="0.25">
      <c r="H170" s="147"/>
      <c r="I170" s="16"/>
      <c r="J170" s="16"/>
      <c r="K170" s="16"/>
      <c r="L170" s="16"/>
      <c r="M170" s="147"/>
      <c r="N170" s="16"/>
      <c r="O170" s="147"/>
      <c r="P170" s="16"/>
      <c r="Q170" s="147"/>
      <c r="R170" s="16"/>
      <c r="S170" s="147"/>
      <c r="T170" s="79"/>
      <c r="U170" s="36"/>
      <c r="V170" s="148"/>
      <c r="W170" s="84"/>
      <c r="X170" s="16"/>
    </row>
    <row r="171" spans="8:24" ht="20" customHeight="1" x14ac:dyDescent="0.25">
      <c r="H171" s="147"/>
      <c r="I171" s="16"/>
      <c r="J171" s="16"/>
      <c r="K171" s="16"/>
      <c r="L171" s="16"/>
      <c r="M171" s="147"/>
      <c r="N171" s="16"/>
      <c r="O171" s="147"/>
      <c r="P171" s="16"/>
      <c r="Q171" s="147"/>
      <c r="R171" s="16"/>
      <c r="S171" s="147"/>
      <c r="T171" s="79"/>
      <c r="U171" s="36"/>
      <c r="V171" s="148"/>
      <c r="W171" s="84"/>
      <c r="X171" s="16"/>
    </row>
    <row r="172" spans="8:24" ht="20" customHeight="1" x14ac:dyDescent="0.25">
      <c r="H172" s="147"/>
      <c r="I172" s="16"/>
      <c r="J172" s="16"/>
      <c r="K172" s="16"/>
      <c r="L172" s="16"/>
      <c r="M172" s="147"/>
      <c r="N172" s="16"/>
      <c r="O172" s="147"/>
      <c r="P172" s="16"/>
      <c r="Q172" s="147"/>
      <c r="R172" s="16"/>
      <c r="S172" s="147"/>
      <c r="T172" s="79"/>
      <c r="U172" s="36"/>
      <c r="V172" s="148"/>
      <c r="W172" s="84"/>
      <c r="X172" s="16"/>
    </row>
    <row r="173" spans="8:24" ht="20" customHeight="1" x14ac:dyDescent="0.25">
      <c r="H173" s="147"/>
      <c r="I173" s="16"/>
      <c r="J173" s="16"/>
      <c r="K173" s="16"/>
      <c r="L173" s="16"/>
      <c r="M173" s="147"/>
      <c r="N173" s="16"/>
      <c r="O173" s="147"/>
      <c r="P173" s="16"/>
      <c r="Q173" s="147"/>
      <c r="R173" s="16"/>
      <c r="S173" s="147"/>
      <c r="T173" s="79"/>
      <c r="U173" s="36"/>
      <c r="V173" s="148"/>
      <c r="W173" s="84"/>
      <c r="X173" s="16"/>
    </row>
    <row r="174" spans="8:24" ht="20" customHeight="1" x14ac:dyDescent="0.25">
      <c r="H174" s="147"/>
      <c r="I174" s="16"/>
      <c r="J174" s="16"/>
      <c r="K174" s="16"/>
      <c r="L174" s="16"/>
      <c r="M174" s="147"/>
      <c r="N174" s="16"/>
      <c r="O174" s="147"/>
      <c r="P174" s="16"/>
      <c r="Q174" s="147"/>
      <c r="R174" s="16"/>
      <c r="S174" s="147"/>
      <c r="T174" s="79"/>
      <c r="U174" s="36"/>
      <c r="V174" s="148"/>
      <c r="W174" s="84"/>
      <c r="X174" s="16"/>
    </row>
    <row r="175" spans="8:24" ht="20" customHeight="1" x14ac:dyDescent="0.25">
      <c r="H175" s="147"/>
      <c r="I175" s="16"/>
      <c r="J175" s="16"/>
      <c r="K175" s="16"/>
      <c r="L175" s="16"/>
      <c r="M175" s="147"/>
      <c r="N175" s="16"/>
      <c r="O175" s="147"/>
      <c r="P175" s="16"/>
      <c r="Q175" s="147"/>
      <c r="R175" s="16"/>
      <c r="S175" s="147"/>
      <c r="T175" s="79"/>
      <c r="U175" s="36"/>
      <c r="V175" s="148"/>
      <c r="W175" s="84"/>
      <c r="X175" s="16"/>
    </row>
    <row r="176" spans="8:24" ht="20" customHeight="1" x14ac:dyDescent="0.25">
      <c r="H176" s="147"/>
      <c r="I176" s="16"/>
      <c r="J176" s="16"/>
      <c r="K176" s="16"/>
      <c r="L176" s="16"/>
      <c r="M176" s="147"/>
      <c r="N176" s="16"/>
      <c r="O176" s="147"/>
      <c r="P176" s="16"/>
      <c r="Q176" s="147"/>
      <c r="R176" s="16"/>
      <c r="S176" s="147"/>
      <c r="T176" s="79"/>
      <c r="U176" s="36"/>
      <c r="V176" s="148"/>
      <c r="W176" s="84"/>
      <c r="X176" s="16"/>
    </row>
    <row r="177" spans="8:24" ht="20" customHeight="1" x14ac:dyDescent="0.25">
      <c r="H177" s="147"/>
      <c r="I177" s="16"/>
      <c r="J177" s="16"/>
      <c r="K177" s="16"/>
      <c r="L177" s="16"/>
      <c r="M177" s="147"/>
      <c r="N177" s="16"/>
      <c r="O177" s="147"/>
      <c r="P177" s="16"/>
      <c r="Q177" s="147"/>
      <c r="R177" s="16"/>
      <c r="S177" s="147"/>
      <c r="T177" s="79"/>
      <c r="U177" s="36"/>
      <c r="V177" s="148"/>
      <c r="W177" s="84"/>
      <c r="X177" s="16"/>
    </row>
    <row r="178" spans="8:24" ht="20" customHeight="1" x14ac:dyDescent="0.25">
      <c r="H178" s="147"/>
      <c r="I178" s="16"/>
      <c r="J178" s="16"/>
      <c r="K178" s="16"/>
      <c r="L178" s="16"/>
      <c r="M178" s="147"/>
      <c r="N178" s="16"/>
      <c r="O178" s="147"/>
      <c r="P178" s="16"/>
      <c r="Q178" s="147"/>
      <c r="R178" s="16"/>
      <c r="S178" s="147"/>
      <c r="T178" s="79"/>
      <c r="U178" s="36"/>
      <c r="V178" s="148"/>
      <c r="W178" s="84"/>
      <c r="X178" s="16"/>
    </row>
    <row r="179" spans="8:24" ht="20" customHeight="1" x14ac:dyDescent="0.25">
      <c r="H179" s="147"/>
      <c r="I179" s="16"/>
      <c r="J179" s="16"/>
      <c r="K179" s="16"/>
      <c r="L179" s="16"/>
      <c r="M179" s="147"/>
      <c r="N179" s="16"/>
      <c r="O179" s="147"/>
      <c r="P179" s="16"/>
      <c r="Q179" s="147"/>
      <c r="R179" s="16"/>
      <c r="S179" s="147"/>
      <c r="T179" s="79"/>
      <c r="U179" s="36"/>
      <c r="V179" s="148"/>
      <c r="W179" s="84"/>
      <c r="X179" s="16"/>
    </row>
    <row r="180" spans="8:24" ht="20" customHeight="1" x14ac:dyDescent="0.25">
      <c r="H180" s="147"/>
      <c r="I180" s="16"/>
      <c r="J180" s="16"/>
      <c r="K180" s="16"/>
      <c r="L180" s="16"/>
      <c r="M180" s="147"/>
      <c r="N180" s="16"/>
      <c r="O180" s="147"/>
      <c r="P180" s="16"/>
      <c r="Q180" s="147"/>
      <c r="R180" s="16"/>
      <c r="S180" s="147"/>
      <c r="T180" s="79"/>
      <c r="U180" s="36"/>
      <c r="V180" s="148"/>
      <c r="W180" s="84"/>
      <c r="X180" s="16"/>
    </row>
    <row r="181" spans="8:24" ht="20" customHeight="1" x14ac:dyDescent="0.25">
      <c r="H181" s="147"/>
      <c r="I181" s="16"/>
      <c r="J181" s="16"/>
      <c r="K181" s="16"/>
      <c r="L181" s="16"/>
      <c r="M181" s="147"/>
      <c r="N181" s="16"/>
      <c r="O181" s="147"/>
      <c r="P181" s="16"/>
      <c r="Q181" s="147"/>
      <c r="R181" s="16"/>
      <c r="S181" s="147"/>
      <c r="T181" s="79"/>
      <c r="U181" s="36"/>
      <c r="V181" s="148"/>
      <c r="W181" s="84"/>
      <c r="X181" s="16"/>
    </row>
    <row r="182" spans="8:24" ht="20" customHeight="1" x14ac:dyDescent="0.25">
      <c r="H182" s="147"/>
      <c r="I182" s="16"/>
      <c r="J182" s="16"/>
      <c r="K182" s="16"/>
      <c r="L182" s="16"/>
      <c r="M182" s="147"/>
      <c r="N182" s="16"/>
      <c r="O182" s="147"/>
      <c r="P182" s="16"/>
      <c r="Q182" s="147"/>
      <c r="R182" s="16"/>
      <c r="S182" s="147"/>
      <c r="T182" s="79"/>
      <c r="U182" s="36"/>
      <c r="V182" s="148"/>
      <c r="W182" s="84"/>
      <c r="X182" s="16"/>
    </row>
    <row r="183" spans="8:24" ht="20" customHeight="1" x14ac:dyDescent="0.25">
      <c r="H183" s="147"/>
      <c r="I183" s="16"/>
      <c r="J183" s="16"/>
      <c r="K183" s="16"/>
      <c r="L183" s="16"/>
      <c r="M183" s="147"/>
      <c r="N183" s="16"/>
      <c r="O183" s="147"/>
      <c r="P183" s="16"/>
      <c r="Q183" s="147"/>
      <c r="R183" s="16"/>
      <c r="S183" s="147"/>
      <c r="T183" s="79"/>
      <c r="U183" s="36"/>
      <c r="V183" s="148"/>
      <c r="W183" s="84"/>
      <c r="X183" s="16"/>
    </row>
    <row r="184" spans="8:24" ht="20" customHeight="1" x14ac:dyDescent="0.25">
      <c r="H184" s="147"/>
      <c r="I184" s="16"/>
      <c r="J184" s="16"/>
      <c r="K184" s="16"/>
      <c r="L184" s="16"/>
      <c r="M184" s="147"/>
      <c r="N184" s="16"/>
      <c r="O184" s="147"/>
      <c r="P184" s="16"/>
      <c r="Q184" s="147"/>
      <c r="R184" s="16"/>
      <c r="S184" s="147"/>
      <c r="T184" s="79"/>
      <c r="U184" s="36"/>
      <c r="V184" s="148"/>
      <c r="W184" s="84"/>
      <c r="X184" s="16"/>
    </row>
    <row r="185" spans="8:24" ht="20" customHeight="1" x14ac:dyDescent="0.25">
      <c r="H185" s="147"/>
      <c r="I185" s="16"/>
      <c r="J185" s="16"/>
      <c r="K185" s="16"/>
      <c r="L185" s="16"/>
      <c r="M185" s="147"/>
      <c r="N185" s="16"/>
      <c r="O185" s="147"/>
      <c r="P185" s="16"/>
      <c r="Q185" s="147"/>
      <c r="R185" s="16"/>
      <c r="S185" s="147"/>
      <c r="T185" s="79"/>
      <c r="U185" s="36"/>
      <c r="V185" s="148"/>
      <c r="W185" s="84"/>
      <c r="X185" s="16"/>
    </row>
    <row r="186" spans="8:24" ht="20" customHeight="1" x14ac:dyDescent="0.25">
      <c r="H186" s="147"/>
      <c r="I186" s="16"/>
      <c r="J186" s="16"/>
      <c r="K186" s="16"/>
      <c r="L186" s="16"/>
      <c r="M186" s="147"/>
      <c r="N186" s="16"/>
      <c r="O186" s="147"/>
      <c r="P186" s="16"/>
      <c r="Q186" s="147"/>
      <c r="R186" s="16"/>
      <c r="S186" s="147"/>
      <c r="T186" s="79"/>
      <c r="U186" s="36"/>
      <c r="V186" s="148"/>
      <c r="W186" s="84"/>
      <c r="X186" s="16"/>
    </row>
    <row r="187" spans="8:24" ht="20" customHeight="1" x14ac:dyDescent="0.25">
      <c r="H187" s="147"/>
      <c r="I187" s="16"/>
      <c r="J187" s="16"/>
      <c r="K187" s="16"/>
      <c r="L187" s="16"/>
      <c r="M187" s="147"/>
      <c r="N187" s="16"/>
      <c r="O187" s="147"/>
      <c r="P187" s="16"/>
      <c r="Q187" s="147"/>
      <c r="R187" s="16"/>
      <c r="S187" s="147"/>
      <c r="T187" s="79"/>
      <c r="U187" s="36"/>
      <c r="V187" s="148"/>
      <c r="W187" s="84"/>
      <c r="X187" s="16"/>
    </row>
    <row r="188" spans="8:24" ht="20" customHeight="1" x14ac:dyDescent="0.25">
      <c r="H188" s="147"/>
      <c r="I188" s="16"/>
      <c r="J188" s="16"/>
      <c r="K188" s="16"/>
      <c r="L188" s="16"/>
      <c r="M188" s="147"/>
      <c r="N188" s="16"/>
      <c r="O188" s="147"/>
      <c r="P188" s="16"/>
      <c r="Q188" s="147"/>
      <c r="R188" s="16"/>
      <c r="S188" s="147"/>
      <c r="T188" s="79"/>
      <c r="U188" s="36"/>
      <c r="V188" s="148"/>
      <c r="W188" s="84"/>
      <c r="X188" s="16"/>
    </row>
    <row r="189" spans="8:24" ht="20" customHeight="1" x14ac:dyDescent="0.25">
      <c r="H189" s="147"/>
      <c r="I189" s="16"/>
      <c r="J189" s="16"/>
      <c r="K189" s="16"/>
      <c r="L189" s="16"/>
      <c r="M189" s="147"/>
      <c r="N189" s="16"/>
      <c r="O189" s="147"/>
      <c r="P189" s="16"/>
      <c r="Q189" s="147"/>
      <c r="R189" s="16"/>
      <c r="S189" s="147"/>
      <c r="T189" s="79"/>
      <c r="U189" s="36"/>
      <c r="V189" s="148"/>
      <c r="W189" s="84"/>
      <c r="X189" s="16"/>
    </row>
    <row r="190" spans="8:24" ht="20" customHeight="1" x14ac:dyDescent="0.25">
      <c r="H190" s="147"/>
      <c r="I190" s="16"/>
      <c r="J190" s="16"/>
      <c r="K190" s="16"/>
      <c r="L190" s="16"/>
      <c r="M190" s="147"/>
      <c r="N190" s="16"/>
      <c r="O190" s="147"/>
      <c r="P190" s="16"/>
      <c r="Q190" s="147"/>
      <c r="R190" s="16"/>
      <c r="S190" s="147"/>
      <c r="T190" s="79"/>
      <c r="U190" s="36"/>
      <c r="V190" s="148"/>
      <c r="W190" s="84"/>
      <c r="X190" s="16"/>
    </row>
    <row r="191" spans="8:24" ht="20" customHeight="1" x14ac:dyDescent="0.25">
      <c r="H191" s="147"/>
      <c r="I191" s="16"/>
      <c r="J191" s="16"/>
      <c r="K191" s="16"/>
      <c r="L191" s="16"/>
      <c r="M191" s="147"/>
      <c r="N191" s="16"/>
      <c r="O191" s="147"/>
      <c r="P191" s="16"/>
      <c r="Q191" s="147"/>
      <c r="R191" s="16"/>
      <c r="S191" s="147"/>
      <c r="T191" s="79"/>
      <c r="U191" s="36"/>
      <c r="V191" s="148"/>
      <c r="W191" s="84"/>
      <c r="X191" s="16"/>
    </row>
    <row r="192" spans="8:24" ht="20" customHeight="1" x14ac:dyDescent="0.25">
      <c r="H192" s="147"/>
      <c r="I192" s="16"/>
      <c r="J192" s="16"/>
      <c r="K192" s="16"/>
      <c r="L192" s="16"/>
      <c r="M192" s="147"/>
      <c r="N192" s="16"/>
      <c r="O192" s="147"/>
      <c r="P192" s="16"/>
      <c r="Q192" s="147"/>
      <c r="R192" s="16"/>
      <c r="S192" s="147"/>
      <c r="T192" s="79"/>
      <c r="U192" s="36"/>
      <c r="V192" s="148"/>
      <c r="W192" s="84"/>
      <c r="X192" s="16"/>
    </row>
    <row r="193" spans="8:24" ht="20" customHeight="1" x14ac:dyDescent="0.25">
      <c r="H193" s="147"/>
      <c r="I193" s="16"/>
      <c r="J193" s="16"/>
      <c r="K193" s="16"/>
      <c r="L193" s="16"/>
      <c r="M193" s="147"/>
      <c r="N193" s="16"/>
      <c r="O193" s="147"/>
      <c r="P193" s="16"/>
      <c r="Q193" s="147"/>
      <c r="R193" s="16"/>
      <c r="S193" s="147"/>
      <c r="T193" s="79"/>
      <c r="U193" s="36"/>
      <c r="V193" s="148"/>
      <c r="W193" s="84"/>
      <c r="X193" s="16"/>
    </row>
    <row r="194" spans="8:24" ht="20" customHeight="1" x14ac:dyDescent="0.25">
      <c r="H194" s="147"/>
      <c r="I194" s="16"/>
      <c r="J194" s="16"/>
      <c r="K194" s="16"/>
      <c r="L194" s="16"/>
      <c r="M194" s="147"/>
      <c r="N194" s="16"/>
      <c r="O194" s="147"/>
      <c r="P194" s="16"/>
      <c r="Q194" s="147"/>
      <c r="R194" s="16"/>
      <c r="S194" s="147"/>
      <c r="T194" s="79"/>
      <c r="U194" s="36"/>
      <c r="V194" s="148"/>
      <c r="W194" s="84"/>
      <c r="X194" s="16"/>
    </row>
    <row r="195" spans="8:24" ht="20" customHeight="1" x14ac:dyDescent="0.25">
      <c r="H195" s="147"/>
      <c r="I195" s="16"/>
      <c r="J195" s="16"/>
      <c r="K195" s="16"/>
      <c r="L195" s="16"/>
      <c r="M195" s="147"/>
      <c r="N195" s="16"/>
      <c r="O195" s="147"/>
      <c r="P195" s="16"/>
      <c r="Q195" s="147"/>
      <c r="R195" s="16"/>
      <c r="S195" s="147"/>
      <c r="T195" s="79"/>
      <c r="U195" s="36"/>
      <c r="V195" s="148"/>
      <c r="W195" s="84"/>
      <c r="X195" s="16"/>
    </row>
    <row r="196" spans="8:24" ht="20" customHeight="1" x14ac:dyDescent="0.25">
      <c r="H196" s="147"/>
      <c r="I196" s="16"/>
      <c r="J196" s="16"/>
      <c r="K196" s="16"/>
      <c r="L196" s="16"/>
      <c r="M196" s="147"/>
      <c r="N196" s="16"/>
      <c r="O196" s="147"/>
      <c r="P196" s="16"/>
      <c r="Q196" s="147"/>
      <c r="R196" s="16"/>
      <c r="S196" s="147"/>
      <c r="T196" s="79"/>
      <c r="U196" s="36"/>
      <c r="V196" s="148"/>
      <c r="W196" s="84"/>
      <c r="X196" s="16"/>
    </row>
    <row r="197" spans="8:24" ht="20" customHeight="1" x14ac:dyDescent="0.25">
      <c r="H197" s="147"/>
      <c r="I197" s="16"/>
      <c r="J197" s="16"/>
      <c r="K197" s="16"/>
      <c r="L197" s="16"/>
      <c r="M197" s="147"/>
      <c r="N197" s="16"/>
      <c r="O197" s="147"/>
      <c r="P197" s="16"/>
      <c r="Q197" s="147"/>
      <c r="R197" s="16"/>
      <c r="S197" s="147"/>
      <c r="T197" s="79"/>
      <c r="U197" s="36"/>
      <c r="V197" s="148"/>
      <c r="W197" s="84"/>
      <c r="X197" s="16"/>
    </row>
    <row r="198" spans="8:24" ht="20" customHeight="1" x14ac:dyDescent="0.25">
      <c r="H198" s="147"/>
      <c r="I198" s="16"/>
      <c r="J198" s="16"/>
      <c r="K198" s="16"/>
      <c r="L198" s="16"/>
      <c r="M198" s="147"/>
      <c r="N198" s="16"/>
      <c r="O198" s="147"/>
      <c r="P198" s="16"/>
      <c r="Q198" s="147"/>
      <c r="R198" s="16"/>
      <c r="S198" s="147"/>
      <c r="T198" s="79"/>
      <c r="U198" s="36"/>
      <c r="V198" s="148"/>
      <c r="W198" s="84"/>
      <c r="X198" s="16"/>
    </row>
    <row r="199" spans="8:24" ht="20" customHeight="1" x14ac:dyDescent="0.25">
      <c r="H199" s="147"/>
      <c r="I199" s="16"/>
      <c r="J199" s="16"/>
      <c r="K199" s="16"/>
      <c r="L199" s="16"/>
      <c r="M199" s="147"/>
      <c r="N199" s="16"/>
      <c r="O199" s="147"/>
      <c r="P199" s="16"/>
      <c r="Q199" s="147"/>
      <c r="R199" s="16"/>
      <c r="S199" s="147"/>
      <c r="T199" s="79"/>
      <c r="U199" s="36"/>
      <c r="V199" s="148"/>
      <c r="W199" s="84"/>
      <c r="X199" s="16"/>
    </row>
    <row r="200" spans="8:24" ht="20" customHeight="1" x14ac:dyDescent="0.25">
      <c r="H200" s="147"/>
      <c r="I200" s="16"/>
      <c r="J200" s="16"/>
      <c r="K200" s="16"/>
      <c r="L200" s="16"/>
      <c r="M200" s="147"/>
      <c r="N200" s="16"/>
      <c r="O200" s="147"/>
      <c r="P200" s="16"/>
      <c r="Q200" s="147"/>
      <c r="R200" s="16"/>
      <c r="S200" s="147"/>
      <c r="T200" s="79"/>
      <c r="U200" s="36"/>
      <c r="V200" s="148"/>
      <c r="W200" s="84"/>
      <c r="X200" s="16"/>
    </row>
    <row r="201" spans="8:24" ht="20" customHeight="1" x14ac:dyDescent="0.25">
      <c r="H201" s="147"/>
      <c r="I201" s="16"/>
      <c r="J201" s="16"/>
      <c r="K201" s="16"/>
      <c r="L201" s="16"/>
      <c r="M201" s="147"/>
      <c r="N201" s="16"/>
      <c r="O201" s="147"/>
      <c r="P201" s="16"/>
      <c r="Q201" s="147"/>
      <c r="R201" s="16"/>
      <c r="S201" s="147"/>
      <c r="T201" s="79"/>
      <c r="U201" s="36"/>
      <c r="V201" s="148"/>
      <c r="W201" s="84"/>
      <c r="X201" s="16"/>
    </row>
    <row r="202" spans="8:24" ht="20" customHeight="1" x14ac:dyDescent="0.25">
      <c r="H202" s="147"/>
      <c r="I202" s="16"/>
      <c r="J202" s="16"/>
      <c r="K202" s="16"/>
      <c r="L202" s="16"/>
      <c r="M202" s="147"/>
      <c r="N202" s="16"/>
      <c r="O202" s="147"/>
      <c r="P202" s="16"/>
      <c r="Q202" s="147"/>
      <c r="R202" s="16"/>
      <c r="S202" s="147"/>
      <c r="T202" s="79"/>
      <c r="U202" s="36"/>
      <c r="V202" s="148"/>
      <c r="W202" s="84"/>
      <c r="X202" s="16"/>
    </row>
    <row r="203" spans="8:24" ht="20" customHeight="1" x14ac:dyDescent="0.25">
      <c r="H203" s="147"/>
      <c r="I203" s="16"/>
      <c r="J203" s="16"/>
      <c r="K203" s="16"/>
      <c r="L203" s="16"/>
      <c r="M203" s="147"/>
      <c r="N203" s="16"/>
      <c r="O203" s="147"/>
      <c r="P203" s="16"/>
      <c r="Q203" s="147"/>
      <c r="R203" s="16"/>
      <c r="S203" s="147"/>
      <c r="T203" s="79"/>
      <c r="U203" s="36"/>
      <c r="V203" s="148"/>
      <c r="W203" s="84"/>
      <c r="X203" s="16"/>
    </row>
    <row r="204" spans="8:24" ht="20" customHeight="1" x14ac:dyDescent="0.25">
      <c r="H204" s="147"/>
      <c r="I204" s="16"/>
      <c r="J204" s="16"/>
      <c r="K204" s="16"/>
      <c r="L204" s="16"/>
      <c r="M204" s="147"/>
      <c r="N204" s="16"/>
      <c r="O204" s="147"/>
      <c r="P204" s="16"/>
      <c r="Q204" s="147"/>
      <c r="R204" s="16"/>
      <c r="S204" s="147"/>
      <c r="T204" s="79"/>
      <c r="U204" s="36"/>
      <c r="V204" s="148"/>
      <c r="W204" s="84"/>
      <c r="X204" s="16"/>
    </row>
    <row r="205" spans="8:24" ht="20" customHeight="1" x14ac:dyDescent="0.25">
      <c r="H205" s="147"/>
      <c r="I205" s="16"/>
      <c r="J205" s="16"/>
      <c r="K205" s="16"/>
      <c r="L205" s="16"/>
      <c r="M205" s="147"/>
      <c r="N205" s="16"/>
      <c r="O205" s="147"/>
      <c r="P205" s="16"/>
      <c r="Q205" s="147"/>
      <c r="R205" s="16"/>
      <c r="S205" s="147"/>
      <c r="T205" s="79"/>
      <c r="U205" s="36"/>
      <c r="V205" s="148"/>
      <c r="W205" s="84"/>
      <c r="X205" s="16"/>
    </row>
    <row r="206" spans="8:24" ht="20" customHeight="1" x14ac:dyDescent="0.25">
      <c r="H206" s="147"/>
      <c r="I206" s="16"/>
      <c r="J206" s="16"/>
      <c r="K206" s="16"/>
      <c r="L206" s="16"/>
      <c r="M206" s="147"/>
      <c r="N206" s="16"/>
      <c r="O206" s="147"/>
      <c r="P206" s="16"/>
      <c r="Q206" s="147"/>
      <c r="R206" s="16"/>
      <c r="S206" s="147"/>
      <c r="T206" s="79"/>
      <c r="U206" s="36"/>
      <c r="V206" s="148"/>
      <c r="W206" s="84"/>
      <c r="X206" s="16"/>
    </row>
    <row r="207" spans="8:24" ht="20" customHeight="1" x14ac:dyDescent="0.25">
      <c r="H207" s="147"/>
      <c r="I207" s="16"/>
      <c r="J207" s="16"/>
      <c r="K207" s="16"/>
      <c r="L207" s="16"/>
      <c r="M207" s="147"/>
      <c r="N207" s="16"/>
      <c r="O207" s="147"/>
      <c r="P207" s="16"/>
      <c r="Q207" s="147"/>
      <c r="R207" s="16"/>
      <c r="S207" s="147"/>
      <c r="T207" s="79"/>
      <c r="U207" s="36"/>
      <c r="V207" s="148"/>
      <c r="W207" s="84"/>
      <c r="X207" s="16"/>
    </row>
    <row r="208" spans="8:24" ht="20" customHeight="1" x14ac:dyDescent="0.25">
      <c r="H208" s="147"/>
      <c r="I208" s="16"/>
      <c r="J208" s="16"/>
      <c r="K208" s="16"/>
      <c r="L208" s="16"/>
      <c r="M208" s="147"/>
      <c r="N208" s="16"/>
      <c r="O208" s="147"/>
      <c r="P208" s="16"/>
      <c r="Q208" s="147"/>
      <c r="R208" s="16"/>
      <c r="S208" s="147"/>
      <c r="T208" s="79"/>
      <c r="U208" s="36"/>
      <c r="V208" s="148"/>
      <c r="W208" s="84"/>
      <c r="X208" s="16"/>
    </row>
    <row r="209" spans="8:24" ht="20" customHeight="1" x14ac:dyDescent="0.25">
      <c r="H209" s="147"/>
      <c r="I209" s="16"/>
      <c r="J209" s="16"/>
      <c r="K209" s="16"/>
      <c r="L209" s="16"/>
      <c r="M209" s="147"/>
      <c r="N209" s="16"/>
      <c r="O209" s="147"/>
      <c r="P209" s="16"/>
      <c r="Q209" s="147"/>
      <c r="R209" s="16"/>
      <c r="S209" s="147"/>
      <c r="T209" s="79"/>
      <c r="U209" s="36"/>
      <c r="V209" s="148"/>
      <c r="W209" s="84"/>
      <c r="X209" s="16"/>
    </row>
    <row r="210" spans="8:24" ht="20" customHeight="1" x14ac:dyDescent="0.25">
      <c r="H210" s="147"/>
      <c r="I210" s="16"/>
      <c r="J210" s="16"/>
      <c r="K210" s="16"/>
      <c r="L210" s="16"/>
      <c r="M210" s="147"/>
      <c r="N210" s="16"/>
      <c r="O210" s="147"/>
      <c r="P210" s="16"/>
      <c r="Q210" s="147"/>
      <c r="R210" s="16"/>
      <c r="S210" s="147"/>
      <c r="T210" s="79"/>
      <c r="U210" s="36"/>
      <c r="V210" s="148"/>
      <c r="W210" s="84"/>
      <c r="X210" s="16"/>
    </row>
    <row r="211" spans="8:24" ht="20" customHeight="1" x14ac:dyDescent="0.25">
      <c r="H211" s="147"/>
      <c r="I211" s="16"/>
      <c r="J211" s="16"/>
      <c r="K211" s="16"/>
      <c r="L211" s="16"/>
      <c r="M211" s="147"/>
      <c r="N211" s="16"/>
      <c r="O211" s="147"/>
      <c r="P211" s="16"/>
      <c r="Q211" s="147"/>
      <c r="R211" s="16"/>
      <c r="S211" s="147"/>
      <c r="T211" s="79"/>
      <c r="U211" s="36"/>
      <c r="V211" s="148"/>
      <c r="W211" s="84"/>
      <c r="X211" s="16"/>
    </row>
    <row r="212" spans="8:24" ht="20" customHeight="1" x14ac:dyDescent="0.25">
      <c r="H212" s="147"/>
      <c r="I212" s="16"/>
      <c r="J212" s="16"/>
      <c r="K212" s="16"/>
      <c r="L212" s="16"/>
      <c r="M212" s="147"/>
      <c r="N212" s="16"/>
      <c r="O212" s="147"/>
      <c r="P212" s="16"/>
      <c r="Q212" s="147"/>
      <c r="R212" s="16"/>
      <c r="S212" s="147"/>
      <c r="T212" s="79"/>
      <c r="U212" s="36"/>
      <c r="V212" s="148"/>
      <c r="W212" s="84"/>
      <c r="X212" s="16"/>
    </row>
    <row r="213" spans="8:24" ht="20" customHeight="1" x14ac:dyDescent="0.25">
      <c r="H213" s="147"/>
      <c r="I213" s="16"/>
      <c r="J213" s="16"/>
      <c r="K213" s="16"/>
      <c r="L213" s="16"/>
      <c r="M213" s="147"/>
      <c r="N213" s="16"/>
      <c r="O213" s="147"/>
      <c r="P213" s="16"/>
      <c r="Q213" s="147"/>
      <c r="R213" s="16"/>
      <c r="S213" s="147"/>
      <c r="T213" s="79"/>
      <c r="U213" s="36"/>
      <c r="V213" s="148"/>
      <c r="W213" s="84"/>
      <c r="X213" s="16"/>
    </row>
    <row r="214" spans="8:24" ht="20" customHeight="1" x14ac:dyDescent="0.25">
      <c r="H214" s="147"/>
      <c r="I214" s="16"/>
      <c r="J214" s="16"/>
      <c r="K214" s="16"/>
      <c r="L214" s="16"/>
      <c r="M214" s="147"/>
      <c r="N214" s="16"/>
      <c r="O214" s="147"/>
      <c r="P214" s="16"/>
      <c r="Q214" s="147"/>
      <c r="R214" s="16"/>
      <c r="S214" s="147"/>
      <c r="T214" s="79"/>
      <c r="U214" s="36"/>
      <c r="V214" s="148"/>
      <c r="W214" s="84"/>
      <c r="X214" s="16"/>
    </row>
    <row r="215" spans="8:24" ht="20" customHeight="1" x14ac:dyDescent="0.25">
      <c r="H215" s="147"/>
      <c r="I215" s="16"/>
      <c r="J215" s="16"/>
      <c r="K215" s="16"/>
      <c r="L215" s="16"/>
      <c r="M215" s="147"/>
      <c r="N215" s="16"/>
      <c r="O215" s="147"/>
      <c r="P215" s="16"/>
      <c r="Q215" s="147"/>
      <c r="R215" s="16"/>
      <c r="S215" s="147"/>
      <c r="T215" s="79"/>
      <c r="U215" s="36"/>
      <c r="V215" s="148"/>
      <c r="W215" s="84"/>
      <c r="X215" s="16"/>
    </row>
    <row r="216" spans="8:24" ht="20" customHeight="1" x14ac:dyDescent="0.25">
      <c r="H216" s="147"/>
      <c r="I216" s="16"/>
      <c r="J216" s="16"/>
      <c r="K216" s="16"/>
      <c r="L216" s="16"/>
      <c r="M216" s="147"/>
      <c r="N216" s="16"/>
      <c r="O216" s="147"/>
      <c r="P216" s="16"/>
      <c r="Q216" s="147"/>
      <c r="R216" s="16"/>
      <c r="S216" s="147"/>
      <c r="T216" s="79"/>
      <c r="U216" s="36"/>
      <c r="V216" s="148"/>
      <c r="W216" s="84"/>
      <c r="X216" s="16"/>
    </row>
    <row r="217" spans="8:24" ht="20" customHeight="1" x14ac:dyDescent="0.25">
      <c r="H217" s="147"/>
      <c r="I217" s="16"/>
      <c r="J217" s="16"/>
      <c r="K217" s="16"/>
      <c r="L217" s="16"/>
      <c r="M217" s="147"/>
      <c r="N217" s="16"/>
      <c r="O217" s="147"/>
      <c r="P217" s="16"/>
      <c r="Q217" s="147"/>
      <c r="R217" s="16"/>
      <c r="S217" s="147"/>
      <c r="T217" s="79"/>
      <c r="U217" s="36"/>
      <c r="V217" s="148"/>
      <c r="W217" s="84"/>
      <c r="X217" s="16"/>
    </row>
    <row r="218" spans="8:24" ht="20" customHeight="1" x14ac:dyDescent="0.25">
      <c r="H218" s="147"/>
      <c r="I218" s="16"/>
      <c r="J218" s="16"/>
      <c r="K218" s="16"/>
      <c r="L218" s="16"/>
      <c r="M218" s="147"/>
      <c r="N218" s="16"/>
      <c r="O218" s="147"/>
      <c r="P218" s="16"/>
      <c r="Q218" s="147"/>
      <c r="R218" s="16"/>
      <c r="S218" s="147"/>
      <c r="T218" s="79"/>
      <c r="U218" s="36"/>
      <c r="V218" s="148"/>
      <c r="W218" s="84"/>
      <c r="X218" s="16"/>
    </row>
    <row r="219" spans="8:24" ht="20" customHeight="1" x14ac:dyDescent="0.25">
      <c r="H219" s="147"/>
      <c r="I219" s="16"/>
      <c r="J219" s="16"/>
      <c r="K219" s="16"/>
      <c r="L219" s="16"/>
      <c r="M219" s="147"/>
      <c r="N219" s="16"/>
      <c r="O219" s="147"/>
      <c r="P219" s="16"/>
      <c r="Q219" s="147"/>
      <c r="R219" s="16"/>
      <c r="S219" s="147"/>
      <c r="T219" s="79"/>
      <c r="U219" s="36"/>
      <c r="V219" s="148"/>
      <c r="W219" s="84"/>
      <c r="X219" s="16"/>
    </row>
    <row r="220" spans="8:24" ht="20" customHeight="1" x14ac:dyDescent="0.25">
      <c r="H220" s="147"/>
      <c r="I220" s="16"/>
      <c r="J220" s="16"/>
      <c r="K220" s="16"/>
      <c r="L220" s="16"/>
      <c r="M220" s="147"/>
      <c r="N220" s="16"/>
      <c r="O220" s="147"/>
      <c r="P220" s="16"/>
      <c r="Q220" s="147"/>
      <c r="R220" s="16"/>
      <c r="S220" s="147"/>
      <c r="T220" s="79"/>
      <c r="U220" s="36"/>
      <c r="V220" s="148"/>
      <c r="W220" s="84"/>
      <c r="X220" s="16"/>
    </row>
    <row r="221" spans="8:24" ht="20" customHeight="1" x14ac:dyDescent="0.25">
      <c r="H221" s="147"/>
      <c r="I221" s="16"/>
      <c r="J221" s="16"/>
      <c r="K221" s="16"/>
      <c r="L221" s="16"/>
      <c r="M221" s="147"/>
      <c r="N221" s="16"/>
      <c r="O221" s="147"/>
      <c r="P221" s="16"/>
      <c r="Q221" s="147"/>
      <c r="R221" s="16"/>
      <c r="S221" s="147"/>
      <c r="T221" s="79"/>
      <c r="U221" s="36"/>
      <c r="V221" s="148"/>
      <c r="W221" s="84"/>
      <c r="X221" s="16"/>
    </row>
    <row r="222" spans="8:24" ht="20" customHeight="1" x14ac:dyDescent="0.25">
      <c r="H222" s="147"/>
      <c r="I222" s="16"/>
      <c r="J222" s="16"/>
      <c r="K222" s="16"/>
      <c r="L222" s="16"/>
      <c r="M222" s="147"/>
      <c r="N222" s="16"/>
      <c r="O222" s="147"/>
      <c r="P222" s="16"/>
      <c r="Q222" s="147"/>
      <c r="R222" s="16"/>
      <c r="S222" s="147"/>
      <c r="T222" s="79"/>
      <c r="U222" s="36"/>
      <c r="V222" s="148"/>
      <c r="W222" s="84"/>
      <c r="X222" s="16"/>
    </row>
    <row r="223" spans="8:24" ht="20" customHeight="1" x14ac:dyDescent="0.25">
      <c r="H223" s="147"/>
      <c r="I223" s="16"/>
      <c r="J223" s="16"/>
      <c r="K223" s="16"/>
      <c r="L223" s="16"/>
      <c r="M223" s="147"/>
      <c r="N223" s="16"/>
      <c r="O223" s="147"/>
      <c r="P223" s="16"/>
      <c r="Q223" s="147"/>
      <c r="R223" s="16"/>
      <c r="S223" s="147"/>
      <c r="T223" s="79"/>
      <c r="U223" s="36"/>
      <c r="V223" s="148"/>
      <c r="W223" s="84"/>
      <c r="X223" s="16"/>
    </row>
    <row r="224" spans="8:24" ht="20" customHeight="1" x14ac:dyDescent="0.25">
      <c r="H224" s="147"/>
      <c r="I224" s="16"/>
      <c r="J224" s="16"/>
      <c r="K224" s="16"/>
      <c r="L224" s="16"/>
      <c r="M224" s="147"/>
      <c r="N224" s="16"/>
      <c r="O224" s="147"/>
      <c r="P224" s="16"/>
      <c r="Q224" s="147"/>
      <c r="R224" s="16"/>
      <c r="S224" s="147"/>
      <c r="T224" s="79"/>
      <c r="U224" s="36"/>
      <c r="V224" s="148"/>
      <c r="W224" s="84"/>
      <c r="X224" s="16"/>
    </row>
    <row r="225" spans="8:24" ht="20" customHeight="1" x14ac:dyDescent="0.25">
      <c r="H225" s="147"/>
      <c r="I225" s="16"/>
      <c r="J225" s="16"/>
      <c r="K225" s="16"/>
      <c r="L225" s="16"/>
      <c r="M225" s="147"/>
      <c r="N225" s="16"/>
      <c r="O225" s="147"/>
      <c r="P225" s="16"/>
      <c r="Q225" s="147"/>
      <c r="R225" s="16"/>
      <c r="S225" s="147"/>
      <c r="T225" s="79"/>
      <c r="U225" s="36"/>
      <c r="V225" s="148"/>
      <c r="W225" s="84"/>
      <c r="X225" s="16"/>
    </row>
    <row r="226" spans="8:24" ht="20" customHeight="1" x14ac:dyDescent="0.25">
      <c r="H226" s="147"/>
      <c r="I226" s="16"/>
      <c r="J226" s="16"/>
      <c r="K226" s="16"/>
      <c r="L226" s="16"/>
      <c r="M226" s="147"/>
      <c r="N226" s="16"/>
      <c r="O226" s="147"/>
      <c r="P226" s="16"/>
      <c r="Q226" s="147"/>
      <c r="R226" s="16"/>
      <c r="S226" s="147"/>
      <c r="T226" s="79"/>
      <c r="U226" s="36"/>
      <c r="V226" s="148"/>
      <c r="W226" s="84"/>
      <c r="X226" s="16"/>
    </row>
    <row r="227" spans="8:24" ht="20" customHeight="1" x14ac:dyDescent="0.25">
      <c r="H227" s="147"/>
      <c r="I227" s="16"/>
      <c r="J227" s="16"/>
      <c r="K227" s="16"/>
      <c r="L227" s="16"/>
      <c r="M227" s="147"/>
      <c r="N227" s="16"/>
      <c r="O227" s="147"/>
      <c r="P227" s="16"/>
      <c r="Q227" s="147"/>
      <c r="R227" s="16"/>
      <c r="S227" s="147"/>
      <c r="T227" s="79"/>
      <c r="U227" s="36"/>
      <c r="V227" s="148"/>
      <c r="W227" s="84"/>
      <c r="X227" s="16"/>
    </row>
    <row r="228" spans="8:24" ht="20" customHeight="1" x14ac:dyDescent="0.25">
      <c r="H228" s="147"/>
      <c r="I228" s="16"/>
      <c r="J228" s="16"/>
      <c r="K228" s="16"/>
      <c r="L228" s="16"/>
      <c r="M228" s="147"/>
      <c r="N228" s="16"/>
      <c r="O228" s="147"/>
      <c r="P228" s="16"/>
      <c r="Q228" s="147"/>
      <c r="R228" s="16"/>
      <c r="S228" s="147"/>
      <c r="T228" s="79"/>
      <c r="U228" s="36"/>
      <c r="V228" s="148"/>
      <c r="W228" s="84"/>
      <c r="X228" s="16"/>
    </row>
    <row r="229" spans="8:24" ht="20" customHeight="1" x14ac:dyDescent="0.25">
      <c r="H229" s="147"/>
      <c r="I229" s="16"/>
      <c r="J229" s="16"/>
      <c r="K229" s="16"/>
      <c r="L229" s="16"/>
      <c r="M229" s="147"/>
      <c r="N229" s="16"/>
      <c r="O229" s="147"/>
      <c r="P229" s="16"/>
      <c r="Q229" s="147"/>
      <c r="R229" s="16"/>
      <c r="S229" s="147"/>
      <c r="T229" s="79"/>
      <c r="U229" s="36"/>
      <c r="V229" s="148"/>
      <c r="W229" s="84"/>
      <c r="X229" s="16"/>
    </row>
    <row r="230" spans="8:24" ht="20" customHeight="1" x14ac:dyDescent="0.25">
      <c r="H230" s="147"/>
      <c r="I230" s="16"/>
      <c r="J230" s="16"/>
      <c r="K230" s="16"/>
      <c r="L230" s="16"/>
      <c r="M230" s="147"/>
      <c r="N230" s="16"/>
      <c r="O230" s="147"/>
      <c r="P230" s="16"/>
      <c r="Q230" s="147"/>
      <c r="R230" s="16"/>
      <c r="S230" s="147"/>
      <c r="T230" s="79"/>
      <c r="U230" s="36"/>
      <c r="V230" s="148"/>
      <c r="W230" s="84"/>
      <c r="X230" s="16"/>
    </row>
    <row r="231" spans="8:24" ht="20" customHeight="1" x14ac:dyDescent="0.25">
      <c r="H231" s="147"/>
      <c r="I231" s="16"/>
      <c r="J231" s="16"/>
      <c r="K231" s="16"/>
      <c r="L231" s="16"/>
      <c r="M231" s="147"/>
      <c r="N231" s="16"/>
      <c r="O231" s="147"/>
      <c r="P231" s="16"/>
      <c r="Q231" s="147"/>
      <c r="R231" s="16"/>
      <c r="S231" s="147"/>
      <c r="T231" s="79"/>
      <c r="U231" s="36"/>
      <c r="V231" s="148"/>
      <c r="W231" s="84"/>
      <c r="X231" s="16"/>
    </row>
    <row r="232" spans="8:24" ht="20" customHeight="1" x14ac:dyDescent="0.25">
      <c r="H232" s="147"/>
      <c r="I232" s="16"/>
      <c r="J232" s="16"/>
      <c r="K232" s="16"/>
      <c r="L232" s="16"/>
      <c r="M232" s="147"/>
      <c r="N232" s="16"/>
      <c r="O232" s="147"/>
      <c r="P232" s="16"/>
      <c r="Q232" s="147"/>
      <c r="R232" s="16"/>
      <c r="S232" s="147"/>
      <c r="T232" s="79"/>
      <c r="U232" s="36"/>
      <c r="V232" s="148"/>
      <c r="W232" s="84"/>
      <c r="X232" s="16"/>
    </row>
    <row r="233" spans="8:24" ht="20" customHeight="1" x14ac:dyDescent="0.25">
      <c r="H233" s="147"/>
      <c r="I233" s="16"/>
      <c r="J233" s="16"/>
      <c r="K233" s="16"/>
      <c r="L233" s="16"/>
      <c r="M233" s="147"/>
      <c r="N233" s="16"/>
      <c r="O233" s="147"/>
      <c r="P233" s="16"/>
      <c r="Q233" s="147"/>
      <c r="R233" s="16"/>
      <c r="S233" s="147"/>
      <c r="T233" s="79"/>
      <c r="U233" s="36"/>
      <c r="V233" s="148"/>
      <c r="W233" s="84"/>
      <c r="X233" s="16"/>
    </row>
    <row r="234" spans="8:24" ht="20" customHeight="1" x14ac:dyDescent="0.25">
      <c r="H234" s="147"/>
      <c r="I234" s="16"/>
      <c r="J234" s="16"/>
      <c r="K234" s="16"/>
      <c r="L234" s="16"/>
      <c r="M234" s="147"/>
      <c r="N234" s="16"/>
      <c r="O234" s="147"/>
      <c r="P234" s="16"/>
      <c r="Q234" s="147"/>
      <c r="R234" s="16"/>
      <c r="S234" s="147"/>
      <c r="T234" s="79"/>
      <c r="U234" s="36"/>
      <c r="V234" s="148"/>
      <c r="W234" s="84"/>
      <c r="X234" s="16"/>
    </row>
    <row r="235" spans="8:24" ht="20" customHeight="1" x14ac:dyDescent="0.25">
      <c r="H235" s="147"/>
      <c r="I235" s="16"/>
      <c r="J235" s="16"/>
      <c r="K235" s="16"/>
      <c r="L235" s="16"/>
      <c r="M235" s="147"/>
      <c r="N235" s="16"/>
      <c r="O235" s="147"/>
      <c r="P235" s="16"/>
      <c r="Q235" s="147"/>
      <c r="R235" s="16"/>
      <c r="S235" s="147"/>
      <c r="T235" s="79"/>
      <c r="U235" s="36"/>
      <c r="V235" s="148"/>
      <c r="W235" s="84"/>
      <c r="X235" s="16"/>
    </row>
    <row r="236" spans="8:24" ht="20" customHeight="1" x14ac:dyDescent="0.25">
      <c r="H236" s="147"/>
      <c r="I236" s="16"/>
      <c r="J236" s="16"/>
      <c r="K236" s="16"/>
      <c r="L236" s="16"/>
      <c r="M236" s="147"/>
      <c r="N236" s="16"/>
      <c r="O236" s="147"/>
      <c r="P236" s="16"/>
      <c r="Q236" s="147"/>
      <c r="R236" s="16"/>
      <c r="S236" s="147"/>
      <c r="T236" s="79"/>
      <c r="U236" s="36"/>
      <c r="V236" s="148"/>
      <c r="W236" s="84"/>
      <c r="X236" s="16"/>
    </row>
    <row r="237" spans="8:24" ht="20" customHeight="1" x14ac:dyDescent="0.25">
      <c r="H237" s="147"/>
      <c r="I237" s="16"/>
      <c r="J237" s="16"/>
      <c r="K237" s="16"/>
      <c r="L237" s="16"/>
      <c r="M237" s="147"/>
      <c r="N237" s="16"/>
      <c r="O237" s="147"/>
      <c r="P237" s="16"/>
      <c r="Q237" s="147"/>
      <c r="R237" s="16"/>
      <c r="S237" s="147"/>
      <c r="T237" s="79"/>
      <c r="U237" s="36"/>
      <c r="V237" s="148"/>
      <c r="W237" s="84"/>
      <c r="X237" s="16"/>
    </row>
    <row r="238" spans="8:24" ht="20" customHeight="1" x14ac:dyDescent="0.25">
      <c r="H238" s="147"/>
      <c r="I238" s="16"/>
      <c r="J238" s="16"/>
      <c r="K238" s="16"/>
      <c r="L238" s="16"/>
      <c r="M238" s="147"/>
      <c r="N238" s="16"/>
      <c r="O238" s="147"/>
      <c r="P238" s="16"/>
      <c r="Q238" s="147"/>
      <c r="R238" s="16"/>
      <c r="S238" s="147"/>
      <c r="T238" s="79"/>
      <c r="U238" s="36"/>
      <c r="V238" s="148"/>
      <c r="W238" s="84"/>
      <c r="X238" s="16"/>
    </row>
    <row r="239" spans="8:24" ht="20" customHeight="1" x14ac:dyDescent="0.25">
      <c r="H239" s="147"/>
      <c r="I239" s="16"/>
      <c r="J239" s="16"/>
      <c r="K239" s="16"/>
      <c r="L239" s="16"/>
      <c r="M239" s="147"/>
      <c r="N239" s="16"/>
      <c r="O239" s="147"/>
      <c r="P239" s="16"/>
      <c r="Q239" s="147"/>
      <c r="R239" s="16"/>
      <c r="S239" s="147"/>
      <c r="T239" s="79"/>
      <c r="U239" s="36"/>
      <c r="V239" s="148"/>
      <c r="W239" s="84"/>
      <c r="X239" s="16"/>
    </row>
    <row r="240" spans="8:24" ht="20" customHeight="1" x14ac:dyDescent="0.25">
      <c r="H240" s="147"/>
      <c r="I240" s="16"/>
      <c r="J240" s="16"/>
      <c r="K240" s="16"/>
      <c r="L240" s="16"/>
      <c r="M240" s="147"/>
      <c r="N240" s="16"/>
      <c r="O240" s="147"/>
      <c r="P240" s="16"/>
      <c r="Q240" s="147"/>
      <c r="R240" s="16"/>
      <c r="S240" s="147"/>
      <c r="T240" s="79"/>
      <c r="U240" s="36"/>
      <c r="V240" s="148"/>
      <c r="W240" s="84"/>
      <c r="X240" s="16"/>
    </row>
    <row r="241" spans="8:24" ht="20" customHeight="1" x14ac:dyDescent="0.25">
      <c r="H241" s="147"/>
      <c r="I241" s="16"/>
      <c r="J241" s="16"/>
      <c r="K241" s="16"/>
      <c r="L241" s="16"/>
      <c r="M241" s="147"/>
      <c r="N241" s="16"/>
      <c r="O241" s="147"/>
      <c r="P241" s="16"/>
      <c r="Q241" s="147"/>
      <c r="R241" s="16"/>
      <c r="S241" s="147"/>
      <c r="T241" s="79"/>
      <c r="U241" s="36"/>
      <c r="V241" s="148"/>
      <c r="W241" s="84"/>
      <c r="X241" s="16"/>
    </row>
    <row r="242" spans="8:24" ht="20" customHeight="1" x14ac:dyDescent="0.25">
      <c r="H242" s="147"/>
      <c r="I242" s="16"/>
      <c r="J242" s="16"/>
      <c r="K242" s="16"/>
      <c r="L242" s="16"/>
      <c r="M242" s="147"/>
      <c r="N242" s="16"/>
      <c r="O242" s="147"/>
      <c r="P242" s="16"/>
      <c r="Q242" s="147"/>
      <c r="R242" s="16"/>
      <c r="S242" s="147"/>
      <c r="T242" s="79"/>
      <c r="U242" s="36"/>
      <c r="V242" s="148"/>
      <c r="W242" s="84"/>
      <c r="X242" s="16"/>
    </row>
    <row r="243" spans="8:24" ht="20" customHeight="1" x14ac:dyDescent="0.25">
      <c r="H243" s="147"/>
      <c r="I243" s="16"/>
      <c r="J243" s="16"/>
      <c r="K243" s="16"/>
      <c r="L243" s="16"/>
      <c r="M243" s="147"/>
      <c r="N243" s="16"/>
      <c r="O243" s="147"/>
      <c r="P243" s="16"/>
      <c r="Q243" s="147"/>
      <c r="R243" s="16"/>
      <c r="S243" s="147"/>
      <c r="T243" s="79"/>
      <c r="U243" s="36"/>
      <c r="V243" s="148"/>
      <c r="W243" s="84"/>
      <c r="X243" s="16"/>
    </row>
    <row r="244" spans="8:24" ht="20" customHeight="1" x14ac:dyDescent="0.25">
      <c r="H244" s="147"/>
      <c r="I244" s="16"/>
      <c r="J244" s="16"/>
      <c r="K244" s="16"/>
      <c r="L244" s="16"/>
      <c r="M244" s="147"/>
      <c r="N244" s="16"/>
      <c r="O244" s="147"/>
      <c r="P244" s="16"/>
      <c r="Q244" s="147"/>
      <c r="R244" s="16"/>
      <c r="S244" s="147"/>
      <c r="T244" s="79"/>
      <c r="U244" s="36"/>
      <c r="V244" s="148"/>
      <c r="W244" s="84"/>
      <c r="X244" s="16"/>
    </row>
    <row r="245" spans="8:24" ht="20" customHeight="1" x14ac:dyDescent="0.25">
      <c r="H245" s="147"/>
      <c r="I245" s="16"/>
      <c r="J245" s="16"/>
      <c r="K245" s="16"/>
      <c r="L245" s="16"/>
      <c r="M245" s="147"/>
      <c r="N245" s="16"/>
      <c r="O245" s="147"/>
      <c r="P245" s="16"/>
      <c r="Q245" s="147"/>
      <c r="R245" s="16"/>
      <c r="S245" s="147"/>
      <c r="T245" s="79"/>
      <c r="U245" s="36"/>
      <c r="V245" s="148"/>
      <c r="W245" s="84"/>
      <c r="X245" s="16"/>
    </row>
    <row r="246" spans="8:24" ht="20" customHeight="1" x14ac:dyDescent="0.25">
      <c r="H246" s="147"/>
      <c r="I246" s="16"/>
      <c r="J246" s="16"/>
      <c r="K246" s="16"/>
      <c r="L246" s="16"/>
      <c r="M246" s="147"/>
      <c r="N246" s="16"/>
      <c r="O246" s="147"/>
      <c r="P246" s="16"/>
      <c r="Q246" s="147"/>
      <c r="R246" s="16"/>
      <c r="S246" s="147"/>
      <c r="T246" s="79"/>
      <c r="U246" s="36"/>
      <c r="V246" s="148"/>
      <c r="W246" s="84"/>
      <c r="X246" s="16"/>
    </row>
    <row r="247" spans="8:24" ht="20" customHeight="1" x14ac:dyDescent="0.25">
      <c r="H247" s="147"/>
      <c r="I247" s="16"/>
      <c r="J247" s="16"/>
      <c r="K247" s="16"/>
      <c r="L247" s="16"/>
      <c r="M247" s="147"/>
      <c r="N247" s="16"/>
      <c r="O247" s="147"/>
      <c r="P247" s="16"/>
      <c r="Q247" s="147"/>
      <c r="R247" s="16"/>
      <c r="S247" s="147"/>
      <c r="T247" s="79"/>
      <c r="U247" s="36"/>
      <c r="V247" s="148"/>
      <c r="W247" s="84"/>
      <c r="X247" s="16"/>
    </row>
    <row r="248" spans="8:24" ht="20" customHeight="1" x14ac:dyDescent="0.25">
      <c r="H248" s="147"/>
      <c r="I248" s="16"/>
      <c r="J248" s="16"/>
      <c r="K248" s="16"/>
      <c r="L248" s="16"/>
      <c r="M248" s="147"/>
      <c r="N248" s="16"/>
      <c r="O248" s="147"/>
      <c r="P248" s="16"/>
      <c r="Q248" s="147"/>
      <c r="R248" s="16"/>
      <c r="S248" s="147"/>
      <c r="T248" s="79"/>
      <c r="U248" s="36"/>
      <c r="V248" s="148"/>
      <c r="W248" s="84"/>
      <c r="X248" s="16"/>
    </row>
    <row r="249" spans="8:24" ht="20" customHeight="1" x14ac:dyDescent="0.25">
      <c r="H249" s="147"/>
      <c r="I249" s="16"/>
      <c r="J249" s="16"/>
      <c r="K249" s="16"/>
      <c r="L249" s="16"/>
      <c r="M249" s="147"/>
      <c r="N249" s="16"/>
      <c r="O249" s="147"/>
      <c r="P249" s="16"/>
      <c r="Q249" s="147"/>
      <c r="R249" s="16"/>
      <c r="S249" s="147"/>
      <c r="T249" s="79"/>
      <c r="U249" s="36"/>
      <c r="V249" s="148"/>
      <c r="W249" s="84"/>
      <c r="X249" s="16"/>
    </row>
    <row r="250" spans="8:24" ht="20" customHeight="1" x14ac:dyDescent="0.25">
      <c r="H250" s="147"/>
      <c r="I250" s="16"/>
      <c r="J250" s="16"/>
      <c r="K250" s="16"/>
      <c r="L250" s="16"/>
      <c r="M250" s="147"/>
      <c r="N250" s="16"/>
      <c r="O250" s="147"/>
      <c r="P250" s="16"/>
      <c r="Q250" s="147"/>
      <c r="R250" s="16"/>
      <c r="S250" s="147"/>
      <c r="T250" s="79"/>
      <c r="U250" s="36"/>
      <c r="V250" s="148"/>
      <c r="W250" s="84"/>
      <c r="X250" s="16"/>
    </row>
    <row r="251" spans="8:24" ht="20" customHeight="1" x14ac:dyDescent="0.25">
      <c r="H251" s="147"/>
      <c r="I251" s="16"/>
      <c r="J251" s="16"/>
      <c r="K251" s="16"/>
      <c r="L251" s="16"/>
      <c r="M251" s="147"/>
      <c r="N251" s="16"/>
      <c r="O251" s="147"/>
      <c r="P251" s="16"/>
      <c r="Q251" s="147"/>
      <c r="R251" s="16"/>
      <c r="S251" s="147"/>
      <c r="T251" s="79"/>
      <c r="U251" s="36"/>
      <c r="V251" s="148"/>
      <c r="W251" s="84"/>
      <c r="X251" s="16"/>
    </row>
    <row r="252" spans="8:24" ht="20" customHeight="1" x14ac:dyDescent="0.25">
      <c r="H252" s="147"/>
      <c r="I252" s="16"/>
      <c r="J252" s="16"/>
      <c r="K252" s="16"/>
      <c r="L252" s="16"/>
      <c r="M252" s="147"/>
      <c r="N252" s="16"/>
      <c r="O252" s="147"/>
      <c r="P252" s="16"/>
      <c r="Q252" s="147"/>
      <c r="R252" s="16"/>
      <c r="S252" s="147"/>
      <c r="T252" s="79"/>
      <c r="U252" s="36"/>
      <c r="V252" s="148"/>
      <c r="W252" s="84"/>
      <c r="X252" s="16"/>
    </row>
    <row r="253" spans="8:24" ht="20" customHeight="1" x14ac:dyDescent="0.25">
      <c r="H253" s="147"/>
      <c r="I253" s="16"/>
      <c r="J253" s="16"/>
      <c r="K253" s="16"/>
      <c r="L253" s="16"/>
      <c r="M253" s="147"/>
      <c r="N253" s="16"/>
      <c r="O253" s="147"/>
      <c r="P253" s="16"/>
      <c r="Q253" s="147"/>
      <c r="R253" s="16"/>
      <c r="S253" s="147"/>
      <c r="T253" s="79"/>
      <c r="U253" s="36"/>
      <c r="V253" s="148"/>
      <c r="W253" s="84"/>
      <c r="X253" s="16"/>
    </row>
    <row r="254" spans="8:24" ht="20" customHeight="1" x14ac:dyDescent="0.25">
      <c r="H254" s="147"/>
      <c r="I254" s="16"/>
      <c r="J254" s="16"/>
      <c r="K254" s="16"/>
      <c r="L254" s="16"/>
      <c r="M254" s="147"/>
      <c r="N254" s="16"/>
      <c r="O254" s="147"/>
      <c r="P254" s="16"/>
      <c r="Q254" s="147"/>
      <c r="R254" s="16"/>
      <c r="S254" s="147"/>
      <c r="T254" s="79"/>
      <c r="U254" s="36"/>
      <c r="V254" s="148"/>
      <c r="W254" s="84"/>
      <c r="X254" s="16"/>
    </row>
    <row r="255" spans="8:24" ht="20" customHeight="1" x14ac:dyDescent="0.25">
      <c r="H255" s="147"/>
      <c r="I255" s="16"/>
      <c r="J255" s="16"/>
      <c r="K255" s="16"/>
      <c r="L255" s="16"/>
      <c r="M255" s="147"/>
      <c r="N255" s="16"/>
      <c r="O255" s="147"/>
      <c r="P255" s="16"/>
      <c r="Q255" s="147"/>
      <c r="R255" s="16"/>
      <c r="S255" s="147"/>
      <c r="T255" s="79"/>
      <c r="U255" s="36"/>
      <c r="V255" s="148"/>
      <c r="W255" s="84"/>
      <c r="X255" s="16"/>
    </row>
    <row r="256" spans="8:24" ht="20" customHeight="1" x14ac:dyDescent="0.25">
      <c r="H256" s="147"/>
      <c r="I256" s="16"/>
      <c r="J256" s="16"/>
      <c r="K256" s="16"/>
      <c r="L256" s="16"/>
      <c r="M256" s="147"/>
      <c r="N256" s="16"/>
      <c r="O256" s="147"/>
      <c r="P256" s="16"/>
      <c r="Q256" s="147"/>
      <c r="R256" s="16"/>
      <c r="S256" s="147"/>
      <c r="T256" s="79"/>
      <c r="U256" s="36"/>
      <c r="V256" s="148"/>
      <c r="W256" s="84"/>
      <c r="X256" s="16"/>
    </row>
    <row r="257" spans="8:24" ht="20" customHeight="1" x14ac:dyDescent="0.25">
      <c r="H257" s="147"/>
      <c r="I257" s="16"/>
      <c r="J257" s="16"/>
      <c r="K257" s="16"/>
      <c r="L257" s="16"/>
      <c r="M257" s="147"/>
      <c r="N257" s="16"/>
      <c r="O257" s="147"/>
      <c r="P257" s="16"/>
      <c r="Q257" s="147"/>
      <c r="R257" s="16"/>
      <c r="S257" s="147"/>
      <c r="T257" s="79"/>
      <c r="U257" s="36"/>
      <c r="V257" s="148"/>
      <c r="W257" s="84"/>
      <c r="X257" s="16"/>
    </row>
    <row r="258" spans="8:24" ht="20" customHeight="1" x14ac:dyDescent="0.25">
      <c r="H258" s="147"/>
      <c r="I258" s="16"/>
      <c r="J258" s="16"/>
      <c r="K258" s="16"/>
      <c r="L258" s="16"/>
      <c r="M258" s="147"/>
      <c r="N258" s="16"/>
      <c r="O258" s="147"/>
      <c r="P258" s="16"/>
      <c r="Q258" s="147"/>
      <c r="R258" s="16"/>
      <c r="S258" s="147"/>
      <c r="T258" s="79"/>
      <c r="U258" s="36"/>
      <c r="V258" s="148"/>
      <c r="W258" s="84"/>
      <c r="X258" s="16"/>
    </row>
    <row r="259" spans="8:24" ht="20" customHeight="1" x14ac:dyDescent="0.25">
      <c r="H259" s="147"/>
      <c r="I259" s="16"/>
      <c r="J259" s="16"/>
      <c r="K259" s="16"/>
      <c r="L259" s="16"/>
      <c r="M259" s="147"/>
      <c r="N259" s="16"/>
      <c r="O259" s="147"/>
      <c r="P259" s="16"/>
      <c r="Q259" s="147"/>
      <c r="R259" s="16"/>
      <c r="S259" s="147"/>
      <c r="T259" s="79"/>
      <c r="U259" s="36"/>
      <c r="V259" s="148"/>
      <c r="W259" s="84"/>
      <c r="X259" s="16"/>
    </row>
    <row r="260" spans="8:24" ht="20" customHeight="1" x14ac:dyDescent="0.25">
      <c r="H260" s="147"/>
      <c r="I260" s="16"/>
      <c r="J260" s="16"/>
      <c r="K260" s="16"/>
      <c r="L260" s="16"/>
      <c r="M260" s="147"/>
      <c r="N260" s="16"/>
      <c r="O260" s="147"/>
      <c r="P260" s="16"/>
      <c r="Q260" s="147"/>
      <c r="R260" s="16"/>
      <c r="S260" s="147"/>
      <c r="T260" s="79"/>
      <c r="U260" s="36"/>
      <c r="V260" s="148"/>
      <c r="W260" s="84"/>
      <c r="X260" s="16"/>
    </row>
    <row r="261" spans="8:24" ht="20" customHeight="1" x14ac:dyDescent="0.25">
      <c r="H261" s="147"/>
      <c r="I261" s="16"/>
      <c r="J261" s="16"/>
      <c r="K261" s="16"/>
      <c r="L261" s="16"/>
      <c r="M261" s="147"/>
      <c r="N261" s="16"/>
      <c r="O261" s="147"/>
      <c r="P261" s="16"/>
      <c r="Q261" s="147"/>
      <c r="R261" s="16"/>
      <c r="S261" s="147"/>
      <c r="T261" s="79"/>
      <c r="U261" s="36"/>
      <c r="V261" s="148"/>
      <c r="W261" s="84"/>
      <c r="X261" s="16"/>
    </row>
    <row r="262" spans="8:24" ht="20" customHeight="1" x14ac:dyDescent="0.25">
      <c r="H262" s="147"/>
      <c r="I262" s="16"/>
      <c r="J262" s="16"/>
      <c r="K262" s="16"/>
      <c r="L262" s="16"/>
      <c r="M262" s="147"/>
      <c r="N262" s="16"/>
      <c r="O262" s="147"/>
      <c r="P262" s="16"/>
      <c r="Q262" s="147"/>
      <c r="R262" s="16"/>
      <c r="S262" s="147"/>
      <c r="T262" s="79"/>
      <c r="U262" s="36"/>
      <c r="V262" s="148"/>
      <c r="W262" s="84"/>
      <c r="X262" s="16"/>
    </row>
    <row r="263" spans="8:24" ht="20" customHeight="1" x14ac:dyDescent="0.25">
      <c r="H263" s="147"/>
      <c r="I263" s="16"/>
      <c r="J263" s="16"/>
      <c r="K263" s="16"/>
      <c r="L263" s="16"/>
      <c r="M263" s="147"/>
      <c r="N263" s="16"/>
      <c r="O263" s="147"/>
      <c r="P263" s="16"/>
      <c r="Q263" s="147"/>
      <c r="R263" s="16"/>
      <c r="S263" s="147"/>
      <c r="T263" s="79"/>
      <c r="U263" s="36"/>
      <c r="V263" s="148"/>
      <c r="W263" s="84"/>
      <c r="X263" s="16"/>
    </row>
    <row r="264" spans="8:24" ht="20" customHeight="1" x14ac:dyDescent="0.25">
      <c r="H264" s="147"/>
      <c r="I264" s="16"/>
      <c r="J264" s="16"/>
      <c r="K264" s="16"/>
      <c r="L264" s="16"/>
      <c r="M264" s="147"/>
      <c r="N264" s="16"/>
      <c r="O264" s="147"/>
      <c r="P264" s="16"/>
      <c r="Q264" s="147"/>
      <c r="R264" s="16"/>
      <c r="S264" s="147"/>
      <c r="T264" s="79"/>
      <c r="U264" s="36"/>
      <c r="V264" s="148"/>
      <c r="W264" s="84"/>
      <c r="X264" s="16"/>
    </row>
    <row r="265" spans="8:24" ht="20" customHeight="1" x14ac:dyDescent="0.25">
      <c r="H265" s="147"/>
      <c r="I265" s="16"/>
      <c r="J265" s="16"/>
      <c r="K265" s="16"/>
      <c r="L265" s="16"/>
      <c r="M265" s="147"/>
      <c r="N265" s="16"/>
      <c r="O265" s="147"/>
      <c r="P265" s="16"/>
      <c r="Q265" s="147"/>
      <c r="R265" s="16"/>
      <c r="S265" s="147"/>
      <c r="T265" s="79"/>
      <c r="U265" s="36"/>
      <c r="V265" s="148"/>
      <c r="W265" s="84"/>
      <c r="X265" s="16"/>
    </row>
    <row r="266" spans="8:24" ht="20" customHeight="1" x14ac:dyDescent="0.25">
      <c r="H266" s="147"/>
      <c r="I266" s="16"/>
      <c r="J266" s="16"/>
      <c r="K266" s="16"/>
      <c r="L266" s="16"/>
      <c r="M266" s="147"/>
      <c r="N266" s="16"/>
      <c r="O266" s="147"/>
      <c r="P266" s="16"/>
      <c r="Q266" s="147"/>
      <c r="R266" s="16"/>
      <c r="S266" s="147"/>
      <c r="T266" s="79"/>
      <c r="U266" s="36"/>
      <c r="V266" s="148"/>
      <c r="W266" s="84"/>
      <c r="X266" s="16"/>
    </row>
    <row r="267" spans="8:24" ht="20" customHeight="1" x14ac:dyDescent="0.25">
      <c r="H267" s="147"/>
      <c r="I267" s="16"/>
      <c r="J267" s="16"/>
      <c r="K267" s="16"/>
      <c r="L267" s="16"/>
      <c r="M267" s="147"/>
      <c r="N267" s="16"/>
      <c r="O267" s="147"/>
      <c r="P267" s="16"/>
      <c r="Q267" s="147"/>
      <c r="R267" s="16"/>
      <c r="S267" s="147"/>
      <c r="T267" s="79"/>
      <c r="U267" s="36"/>
      <c r="V267" s="148"/>
      <c r="W267" s="84"/>
      <c r="X267" s="16"/>
    </row>
    <row r="268" spans="8:24" ht="20" customHeight="1" x14ac:dyDescent="0.25">
      <c r="H268" s="147"/>
      <c r="I268" s="16"/>
      <c r="J268" s="16"/>
      <c r="K268" s="16"/>
      <c r="L268" s="16"/>
      <c r="M268" s="147"/>
      <c r="N268" s="16"/>
      <c r="O268" s="147"/>
      <c r="P268" s="16"/>
      <c r="Q268" s="147"/>
      <c r="R268" s="16"/>
      <c r="S268" s="147"/>
      <c r="T268" s="79"/>
      <c r="U268" s="36"/>
      <c r="V268" s="148"/>
      <c r="W268" s="84"/>
      <c r="X268" s="16"/>
    </row>
    <row r="269" spans="8:24" ht="20" customHeight="1" x14ac:dyDescent="0.25">
      <c r="H269" s="147"/>
      <c r="I269" s="16"/>
      <c r="J269" s="16"/>
      <c r="K269" s="16"/>
      <c r="L269" s="16"/>
      <c r="M269" s="147"/>
      <c r="N269" s="16"/>
      <c r="O269" s="147"/>
      <c r="P269" s="16"/>
      <c r="Q269" s="147"/>
      <c r="R269" s="16"/>
      <c r="S269" s="147"/>
      <c r="T269" s="79"/>
      <c r="U269" s="36"/>
      <c r="V269" s="148"/>
      <c r="W269" s="84"/>
      <c r="X269" s="16"/>
    </row>
    <row r="270" spans="8:24" ht="20" customHeight="1" x14ac:dyDescent="0.25">
      <c r="H270" s="147"/>
      <c r="I270" s="16"/>
      <c r="J270" s="16"/>
      <c r="K270" s="16"/>
      <c r="L270" s="16"/>
      <c r="M270" s="147"/>
      <c r="N270" s="16"/>
      <c r="O270" s="147"/>
      <c r="P270" s="16"/>
      <c r="Q270" s="147"/>
      <c r="R270" s="16"/>
      <c r="S270" s="147"/>
      <c r="T270" s="79"/>
      <c r="U270" s="36"/>
      <c r="V270" s="148"/>
      <c r="W270" s="84"/>
      <c r="X270" s="16"/>
    </row>
    <row r="271" spans="8:24" ht="20" customHeight="1" x14ac:dyDescent="0.25">
      <c r="H271" s="147"/>
      <c r="I271" s="16"/>
      <c r="J271" s="16"/>
      <c r="K271" s="16"/>
      <c r="L271" s="16"/>
      <c r="M271" s="147"/>
      <c r="N271" s="16"/>
      <c r="O271" s="147"/>
      <c r="P271" s="16"/>
      <c r="Q271" s="147"/>
      <c r="R271" s="16"/>
      <c r="S271" s="147"/>
      <c r="T271" s="79"/>
      <c r="U271" s="36"/>
      <c r="V271" s="148"/>
      <c r="W271" s="84"/>
      <c r="X271" s="16"/>
    </row>
    <row r="272" spans="8:24" ht="20" customHeight="1" x14ac:dyDescent="0.25">
      <c r="H272" s="147"/>
      <c r="I272" s="16"/>
      <c r="J272" s="16"/>
      <c r="K272" s="16"/>
      <c r="L272" s="16"/>
      <c r="M272" s="147"/>
      <c r="N272" s="16"/>
      <c r="O272" s="147"/>
      <c r="P272" s="16"/>
      <c r="Q272" s="147"/>
      <c r="R272" s="16"/>
      <c r="S272" s="147"/>
      <c r="T272" s="79"/>
      <c r="U272" s="36"/>
      <c r="V272" s="148"/>
      <c r="W272" s="84"/>
      <c r="X272" s="16"/>
    </row>
    <row r="273" spans="8:24" ht="20" customHeight="1" x14ac:dyDescent="0.25">
      <c r="H273" s="147"/>
      <c r="I273" s="16"/>
      <c r="J273" s="16"/>
      <c r="K273" s="16"/>
      <c r="L273" s="16"/>
      <c r="M273" s="147"/>
      <c r="N273" s="16"/>
      <c r="O273" s="147"/>
      <c r="P273" s="16"/>
      <c r="Q273" s="147"/>
      <c r="R273" s="16"/>
      <c r="S273" s="147"/>
      <c r="T273" s="79"/>
      <c r="U273" s="36"/>
      <c r="V273" s="148"/>
      <c r="W273" s="84"/>
      <c r="X273" s="16"/>
    </row>
    <row r="274" spans="8:24" ht="20" customHeight="1" x14ac:dyDescent="0.25">
      <c r="H274" s="147"/>
      <c r="I274" s="16"/>
      <c r="J274" s="16"/>
      <c r="K274" s="16"/>
      <c r="L274" s="16"/>
      <c r="M274" s="147"/>
      <c r="N274" s="16"/>
      <c r="O274" s="147"/>
      <c r="P274" s="16"/>
      <c r="Q274" s="147"/>
      <c r="R274" s="16"/>
      <c r="S274" s="147"/>
      <c r="T274" s="79"/>
      <c r="U274" s="36"/>
      <c r="V274" s="148"/>
      <c r="W274" s="84"/>
      <c r="X274" s="16"/>
    </row>
    <row r="275" spans="8:24" ht="20" customHeight="1" x14ac:dyDescent="0.25">
      <c r="H275" s="147"/>
      <c r="I275" s="16"/>
      <c r="J275" s="16"/>
      <c r="K275" s="16"/>
      <c r="L275" s="16"/>
      <c r="M275" s="147"/>
      <c r="N275" s="16"/>
      <c r="O275" s="147"/>
      <c r="P275" s="16"/>
      <c r="Q275" s="147"/>
      <c r="R275" s="16"/>
      <c r="S275" s="147"/>
      <c r="T275" s="79"/>
      <c r="U275" s="36"/>
      <c r="V275" s="148"/>
      <c r="W275" s="84"/>
      <c r="X275" s="16"/>
    </row>
    <row r="276" spans="8:24" ht="20" customHeight="1" x14ac:dyDescent="0.25">
      <c r="H276" s="147"/>
      <c r="I276" s="16"/>
      <c r="J276" s="16"/>
      <c r="K276" s="16"/>
      <c r="L276" s="16"/>
      <c r="M276" s="147"/>
      <c r="N276" s="16"/>
      <c r="O276" s="147"/>
      <c r="P276" s="16"/>
      <c r="Q276" s="147"/>
      <c r="R276" s="16"/>
      <c r="S276" s="147"/>
      <c r="T276" s="79"/>
      <c r="U276" s="36"/>
      <c r="V276" s="148"/>
      <c r="W276" s="84"/>
      <c r="X276" s="16"/>
    </row>
    <row r="277" spans="8:24" ht="20" customHeight="1" x14ac:dyDescent="0.25">
      <c r="H277" s="147"/>
      <c r="I277" s="16"/>
      <c r="J277" s="16"/>
      <c r="K277" s="16"/>
      <c r="L277" s="16"/>
      <c r="M277" s="147"/>
      <c r="N277" s="16"/>
      <c r="O277" s="147"/>
      <c r="P277" s="16"/>
      <c r="Q277" s="147"/>
      <c r="R277" s="16"/>
      <c r="S277" s="147"/>
      <c r="T277" s="79"/>
      <c r="U277" s="36"/>
      <c r="V277" s="148"/>
      <c r="W277" s="84"/>
      <c r="X277" s="16"/>
    </row>
    <row r="278" spans="8:24" ht="20" customHeight="1" x14ac:dyDescent="0.25">
      <c r="H278" s="147"/>
      <c r="I278" s="16"/>
      <c r="J278" s="16"/>
      <c r="K278" s="16"/>
      <c r="L278" s="16"/>
      <c r="M278" s="147"/>
      <c r="N278" s="16"/>
      <c r="O278" s="147"/>
      <c r="P278" s="16"/>
      <c r="Q278" s="147"/>
      <c r="R278" s="16"/>
      <c r="S278" s="147"/>
      <c r="T278" s="79"/>
      <c r="U278" s="36"/>
      <c r="V278" s="148"/>
      <c r="W278" s="84"/>
      <c r="X278" s="16"/>
    </row>
    <row r="279" spans="8:24" ht="20" customHeight="1" x14ac:dyDescent="0.25">
      <c r="H279" s="147"/>
      <c r="I279" s="16"/>
      <c r="J279" s="16"/>
      <c r="K279" s="16"/>
      <c r="L279" s="16"/>
      <c r="M279" s="147"/>
      <c r="N279" s="16"/>
      <c r="O279" s="147"/>
      <c r="P279" s="16"/>
      <c r="Q279" s="147"/>
      <c r="R279" s="16"/>
      <c r="S279" s="147"/>
      <c r="T279" s="79"/>
      <c r="U279" s="36"/>
      <c r="V279" s="148"/>
      <c r="W279" s="84"/>
      <c r="X279" s="16"/>
    </row>
    <row r="280" spans="8:24" ht="20" customHeight="1" x14ac:dyDescent="0.25">
      <c r="H280" s="147"/>
      <c r="I280" s="16"/>
      <c r="J280" s="16"/>
      <c r="K280" s="16"/>
      <c r="L280" s="16"/>
      <c r="M280" s="147"/>
      <c r="N280" s="16"/>
      <c r="O280" s="147"/>
      <c r="P280" s="16"/>
      <c r="Q280" s="147"/>
      <c r="R280" s="16"/>
      <c r="S280" s="147"/>
      <c r="T280" s="79"/>
      <c r="U280" s="36"/>
      <c r="V280" s="148"/>
      <c r="W280" s="84"/>
      <c r="X280" s="16"/>
    </row>
    <row r="281" spans="8:24" ht="20" customHeight="1" x14ac:dyDescent="0.25">
      <c r="H281" s="147"/>
      <c r="I281" s="16"/>
      <c r="J281" s="16"/>
      <c r="K281" s="16"/>
      <c r="L281" s="16"/>
      <c r="M281" s="147"/>
      <c r="N281" s="16"/>
      <c r="O281" s="147"/>
      <c r="P281" s="16"/>
      <c r="Q281" s="147"/>
      <c r="R281" s="16"/>
      <c r="S281" s="147"/>
      <c r="T281" s="79"/>
      <c r="U281" s="36"/>
      <c r="V281" s="148"/>
      <c r="W281" s="84"/>
      <c r="X281" s="16"/>
    </row>
    <row r="282" spans="8:24" ht="20" customHeight="1" x14ac:dyDescent="0.25">
      <c r="H282" s="147"/>
      <c r="I282" s="16"/>
      <c r="J282" s="16"/>
      <c r="K282" s="16"/>
      <c r="L282" s="16"/>
      <c r="M282" s="147"/>
      <c r="N282" s="16"/>
      <c r="O282" s="147"/>
      <c r="P282" s="16"/>
      <c r="Q282" s="147"/>
      <c r="R282" s="16"/>
      <c r="S282" s="147"/>
      <c r="T282" s="79"/>
      <c r="U282" s="36"/>
      <c r="V282" s="148"/>
      <c r="W282" s="84"/>
      <c r="X282" s="16"/>
    </row>
    <row r="283" spans="8:24" ht="20" customHeight="1" x14ac:dyDescent="0.25">
      <c r="H283" s="147"/>
      <c r="I283" s="16"/>
      <c r="J283" s="16"/>
      <c r="K283" s="16"/>
      <c r="L283" s="16"/>
      <c r="M283" s="147"/>
      <c r="N283" s="16"/>
      <c r="O283" s="147"/>
      <c r="P283" s="16"/>
      <c r="Q283" s="147"/>
      <c r="R283" s="16"/>
      <c r="S283" s="147"/>
      <c r="T283" s="79"/>
      <c r="U283" s="36"/>
      <c r="V283" s="148"/>
      <c r="W283" s="84"/>
      <c r="X283" s="16"/>
    </row>
    <row r="284" spans="8:24" ht="20" customHeight="1" x14ac:dyDescent="0.25">
      <c r="H284" s="147"/>
      <c r="I284" s="16"/>
      <c r="J284" s="16"/>
      <c r="K284" s="16"/>
      <c r="L284" s="16"/>
      <c r="M284" s="147"/>
      <c r="N284" s="16"/>
      <c r="O284" s="147"/>
      <c r="P284" s="16"/>
      <c r="Q284" s="147"/>
      <c r="R284" s="16"/>
      <c r="S284" s="147"/>
      <c r="T284" s="79"/>
      <c r="U284" s="36"/>
      <c r="V284" s="148"/>
      <c r="W284" s="84"/>
      <c r="X284" s="16"/>
    </row>
    <row r="285" spans="8:24" ht="20" customHeight="1" x14ac:dyDescent="0.25">
      <c r="H285" s="147"/>
      <c r="I285" s="16"/>
      <c r="J285" s="16"/>
      <c r="K285" s="16"/>
      <c r="L285" s="16"/>
      <c r="M285" s="147"/>
      <c r="N285" s="16"/>
      <c r="O285" s="147"/>
      <c r="P285" s="16"/>
      <c r="Q285" s="147"/>
      <c r="R285" s="16"/>
      <c r="S285" s="147"/>
      <c r="T285" s="79"/>
      <c r="U285" s="36"/>
      <c r="V285" s="148"/>
      <c r="W285" s="84"/>
      <c r="X285" s="16"/>
    </row>
    <row r="286" spans="8:24" ht="20" customHeight="1" x14ac:dyDescent="0.25">
      <c r="H286" s="147"/>
      <c r="I286" s="16"/>
      <c r="J286" s="16"/>
      <c r="K286" s="16"/>
      <c r="L286" s="16"/>
      <c r="M286" s="147"/>
      <c r="N286" s="16"/>
      <c r="O286" s="147"/>
      <c r="P286" s="16"/>
      <c r="Q286" s="147"/>
      <c r="R286" s="16"/>
      <c r="S286" s="147"/>
      <c r="T286" s="79"/>
      <c r="U286" s="36"/>
      <c r="V286" s="148"/>
      <c r="W286" s="84"/>
      <c r="X286" s="16"/>
    </row>
    <row r="287" spans="8:24" ht="20" customHeight="1" x14ac:dyDescent="0.25">
      <c r="H287" s="147"/>
      <c r="I287" s="16"/>
      <c r="J287" s="16"/>
      <c r="K287" s="16"/>
      <c r="L287" s="16"/>
      <c r="M287" s="147"/>
      <c r="N287" s="16"/>
      <c r="O287" s="147"/>
      <c r="P287" s="16"/>
      <c r="Q287" s="147"/>
      <c r="R287" s="16"/>
      <c r="S287" s="147"/>
      <c r="T287" s="79"/>
      <c r="U287" s="36"/>
      <c r="V287" s="148"/>
      <c r="W287" s="84"/>
      <c r="X287" s="16"/>
    </row>
    <row r="288" spans="8:24" ht="20" customHeight="1" x14ac:dyDescent="0.25">
      <c r="H288" s="147"/>
      <c r="I288" s="16"/>
      <c r="J288" s="16"/>
      <c r="K288" s="16"/>
      <c r="L288" s="16"/>
      <c r="M288" s="147"/>
      <c r="N288" s="16"/>
      <c r="O288" s="147"/>
      <c r="P288" s="16"/>
      <c r="Q288" s="147"/>
      <c r="R288" s="16"/>
      <c r="S288" s="147"/>
      <c r="T288" s="79"/>
      <c r="U288" s="36"/>
      <c r="V288" s="148"/>
      <c r="W288" s="84"/>
      <c r="X288" s="16"/>
    </row>
    <row r="289" spans="8:24" ht="20" customHeight="1" x14ac:dyDescent="0.25">
      <c r="H289" s="147"/>
      <c r="I289" s="16"/>
      <c r="J289" s="16"/>
      <c r="K289" s="16"/>
      <c r="L289" s="16"/>
      <c r="M289" s="147"/>
      <c r="N289" s="16"/>
      <c r="O289" s="147"/>
      <c r="P289" s="16"/>
      <c r="Q289" s="147"/>
      <c r="R289" s="16"/>
      <c r="S289" s="147"/>
      <c r="T289" s="79"/>
      <c r="U289" s="36"/>
      <c r="V289" s="148"/>
      <c r="W289" s="84"/>
      <c r="X289" s="16"/>
    </row>
    <row r="290" spans="8:24" ht="20" customHeight="1" x14ac:dyDescent="0.25">
      <c r="H290" s="147"/>
      <c r="I290" s="16"/>
      <c r="J290" s="16"/>
      <c r="K290" s="16"/>
      <c r="L290" s="16"/>
      <c r="M290" s="147"/>
      <c r="N290" s="16"/>
      <c r="O290" s="147"/>
      <c r="P290" s="16"/>
      <c r="Q290" s="147"/>
      <c r="R290" s="16"/>
      <c r="S290" s="147"/>
      <c r="T290" s="79"/>
      <c r="U290" s="36"/>
      <c r="V290" s="148"/>
      <c r="W290" s="84"/>
      <c r="X290" s="16"/>
    </row>
    <row r="291" spans="8:24" ht="20" customHeight="1" x14ac:dyDescent="0.25">
      <c r="H291" s="147"/>
      <c r="I291" s="16"/>
      <c r="J291" s="16"/>
      <c r="K291" s="16"/>
      <c r="L291" s="16"/>
      <c r="M291" s="147"/>
      <c r="N291" s="16"/>
      <c r="O291" s="147"/>
      <c r="P291" s="16"/>
      <c r="Q291" s="147"/>
      <c r="R291" s="16"/>
      <c r="S291" s="147"/>
      <c r="T291" s="79"/>
      <c r="U291" s="36"/>
      <c r="V291" s="148"/>
      <c r="W291" s="84"/>
      <c r="X291" s="16"/>
    </row>
    <row r="292" spans="8:24" ht="20" customHeight="1" x14ac:dyDescent="0.25">
      <c r="H292" s="147"/>
      <c r="I292" s="16"/>
      <c r="J292" s="16"/>
      <c r="K292" s="16"/>
      <c r="L292" s="16"/>
      <c r="M292" s="147"/>
      <c r="N292" s="16"/>
      <c r="O292" s="147"/>
      <c r="P292" s="16"/>
      <c r="Q292" s="147"/>
      <c r="R292" s="16"/>
      <c r="S292" s="147"/>
      <c r="T292" s="79"/>
      <c r="U292" s="36"/>
      <c r="V292" s="148"/>
      <c r="W292" s="84"/>
      <c r="X292" s="16"/>
    </row>
    <row r="293" spans="8:24" ht="20" customHeight="1" x14ac:dyDescent="0.25">
      <c r="H293" s="147"/>
      <c r="I293" s="16"/>
      <c r="J293" s="16"/>
      <c r="K293" s="16"/>
      <c r="L293" s="16"/>
      <c r="M293" s="147"/>
      <c r="N293" s="16"/>
      <c r="O293" s="147"/>
      <c r="P293" s="16"/>
      <c r="Q293" s="147"/>
      <c r="R293" s="16"/>
      <c r="S293" s="147"/>
      <c r="T293" s="79"/>
      <c r="U293" s="36"/>
      <c r="V293" s="148"/>
      <c r="W293" s="84"/>
      <c r="X293" s="16"/>
    </row>
    <row r="294" spans="8:24" ht="20" customHeight="1" x14ac:dyDescent="0.25">
      <c r="H294" s="147"/>
      <c r="I294" s="16"/>
      <c r="J294" s="16"/>
      <c r="K294" s="16"/>
      <c r="L294" s="16"/>
      <c r="M294" s="147"/>
      <c r="N294" s="16"/>
      <c r="O294" s="147"/>
      <c r="P294" s="16"/>
      <c r="Q294" s="147"/>
      <c r="R294" s="16"/>
      <c r="S294" s="147"/>
      <c r="T294" s="79"/>
      <c r="U294" s="36"/>
      <c r="V294" s="148"/>
      <c r="W294" s="84"/>
      <c r="X294" s="16"/>
    </row>
    <row r="295" spans="8:24" ht="20" customHeight="1" x14ac:dyDescent="0.25">
      <c r="H295" s="147"/>
      <c r="I295" s="16"/>
      <c r="J295" s="16"/>
      <c r="K295" s="16"/>
      <c r="L295" s="16"/>
      <c r="M295" s="147"/>
      <c r="N295" s="16"/>
      <c r="O295" s="147"/>
      <c r="P295" s="16"/>
      <c r="Q295" s="147"/>
      <c r="R295" s="16"/>
      <c r="S295" s="147"/>
      <c r="T295" s="79"/>
      <c r="U295" s="36"/>
      <c r="V295" s="148"/>
      <c r="W295" s="84"/>
      <c r="X295" s="16"/>
    </row>
    <row r="296" spans="8:24" ht="20" customHeight="1" x14ac:dyDescent="0.25">
      <c r="H296" s="147"/>
      <c r="I296" s="16"/>
      <c r="J296" s="16"/>
      <c r="K296" s="16"/>
      <c r="L296" s="16"/>
      <c r="M296" s="147"/>
      <c r="N296" s="16"/>
      <c r="O296" s="147"/>
      <c r="P296" s="16"/>
      <c r="Q296" s="147"/>
      <c r="R296" s="16"/>
      <c r="S296" s="147"/>
      <c r="T296" s="79"/>
      <c r="U296" s="36"/>
      <c r="V296" s="148"/>
      <c r="W296" s="84"/>
      <c r="X296" s="16"/>
    </row>
    <row r="297" spans="8:24" ht="20" customHeight="1" x14ac:dyDescent="0.25">
      <c r="H297" s="147"/>
      <c r="I297" s="16"/>
      <c r="J297" s="16"/>
      <c r="K297" s="16"/>
      <c r="L297" s="16"/>
      <c r="M297" s="147"/>
      <c r="N297" s="16"/>
      <c r="O297" s="147"/>
      <c r="P297" s="16"/>
      <c r="Q297" s="147"/>
      <c r="R297" s="16"/>
      <c r="S297" s="147"/>
      <c r="T297" s="79"/>
      <c r="U297" s="36"/>
      <c r="V297" s="148"/>
      <c r="W297" s="84"/>
      <c r="X297" s="16"/>
    </row>
    <row r="298" spans="8:24" ht="20" customHeight="1" x14ac:dyDescent="0.25">
      <c r="H298" s="147"/>
      <c r="I298" s="16"/>
      <c r="J298" s="16"/>
      <c r="K298" s="16"/>
      <c r="L298" s="16"/>
      <c r="M298" s="147"/>
      <c r="N298" s="16"/>
      <c r="O298" s="147"/>
      <c r="P298" s="16"/>
      <c r="Q298" s="147"/>
      <c r="R298" s="16"/>
      <c r="S298" s="147"/>
      <c r="T298" s="79"/>
      <c r="U298" s="36"/>
      <c r="V298" s="148"/>
      <c r="W298" s="84"/>
      <c r="X298" s="16"/>
    </row>
    <row r="299" spans="8:24" ht="20" customHeight="1" x14ac:dyDescent="0.25">
      <c r="H299" s="147"/>
      <c r="I299" s="16"/>
      <c r="J299" s="16"/>
      <c r="K299" s="16"/>
      <c r="L299" s="16"/>
      <c r="M299" s="147"/>
      <c r="N299" s="16"/>
      <c r="O299" s="147"/>
      <c r="P299" s="16"/>
      <c r="Q299" s="147"/>
      <c r="R299" s="16"/>
      <c r="S299" s="147"/>
      <c r="T299" s="79"/>
      <c r="U299" s="36"/>
      <c r="V299" s="148"/>
      <c r="W299" s="84"/>
      <c r="X299" s="16"/>
    </row>
    <row r="300" spans="8:24" ht="20" customHeight="1" x14ac:dyDescent="0.25">
      <c r="H300" s="147"/>
      <c r="I300" s="16"/>
      <c r="J300" s="16"/>
      <c r="K300" s="16"/>
      <c r="L300" s="16"/>
      <c r="M300" s="147"/>
      <c r="N300" s="16"/>
      <c r="O300" s="147"/>
      <c r="P300" s="16"/>
      <c r="Q300" s="147"/>
      <c r="R300" s="16"/>
      <c r="S300" s="147"/>
      <c r="T300" s="79"/>
      <c r="U300" s="36"/>
      <c r="V300" s="148"/>
      <c r="W300" s="84"/>
      <c r="X300" s="16"/>
    </row>
    <row r="301" spans="8:24" ht="20" customHeight="1" x14ac:dyDescent="0.25">
      <c r="H301" s="147"/>
      <c r="I301" s="16"/>
      <c r="J301" s="16"/>
      <c r="K301" s="16"/>
      <c r="L301" s="16"/>
      <c r="M301" s="147"/>
      <c r="N301" s="16"/>
      <c r="O301" s="147"/>
      <c r="P301" s="16"/>
      <c r="Q301" s="147"/>
      <c r="R301" s="16"/>
      <c r="S301" s="147"/>
      <c r="T301" s="79"/>
      <c r="U301" s="36"/>
      <c r="V301" s="148"/>
      <c r="W301" s="84"/>
      <c r="X301" s="16"/>
    </row>
    <row r="302" spans="8:24" ht="20" customHeight="1" x14ac:dyDescent="0.25">
      <c r="H302" s="147"/>
      <c r="I302" s="16"/>
      <c r="J302" s="16"/>
      <c r="K302" s="16"/>
      <c r="L302" s="16"/>
      <c r="M302" s="147"/>
      <c r="N302" s="16"/>
      <c r="O302" s="147"/>
      <c r="P302" s="16"/>
      <c r="Q302" s="147"/>
      <c r="R302" s="16"/>
      <c r="S302" s="147"/>
      <c r="T302" s="79"/>
      <c r="U302" s="36"/>
      <c r="V302" s="148"/>
      <c r="W302" s="84"/>
      <c r="X302" s="16"/>
    </row>
    <row r="303" spans="8:24" ht="20" customHeight="1" x14ac:dyDescent="0.25">
      <c r="H303" s="147"/>
      <c r="I303" s="16"/>
      <c r="J303" s="16"/>
      <c r="K303" s="16"/>
      <c r="L303" s="16"/>
      <c r="M303" s="147"/>
      <c r="N303" s="16"/>
      <c r="O303" s="147"/>
      <c r="P303" s="16"/>
      <c r="Q303" s="147"/>
      <c r="R303" s="16"/>
      <c r="S303" s="147"/>
      <c r="T303" s="79"/>
      <c r="U303" s="36"/>
      <c r="V303" s="148"/>
      <c r="W303" s="84"/>
      <c r="X303" s="16"/>
    </row>
    <row r="304" spans="8:24" ht="20" customHeight="1" x14ac:dyDescent="0.25">
      <c r="H304" s="147"/>
      <c r="I304" s="16"/>
      <c r="J304" s="16"/>
      <c r="K304" s="16"/>
      <c r="L304" s="16"/>
      <c r="M304" s="147"/>
      <c r="N304" s="16"/>
      <c r="O304" s="147"/>
      <c r="P304" s="16"/>
      <c r="Q304" s="147"/>
      <c r="R304" s="16"/>
      <c r="S304" s="147"/>
      <c r="T304" s="79"/>
      <c r="U304" s="36"/>
      <c r="V304" s="148"/>
      <c r="W304" s="84"/>
      <c r="X304" s="16"/>
    </row>
    <row r="305" spans="8:24" ht="20" customHeight="1" x14ac:dyDescent="0.25">
      <c r="H305" s="147"/>
      <c r="I305" s="16"/>
      <c r="J305" s="16"/>
      <c r="K305" s="16"/>
      <c r="L305" s="16"/>
      <c r="M305" s="147"/>
      <c r="N305" s="16"/>
      <c r="O305" s="147"/>
      <c r="P305" s="16"/>
      <c r="Q305" s="147"/>
      <c r="R305" s="16"/>
      <c r="S305" s="147"/>
      <c r="T305" s="79"/>
      <c r="U305" s="36"/>
      <c r="V305" s="148"/>
      <c r="W305" s="84"/>
      <c r="X305" s="16"/>
    </row>
    <row r="306" spans="8:24" ht="20" customHeight="1" x14ac:dyDescent="0.25">
      <c r="H306" s="147"/>
      <c r="I306" s="16"/>
      <c r="J306" s="16"/>
      <c r="K306" s="16"/>
      <c r="L306" s="16"/>
      <c r="M306" s="147"/>
      <c r="N306" s="16"/>
      <c r="O306" s="147"/>
      <c r="P306" s="16"/>
      <c r="Q306" s="147"/>
      <c r="R306" s="16"/>
      <c r="S306" s="147"/>
      <c r="T306" s="79"/>
      <c r="U306" s="36"/>
      <c r="V306" s="148"/>
      <c r="W306" s="84"/>
      <c r="X306" s="16"/>
    </row>
    <row r="307" spans="8:24" ht="20" customHeight="1" x14ac:dyDescent="0.25">
      <c r="H307" s="147"/>
      <c r="I307" s="16"/>
      <c r="J307" s="16"/>
      <c r="K307" s="16"/>
      <c r="L307" s="16"/>
      <c r="M307" s="147"/>
      <c r="N307" s="16"/>
      <c r="O307" s="147"/>
      <c r="P307" s="16"/>
      <c r="Q307" s="147"/>
      <c r="R307" s="16"/>
      <c r="S307" s="147"/>
      <c r="T307" s="79"/>
      <c r="U307" s="36"/>
      <c r="V307" s="148"/>
      <c r="W307" s="84"/>
      <c r="X307" s="16"/>
    </row>
    <row r="308" spans="8:24" ht="20" customHeight="1" x14ac:dyDescent="0.25">
      <c r="H308" s="147"/>
      <c r="I308" s="16"/>
      <c r="J308" s="16"/>
      <c r="K308" s="16"/>
      <c r="L308" s="16"/>
      <c r="M308" s="147"/>
      <c r="N308" s="16"/>
      <c r="O308" s="147"/>
      <c r="P308" s="16"/>
      <c r="Q308" s="147"/>
      <c r="R308" s="16"/>
      <c r="S308" s="147"/>
      <c r="T308" s="79"/>
      <c r="U308" s="36"/>
      <c r="V308" s="148"/>
      <c r="W308" s="84"/>
      <c r="X308" s="16"/>
    </row>
    <row r="309" spans="8:24" ht="20" customHeight="1" x14ac:dyDescent="0.25">
      <c r="H309" s="147"/>
      <c r="I309" s="16"/>
      <c r="J309" s="16"/>
      <c r="K309" s="16"/>
      <c r="L309" s="16"/>
      <c r="M309" s="147"/>
      <c r="N309" s="16"/>
      <c r="O309" s="147"/>
      <c r="P309" s="16"/>
      <c r="Q309" s="147"/>
      <c r="R309" s="16"/>
      <c r="S309" s="147"/>
      <c r="T309" s="79"/>
      <c r="U309" s="36"/>
      <c r="V309" s="148"/>
      <c r="W309" s="84"/>
      <c r="X309" s="16"/>
    </row>
    <row r="310" spans="8:24" ht="20" customHeight="1" x14ac:dyDescent="0.25">
      <c r="H310" s="147"/>
      <c r="I310" s="16"/>
      <c r="J310" s="16"/>
      <c r="K310" s="16"/>
      <c r="L310" s="16"/>
      <c r="M310" s="147"/>
      <c r="N310" s="16"/>
      <c r="O310" s="147"/>
      <c r="P310" s="16"/>
      <c r="Q310" s="147"/>
      <c r="R310" s="16"/>
      <c r="S310" s="147"/>
      <c r="T310" s="79"/>
      <c r="U310" s="36"/>
      <c r="V310" s="148"/>
      <c r="W310" s="84"/>
      <c r="X310" s="16"/>
    </row>
    <row r="311" spans="8:24" ht="20" customHeight="1" x14ac:dyDescent="0.25">
      <c r="H311" s="147"/>
      <c r="I311" s="16"/>
      <c r="J311" s="16"/>
      <c r="K311" s="16"/>
      <c r="L311" s="16"/>
      <c r="M311" s="147"/>
      <c r="N311" s="16"/>
      <c r="O311" s="147"/>
      <c r="P311" s="16"/>
      <c r="Q311" s="147"/>
      <c r="R311" s="16"/>
      <c r="S311" s="147"/>
      <c r="T311" s="79"/>
      <c r="U311" s="36"/>
      <c r="V311" s="148"/>
      <c r="W311" s="84"/>
      <c r="X311" s="16"/>
    </row>
    <row r="312" spans="8:24" ht="20" customHeight="1" x14ac:dyDescent="0.25">
      <c r="H312" s="147"/>
      <c r="I312" s="16"/>
      <c r="J312" s="16"/>
      <c r="K312" s="16"/>
      <c r="L312" s="16"/>
      <c r="M312" s="147"/>
      <c r="N312" s="16"/>
      <c r="O312" s="147"/>
      <c r="P312" s="16"/>
      <c r="Q312" s="147"/>
      <c r="R312" s="16"/>
      <c r="S312" s="147"/>
      <c r="T312" s="79"/>
      <c r="U312" s="36"/>
      <c r="V312" s="148"/>
      <c r="W312" s="84"/>
      <c r="X312" s="16"/>
    </row>
    <row r="313" spans="8:24" ht="20" customHeight="1" x14ac:dyDescent="0.25">
      <c r="H313" s="147"/>
      <c r="I313" s="16"/>
      <c r="J313" s="16"/>
      <c r="K313" s="16"/>
      <c r="L313" s="16"/>
      <c r="M313" s="147"/>
      <c r="N313" s="16"/>
      <c r="O313" s="147"/>
      <c r="P313" s="16"/>
      <c r="Q313" s="147"/>
      <c r="R313" s="16"/>
      <c r="S313" s="147"/>
      <c r="T313" s="79"/>
      <c r="U313" s="36"/>
      <c r="V313" s="148"/>
      <c r="W313" s="84"/>
      <c r="X313" s="16"/>
    </row>
    <row r="314" spans="8:24" ht="20" customHeight="1" x14ac:dyDescent="0.25">
      <c r="H314" s="147"/>
      <c r="I314" s="16"/>
      <c r="J314" s="16"/>
      <c r="K314" s="16"/>
      <c r="L314" s="16"/>
      <c r="M314" s="147"/>
      <c r="N314" s="16"/>
      <c r="O314" s="147"/>
      <c r="P314" s="16"/>
      <c r="Q314" s="147"/>
      <c r="R314" s="16"/>
      <c r="S314" s="147"/>
      <c r="T314" s="79"/>
      <c r="U314" s="36"/>
      <c r="V314" s="148"/>
      <c r="W314" s="84"/>
      <c r="X314" s="16"/>
    </row>
    <row r="315" spans="8:24" ht="20" customHeight="1" x14ac:dyDescent="0.25">
      <c r="H315" s="147"/>
      <c r="I315" s="16"/>
      <c r="J315" s="16"/>
      <c r="K315" s="16"/>
      <c r="L315" s="16"/>
      <c r="M315" s="147"/>
      <c r="N315" s="16"/>
      <c r="O315" s="147"/>
      <c r="P315" s="16"/>
      <c r="Q315" s="147"/>
      <c r="R315" s="16"/>
      <c r="S315" s="147"/>
      <c r="T315" s="79"/>
      <c r="U315" s="36"/>
      <c r="V315" s="148"/>
      <c r="W315" s="84"/>
      <c r="X315" s="16"/>
    </row>
    <row r="316" spans="8:24" ht="20" customHeight="1" x14ac:dyDescent="0.25">
      <c r="H316" s="147"/>
      <c r="I316" s="16"/>
      <c r="J316" s="16"/>
      <c r="K316" s="16"/>
      <c r="L316" s="16"/>
      <c r="M316" s="147"/>
      <c r="N316" s="16"/>
      <c r="O316" s="147"/>
      <c r="P316" s="16"/>
      <c r="Q316" s="147"/>
      <c r="R316" s="16"/>
      <c r="S316" s="147"/>
      <c r="T316" s="79"/>
      <c r="U316" s="36"/>
      <c r="V316" s="148"/>
      <c r="W316" s="84"/>
      <c r="X316" s="16"/>
    </row>
    <row r="317" spans="8:24" ht="20" customHeight="1" x14ac:dyDescent="0.25">
      <c r="H317" s="147"/>
      <c r="I317" s="16"/>
      <c r="J317" s="16"/>
      <c r="K317" s="16"/>
      <c r="L317" s="16"/>
      <c r="M317" s="147"/>
      <c r="N317" s="16"/>
      <c r="O317" s="147"/>
      <c r="P317" s="16"/>
      <c r="Q317" s="147"/>
      <c r="R317" s="16"/>
      <c r="S317" s="147"/>
      <c r="T317" s="79"/>
      <c r="U317" s="36"/>
      <c r="V317" s="148"/>
      <c r="W317" s="84"/>
      <c r="X317" s="16"/>
    </row>
    <row r="318" spans="8:24" ht="20" customHeight="1" x14ac:dyDescent="0.25">
      <c r="H318" s="147"/>
      <c r="I318" s="16"/>
      <c r="J318" s="16"/>
      <c r="K318" s="16"/>
      <c r="L318" s="16"/>
      <c r="M318" s="147"/>
      <c r="N318" s="16"/>
      <c r="O318" s="147"/>
      <c r="P318" s="16"/>
      <c r="Q318" s="147"/>
      <c r="R318" s="16"/>
      <c r="S318" s="147"/>
      <c r="T318" s="79"/>
      <c r="U318" s="36"/>
      <c r="V318" s="148"/>
      <c r="W318" s="84"/>
      <c r="X318" s="16"/>
    </row>
    <row r="319" spans="8:24" ht="20" customHeight="1" x14ac:dyDescent="0.25">
      <c r="H319" s="147"/>
      <c r="I319" s="16"/>
      <c r="J319" s="16"/>
      <c r="K319" s="16"/>
      <c r="L319" s="16"/>
      <c r="M319" s="147"/>
      <c r="N319" s="16"/>
      <c r="O319" s="147"/>
      <c r="P319" s="16"/>
      <c r="Q319" s="147"/>
      <c r="R319" s="16"/>
      <c r="S319" s="147"/>
      <c r="T319" s="79"/>
      <c r="U319" s="36"/>
      <c r="V319" s="148"/>
      <c r="W319" s="84"/>
      <c r="X319" s="16"/>
    </row>
    <row r="320" spans="8:24" ht="20" customHeight="1" x14ac:dyDescent="0.25">
      <c r="H320" s="147"/>
      <c r="I320" s="16"/>
      <c r="J320" s="16"/>
      <c r="K320" s="16"/>
      <c r="L320" s="16"/>
      <c r="M320" s="147"/>
      <c r="N320" s="16"/>
      <c r="O320" s="147"/>
      <c r="P320" s="16"/>
      <c r="Q320" s="147"/>
      <c r="R320" s="16"/>
      <c r="S320" s="147"/>
      <c r="T320" s="79"/>
      <c r="U320" s="36"/>
      <c r="V320" s="148"/>
      <c r="W320" s="84"/>
      <c r="X320" s="16"/>
    </row>
    <row r="321" spans="8:24" ht="20" customHeight="1" x14ac:dyDescent="0.25">
      <c r="H321" s="147"/>
      <c r="I321" s="16"/>
      <c r="J321" s="16"/>
      <c r="K321" s="16"/>
      <c r="L321" s="16"/>
      <c r="M321" s="147"/>
      <c r="N321" s="16"/>
      <c r="O321" s="147"/>
      <c r="P321" s="16"/>
      <c r="Q321" s="147"/>
      <c r="R321" s="16"/>
      <c r="S321" s="147"/>
      <c r="T321" s="79"/>
      <c r="U321" s="36"/>
      <c r="V321" s="148"/>
      <c r="W321" s="84"/>
      <c r="X321" s="16"/>
    </row>
    <row r="322" spans="8:24" ht="20" customHeight="1" x14ac:dyDescent="0.25">
      <c r="H322" s="147"/>
      <c r="I322" s="16"/>
      <c r="J322" s="16"/>
      <c r="K322" s="16"/>
      <c r="L322" s="16"/>
      <c r="M322" s="147"/>
      <c r="N322" s="16"/>
      <c r="O322" s="147"/>
      <c r="P322" s="16"/>
      <c r="Q322" s="147"/>
      <c r="R322" s="16"/>
      <c r="S322" s="147"/>
      <c r="T322" s="79"/>
      <c r="U322" s="36"/>
      <c r="V322" s="148"/>
      <c r="W322" s="84"/>
      <c r="X322" s="16"/>
    </row>
    <row r="323" spans="8:24" ht="20" customHeight="1" x14ac:dyDescent="0.25">
      <c r="H323" s="147"/>
      <c r="I323" s="16"/>
      <c r="J323" s="16"/>
      <c r="K323" s="16"/>
      <c r="L323" s="16"/>
      <c r="M323" s="147"/>
      <c r="N323" s="16"/>
      <c r="O323" s="147"/>
      <c r="P323" s="16"/>
      <c r="Q323" s="147"/>
      <c r="R323" s="16"/>
      <c r="S323" s="147"/>
      <c r="T323" s="79"/>
      <c r="U323" s="36"/>
      <c r="V323" s="148"/>
      <c r="W323" s="84"/>
      <c r="X323" s="16"/>
    </row>
    <row r="324" spans="8:24" ht="20" customHeight="1" x14ac:dyDescent="0.25">
      <c r="H324" s="147"/>
      <c r="I324" s="16"/>
      <c r="J324" s="16"/>
      <c r="K324" s="16"/>
      <c r="L324" s="16"/>
      <c r="M324" s="147"/>
      <c r="N324" s="16"/>
      <c r="O324" s="147"/>
      <c r="P324" s="16"/>
      <c r="Q324" s="147"/>
      <c r="R324" s="16"/>
      <c r="S324" s="147"/>
      <c r="T324" s="79"/>
      <c r="U324" s="36"/>
      <c r="V324" s="148"/>
      <c r="W324" s="84"/>
      <c r="X324" s="16"/>
    </row>
    <row r="325" spans="8:24" ht="20" customHeight="1" x14ac:dyDescent="0.25">
      <c r="H325" s="147"/>
      <c r="I325" s="16"/>
      <c r="J325" s="16"/>
      <c r="K325" s="16"/>
      <c r="L325" s="16"/>
      <c r="M325" s="147"/>
      <c r="N325" s="16"/>
      <c r="O325" s="147"/>
      <c r="P325" s="16"/>
      <c r="Q325" s="147"/>
      <c r="R325" s="16"/>
      <c r="S325" s="147"/>
      <c r="T325" s="79"/>
      <c r="U325" s="36"/>
      <c r="V325" s="148"/>
      <c r="W325" s="84"/>
      <c r="X325" s="16"/>
    </row>
    <row r="326" spans="8:24" ht="20" customHeight="1" x14ac:dyDescent="0.25">
      <c r="H326" s="147"/>
      <c r="I326" s="16"/>
      <c r="J326" s="16"/>
      <c r="K326" s="16"/>
      <c r="L326" s="16"/>
      <c r="M326" s="147"/>
      <c r="N326" s="16"/>
      <c r="O326" s="147"/>
      <c r="P326" s="16"/>
      <c r="Q326" s="147"/>
      <c r="R326" s="16"/>
      <c r="S326" s="147"/>
      <c r="T326" s="79"/>
      <c r="U326" s="36"/>
      <c r="V326" s="148"/>
      <c r="W326" s="84"/>
      <c r="X326" s="16"/>
    </row>
    <row r="327" spans="8:24" ht="20" customHeight="1" x14ac:dyDescent="0.25">
      <c r="H327" s="147"/>
      <c r="I327" s="16"/>
      <c r="J327" s="16"/>
      <c r="K327" s="16"/>
      <c r="L327" s="16"/>
      <c r="M327" s="147"/>
      <c r="N327" s="16"/>
      <c r="O327" s="147"/>
      <c r="P327" s="16"/>
      <c r="Q327" s="147"/>
      <c r="R327" s="16"/>
      <c r="S327" s="147"/>
      <c r="T327" s="79"/>
      <c r="U327" s="36"/>
      <c r="V327" s="148"/>
      <c r="W327" s="84"/>
      <c r="X327" s="16"/>
    </row>
    <row r="328" spans="8:24" ht="20" customHeight="1" x14ac:dyDescent="0.25">
      <c r="H328" s="147"/>
      <c r="I328" s="16"/>
      <c r="J328" s="16"/>
      <c r="K328" s="16"/>
      <c r="L328" s="16"/>
      <c r="M328" s="147"/>
      <c r="N328" s="16"/>
      <c r="O328" s="147"/>
      <c r="P328" s="16"/>
      <c r="Q328" s="147"/>
      <c r="R328" s="16"/>
      <c r="S328" s="147"/>
      <c r="T328" s="79"/>
      <c r="U328" s="36"/>
      <c r="V328" s="148"/>
      <c r="W328" s="84"/>
      <c r="X328" s="16"/>
    </row>
    <row r="329" spans="8:24" ht="20" customHeight="1" x14ac:dyDescent="0.25">
      <c r="H329" s="147"/>
      <c r="I329" s="16"/>
      <c r="J329" s="16"/>
      <c r="K329" s="16"/>
      <c r="L329" s="16"/>
      <c r="M329" s="147"/>
      <c r="N329" s="16"/>
      <c r="O329" s="147"/>
      <c r="P329" s="16"/>
      <c r="Q329" s="147"/>
      <c r="R329" s="16"/>
      <c r="S329" s="147"/>
      <c r="T329" s="79"/>
      <c r="U329" s="36"/>
      <c r="V329" s="148"/>
      <c r="W329" s="84"/>
      <c r="X329" s="16"/>
    </row>
    <row r="330" spans="8:24" ht="20" customHeight="1" x14ac:dyDescent="0.25">
      <c r="H330" s="147"/>
      <c r="I330" s="16"/>
      <c r="J330" s="16"/>
      <c r="K330" s="16"/>
      <c r="L330" s="16"/>
      <c r="M330" s="147"/>
      <c r="N330" s="16"/>
      <c r="O330" s="147"/>
      <c r="P330" s="16"/>
      <c r="Q330" s="147"/>
      <c r="R330" s="16"/>
      <c r="S330" s="147"/>
      <c r="T330" s="79"/>
      <c r="U330" s="36"/>
      <c r="V330" s="148"/>
      <c r="W330" s="84"/>
      <c r="X330" s="16"/>
    </row>
    <row r="331" spans="8:24" ht="20" customHeight="1" x14ac:dyDescent="0.25">
      <c r="H331" s="147"/>
      <c r="I331" s="16"/>
      <c r="J331" s="16"/>
      <c r="K331" s="16"/>
      <c r="L331" s="16"/>
      <c r="M331" s="147"/>
      <c r="N331" s="16"/>
      <c r="O331" s="147"/>
      <c r="P331" s="16"/>
      <c r="Q331" s="147"/>
      <c r="R331" s="16"/>
      <c r="S331" s="147"/>
      <c r="T331" s="79"/>
      <c r="U331" s="36"/>
      <c r="V331" s="148"/>
      <c r="W331" s="84"/>
      <c r="X331" s="16"/>
    </row>
    <row r="332" spans="8:24" ht="20" customHeight="1" x14ac:dyDescent="0.25">
      <c r="H332" s="147"/>
      <c r="I332" s="16"/>
      <c r="J332" s="16"/>
      <c r="K332" s="16"/>
      <c r="L332" s="16"/>
      <c r="M332" s="147"/>
      <c r="N332" s="16"/>
      <c r="O332" s="147"/>
      <c r="P332" s="16"/>
      <c r="Q332" s="147"/>
      <c r="R332" s="16"/>
      <c r="S332" s="147"/>
      <c r="T332" s="79"/>
      <c r="U332" s="36"/>
      <c r="V332" s="148"/>
      <c r="W332" s="84"/>
      <c r="X332" s="16"/>
    </row>
    <row r="333" spans="8:24" ht="20" customHeight="1" x14ac:dyDescent="0.25">
      <c r="H333" s="147"/>
      <c r="I333" s="16"/>
      <c r="J333" s="16"/>
      <c r="K333" s="16"/>
      <c r="L333" s="16"/>
      <c r="M333" s="147"/>
      <c r="N333" s="16"/>
      <c r="O333" s="147"/>
      <c r="P333" s="16"/>
      <c r="Q333" s="147"/>
      <c r="R333" s="16"/>
      <c r="S333" s="147"/>
      <c r="T333" s="79"/>
      <c r="U333" s="36"/>
      <c r="V333" s="148"/>
      <c r="W333" s="84"/>
      <c r="X333" s="16"/>
    </row>
    <row r="334" spans="8:24" ht="20" customHeight="1" x14ac:dyDescent="0.25">
      <c r="H334" s="147"/>
      <c r="I334" s="16"/>
      <c r="J334" s="16"/>
      <c r="K334" s="16"/>
      <c r="L334" s="16"/>
      <c r="M334" s="147"/>
      <c r="N334" s="16"/>
      <c r="O334" s="147"/>
      <c r="P334" s="16"/>
      <c r="Q334" s="147"/>
      <c r="R334" s="16"/>
      <c r="S334" s="147"/>
      <c r="T334" s="79"/>
      <c r="U334" s="36"/>
      <c r="V334" s="148"/>
      <c r="W334" s="84"/>
      <c r="X334" s="16"/>
    </row>
    <row r="335" spans="8:24" ht="20" customHeight="1" x14ac:dyDescent="0.25">
      <c r="H335" s="147"/>
      <c r="I335" s="16"/>
      <c r="J335" s="16"/>
      <c r="K335" s="16"/>
      <c r="L335" s="16"/>
      <c r="M335" s="147"/>
      <c r="N335" s="16"/>
      <c r="O335" s="147"/>
      <c r="P335" s="16"/>
      <c r="Q335" s="147"/>
      <c r="R335" s="16"/>
      <c r="S335" s="147"/>
      <c r="T335" s="79"/>
      <c r="U335" s="36"/>
      <c r="V335" s="148"/>
      <c r="W335" s="84"/>
      <c r="X335" s="16"/>
    </row>
    <row r="336" spans="8:24" ht="20" customHeight="1" x14ac:dyDescent="0.25">
      <c r="H336" s="147"/>
      <c r="I336" s="16"/>
      <c r="J336" s="16"/>
      <c r="K336" s="16"/>
      <c r="L336" s="16"/>
      <c r="M336" s="147"/>
      <c r="N336" s="16"/>
      <c r="O336" s="147"/>
      <c r="P336" s="16"/>
      <c r="Q336" s="147"/>
      <c r="R336" s="16"/>
      <c r="S336" s="147"/>
      <c r="T336" s="79"/>
      <c r="U336" s="36"/>
      <c r="V336" s="148"/>
      <c r="W336" s="84"/>
      <c r="X336" s="16"/>
    </row>
    <row r="337" spans="8:24" ht="20" customHeight="1" x14ac:dyDescent="0.25">
      <c r="H337" s="147"/>
      <c r="I337" s="16"/>
      <c r="J337" s="16"/>
      <c r="K337" s="16"/>
      <c r="L337" s="16"/>
      <c r="M337" s="147"/>
      <c r="N337" s="16"/>
      <c r="O337" s="147"/>
      <c r="P337" s="16"/>
      <c r="Q337" s="147"/>
      <c r="R337" s="16"/>
      <c r="S337" s="147"/>
      <c r="T337" s="79"/>
      <c r="U337" s="36"/>
      <c r="V337" s="148"/>
      <c r="W337" s="84"/>
      <c r="X337" s="16"/>
    </row>
    <row r="338" spans="8:24" ht="20" customHeight="1" x14ac:dyDescent="0.25">
      <c r="H338" s="147"/>
      <c r="I338" s="16"/>
      <c r="J338" s="16"/>
      <c r="K338" s="16"/>
      <c r="L338" s="16"/>
      <c r="M338" s="147"/>
      <c r="N338" s="16"/>
      <c r="O338" s="147"/>
      <c r="P338" s="16"/>
      <c r="Q338" s="147"/>
      <c r="R338" s="16"/>
      <c r="S338" s="147"/>
      <c r="T338" s="79"/>
      <c r="U338" s="36"/>
      <c r="V338" s="148"/>
      <c r="W338" s="84"/>
      <c r="X338" s="16"/>
    </row>
    <row r="339" spans="8:24" ht="20" customHeight="1" x14ac:dyDescent="0.25">
      <c r="H339" s="147"/>
      <c r="I339" s="16"/>
      <c r="J339" s="16"/>
      <c r="K339" s="16"/>
      <c r="L339" s="16"/>
      <c r="M339" s="147"/>
      <c r="N339" s="16"/>
      <c r="O339" s="147"/>
      <c r="P339" s="16"/>
      <c r="Q339" s="147"/>
      <c r="R339" s="16"/>
      <c r="S339" s="147"/>
      <c r="T339" s="79"/>
      <c r="U339" s="36"/>
      <c r="V339" s="148"/>
      <c r="W339" s="84"/>
      <c r="X339" s="16"/>
    </row>
    <row r="340" spans="8:24" ht="20" customHeight="1" x14ac:dyDescent="0.25">
      <c r="H340" s="147"/>
      <c r="I340" s="16"/>
      <c r="J340" s="16"/>
      <c r="K340" s="16"/>
      <c r="L340" s="16"/>
      <c r="M340" s="147"/>
      <c r="N340" s="16"/>
      <c r="O340" s="147"/>
      <c r="P340" s="16"/>
      <c r="Q340" s="147"/>
      <c r="R340" s="16"/>
      <c r="S340" s="147"/>
      <c r="T340" s="79"/>
      <c r="U340" s="36"/>
      <c r="V340" s="148"/>
      <c r="W340" s="84"/>
      <c r="X340" s="16"/>
    </row>
    <row r="341" spans="8:24" ht="20" customHeight="1" x14ac:dyDescent="0.25">
      <c r="H341" s="147"/>
      <c r="I341" s="16"/>
      <c r="J341" s="16"/>
      <c r="K341" s="16"/>
      <c r="L341" s="16"/>
      <c r="M341" s="147"/>
      <c r="N341" s="16"/>
      <c r="O341" s="147"/>
      <c r="P341" s="16"/>
      <c r="Q341" s="147"/>
      <c r="R341" s="16"/>
      <c r="S341" s="147"/>
      <c r="T341" s="79"/>
      <c r="U341" s="36"/>
      <c r="V341" s="148"/>
      <c r="W341" s="84"/>
      <c r="X341" s="16"/>
    </row>
    <row r="342" spans="8:24" ht="20" customHeight="1" x14ac:dyDescent="0.25">
      <c r="H342" s="147"/>
      <c r="I342" s="16"/>
      <c r="J342" s="16"/>
      <c r="K342" s="16"/>
      <c r="L342" s="16"/>
      <c r="M342" s="147"/>
      <c r="N342" s="16"/>
      <c r="O342" s="147"/>
      <c r="P342" s="16"/>
      <c r="Q342" s="147"/>
      <c r="R342" s="16"/>
      <c r="S342" s="147"/>
      <c r="T342" s="79"/>
      <c r="U342" s="36"/>
      <c r="V342" s="148"/>
      <c r="W342" s="84"/>
      <c r="X342" s="16"/>
    </row>
    <row r="343" spans="8:24" ht="20" customHeight="1" x14ac:dyDescent="0.25">
      <c r="H343" s="147"/>
      <c r="I343" s="16"/>
      <c r="J343" s="16"/>
      <c r="K343" s="16"/>
      <c r="L343" s="16"/>
      <c r="M343" s="147"/>
      <c r="N343" s="16"/>
      <c r="O343" s="147"/>
      <c r="P343" s="16"/>
      <c r="Q343" s="147"/>
      <c r="R343" s="16"/>
      <c r="S343" s="147"/>
      <c r="T343" s="79"/>
      <c r="U343" s="36"/>
      <c r="V343" s="148"/>
      <c r="W343" s="84"/>
      <c r="X343" s="16"/>
    </row>
    <row r="344" spans="8:24" ht="20" customHeight="1" x14ac:dyDescent="0.25">
      <c r="H344" s="147"/>
      <c r="I344" s="16"/>
      <c r="J344" s="16"/>
      <c r="K344" s="16"/>
      <c r="L344" s="16"/>
      <c r="M344" s="147"/>
      <c r="N344" s="16"/>
      <c r="O344" s="147"/>
      <c r="P344" s="16"/>
      <c r="Q344" s="147"/>
      <c r="R344" s="16"/>
      <c r="S344" s="147"/>
      <c r="T344" s="79"/>
      <c r="U344" s="36"/>
      <c r="V344" s="148"/>
      <c r="W344" s="84"/>
      <c r="X344" s="16"/>
    </row>
    <row r="345" spans="8:24" ht="20" customHeight="1" x14ac:dyDescent="0.25">
      <c r="H345" s="147"/>
      <c r="I345" s="16"/>
      <c r="J345" s="16"/>
      <c r="K345" s="16"/>
      <c r="L345" s="16"/>
      <c r="M345" s="147"/>
      <c r="N345" s="16"/>
      <c r="O345" s="147"/>
      <c r="P345" s="16"/>
      <c r="Q345" s="147"/>
      <c r="R345" s="16"/>
      <c r="S345" s="147"/>
      <c r="T345" s="79"/>
      <c r="U345" s="36"/>
      <c r="V345" s="148"/>
      <c r="W345" s="84"/>
      <c r="X345" s="16"/>
    </row>
    <row r="346" spans="8:24" ht="20" customHeight="1" x14ac:dyDescent="0.25">
      <c r="H346" s="147"/>
      <c r="I346" s="16"/>
      <c r="J346" s="16"/>
      <c r="K346" s="16"/>
      <c r="L346" s="16"/>
      <c r="M346" s="147"/>
      <c r="N346" s="16"/>
      <c r="O346" s="147"/>
      <c r="P346" s="16"/>
      <c r="Q346" s="147"/>
      <c r="R346" s="16"/>
      <c r="S346" s="147"/>
      <c r="T346" s="79"/>
      <c r="U346" s="36"/>
      <c r="V346" s="148"/>
      <c r="W346" s="84"/>
      <c r="X346" s="16"/>
    </row>
    <row r="347" spans="8:24" ht="20" customHeight="1" x14ac:dyDescent="0.25">
      <c r="H347" s="147"/>
      <c r="I347" s="16"/>
      <c r="J347" s="16"/>
      <c r="K347" s="16"/>
      <c r="L347" s="16"/>
      <c r="M347" s="147"/>
      <c r="N347" s="16"/>
      <c r="O347" s="147"/>
      <c r="P347" s="16"/>
      <c r="Q347" s="147"/>
      <c r="R347" s="16"/>
      <c r="S347" s="147"/>
      <c r="T347" s="79"/>
      <c r="U347" s="36"/>
      <c r="V347" s="148"/>
      <c r="W347" s="84"/>
      <c r="X347" s="16"/>
    </row>
    <row r="348" spans="8:24" ht="20" customHeight="1" x14ac:dyDescent="0.25">
      <c r="H348" s="147"/>
      <c r="I348" s="16"/>
      <c r="J348" s="16"/>
      <c r="K348" s="16"/>
      <c r="L348" s="16"/>
      <c r="M348" s="147"/>
      <c r="N348" s="16"/>
      <c r="O348" s="147"/>
      <c r="P348" s="16"/>
      <c r="Q348" s="147"/>
      <c r="R348" s="16"/>
      <c r="S348" s="147"/>
      <c r="T348" s="79"/>
      <c r="U348" s="36"/>
      <c r="V348" s="148"/>
      <c r="W348" s="84"/>
      <c r="X348" s="16"/>
    </row>
    <row r="349" spans="8:24" ht="20" customHeight="1" x14ac:dyDescent="0.25">
      <c r="H349" s="147"/>
      <c r="I349" s="16"/>
      <c r="J349" s="16"/>
      <c r="K349" s="16"/>
      <c r="L349" s="16"/>
      <c r="M349" s="147"/>
      <c r="N349" s="16"/>
      <c r="O349" s="147"/>
      <c r="P349" s="16"/>
      <c r="Q349" s="147"/>
      <c r="R349" s="16"/>
      <c r="S349" s="147"/>
      <c r="T349" s="79"/>
      <c r="U349" s="36"/>
      <c r="V349" s="148"/>
      <c r="W349" s="84"/>
      <c r="X349" s="16"/>
    </row>
    <row r="350" spans="8:24" ht="20" customHeight="1" x14ac:dyDescent="0.25">
      <c r="H350" s="147"/>
      <c r="I350" s="16"/>
      <c r="J350" s="16"/>
      <c r="K350" s="16"/>
      <c r="L350" s="16"/>
      <c r="M350" s="147"/>
      <c r="N350" s="16"/>
      <c r="O350" s="147"/>
      <c r="P350" s="16"/>
      <c r="Q350" s="147"/>
      <c r="R350" s="16"/>
      <c r="S350" s="147"/>
      <c r="T350" s="79"/>
      <c r="U350" s="36"/>
      <c r="V350" s="148"/>
      <c r="W350" s="84"/>
      <c r="X350" s="16"/>
    </row>
    <row r="351" spans="8:24" ht="20" customHeight="1" x14ac:dyDescent="0.25">
      <c r="H351" s="147"/>
      <c r="I351" s="16"/>
      <c r="J351" s="16"/>
      <c r="K351" s="16"/>
      <c r="L351" s="16"/>
      <c r="M351" s="147"/>
      <c r="N351" s="16"/>
      <c r="O351" s="147"/>
      <c r="P351" s="16"/>
      <c r="Q351" s="147"/>
      <c r="R351" s="16"/>
      <c r="S351" s="147"/>
      <c r="T351" s="79"/>
      <c r="U351" s="36"/>
      <c r="V351" s="148"/>
      <c r="W351" s="84"/>
      <c r="X351" s="16"/>
    </row>
    <row r="352" spans="8:24" ht="20" customHeight="1" x14ac:dyDescent="0.25">
      <c r="H352" s="147"/>
      <c r="I352" s="16"/>
      <c r="J352" s="16"/>
      <c r="K352" s="16"/>
      <c r="L352" s="16"/>
      <c r="M352" s="147"/>
      <c r="N352" s="16"/>
      <c r="O352" s="147"/>
      <c r="P352" s="16"/>
      <c r="Q352" s="147"/>
      <c r="R352" s="16"/>
      <c r="S352" s="147"/>
      <c r="T352" s="79"/>
      <c r="U352" s="36"/>
      <c r="V352" s="148"/>
      <c r="W352" s="84"/>
      <c r="X352" s="16"/>
    </row>
    <row r="353" spans="8:24" ht="20" customHeight="1" x14ac:dyDescent="0.25">
      <c r="H353" s="147"/>
      <c r="I353" s="16"/>
      <c r="J353" s="16"/>
      <c r="K353" s="16"/>
      <c r="L353" s="16"/>
      <c r="M353" s="147"/>
      <c r="N353" s="16"/>
      <c r="O353" s="147"/>
      <c r="P353" s="16"/>
      <c r="Q353" s="147"/>
      <c r="R353" s="16"/>
      <c r="S353" s="147"/>
      <c r="T353" s="79"/>
      <c r="U353" s="36"/>
      <c r="V353" s="148"/>
      <c r="W353" s="84"/>
      <c r="X353" s="16"/>
    </row>
    <row r="354" spans="8:24" ht="20" customHeight="1" x14ac:dyDescent="0.25">
      <c r="H354" s="147"/>
      <c r="I354" s="16"/>
      <c r="J354" s="16"/>
      <c r="K354" s="16"/>
      <c r="L354" s="16"/>
      <c r="M354" s="147"/>
      <c r="N354" s="16"/>
      <c r="O354" s="147"/>
      <c r="P354" s="16"/>
      <c r="Q354" s="147"/>
      <c r="R354" s="16"/>
      <c r="S354" s="147"/>
      <c r="T354" s="79"/>
      <c r="U354" s="36"/>
      <c r="V354" s="148"/>
      <c r="W354" s="84"/>
      <c r="X354" s="16"/>
    </row>
    <row r="355" spans="8:24" ht="20" customHeight="1" x14ac:dyDescent="0.25">
      <c r="H355" s="147"/>
      <c r="I355" s="16"/>
      <c r="J355" s="16"/>
      <c r="K355" s="16"/>
      <c r="L355" s="16"/>
      <c r="M355" s="147"/>
      <c r="N355" s="16"/>
      <c r="O355" s="147"/>
      <c r="P355" s="16"/>
      <c r="Q355" s="147"/>
      <c r="R355" s="16"/>
      <c r="S355" s="147"/>
      <c r="T355" s="79"/>
      <c r="U355" s="36"/>
      <c r="V355" s="148"/>
      <c r="W355" s="84"/>
      <c r="X355" s="16"/>
    </row>
    <row r="356" spans="8:24" ht="20" customHeight="1" x14ac:dyDescent="0.25">
      <c r="H356" s="147"/>
      <c r="I356" s="16"/>
      <c r="J356" s="16"/>
      <c r="K356" s="16"/>
      <c r="L356" s="16"/>
      <c r="M356" s="147"/>
      <c r="N356" s="16"/>
      <c r="O356" s="147"/>
      <c r="P356" s="16"/>
      <c r="Q356" s="147"/>
      <c r="R356" s="16"/>
      <c r="S356" s="147"/>
      <c r="T356" s="79"/>
      <c r="U356" s="36"/>
      <c r="V356" s="148"/>
      <c r="W356" s="84"/>
      <c r="X356" s="16"/>
    </row>
    <row r="357" spans="8:24" ht="20" customHeight="1" x14ac:dyDescent="0.25">
      <c r="H357" s="147"/>
      <c r="I357" s="16"/>
      <c r="J357" s="16"/>
      <c r="K357" s="16"/>
      <c r="L357" s="16"/>
      <c r="M357" s="147"/>
      <c r="N357" s="16"/>
      <c r="O357" s="147"/>
      <c r="P357" s="16"/>
      <c r="Q357" s="147"/>
      <c r="R357" s="16"/>
      <c r="S357" s="147"/>
      <c r="T357" s="79"/>
      <c r="U357" s="36"/>
      <c r="V357" s="148"/>
      <c r="W357" s="84"/>
      <c r="X357" s="16"/>
    </row>
    <row r="358" spans="8:24" ht="20" customHeight="1" x14ac:dyDescent="0.25">
      <c r="H358" s="147"/>
      <c r="I358" s="16"/>
      <c r="J358" s="16"/>
      <c r="K358" s="16"/>
      <c r="L358" s="16"/>
      <c r="M358" s="147"/>
      <c r="N358" s="16"/>
      <c r="O358" s="147"/>
      <c r="P358" s="16"/>
      <c r="Q358" s="147"/>
      <c r="R358" s="16"/>
      <c r="S358" s="147"/>
      <c r="T358" s="79"/>
      <c r="U358" s="36"/>
      <c r="V358" s="148"/>
      <c r="W358" s="84"/>
      <c r="X358" s="16"/>
    </row>
    <row r="359" spans="8:24" ht="20" customHeight="1" x14ac:dyDescent="0.25">
      <c r="H359" s="147"/>
      <c r="I359" s="16"/>
      <c r="J359" s="16"/>
      <c r="K359" s="16"/>
      <c r="L359" s="16"/>
      <c r="M359" s="147"/>
      <c r="N359" s="16"/>
      <c r="O359" s="147"/>
      <c r="P359" s="16"/>
      <c r="Q359" s="147"/>
      <c r="R359" s="16"/>
      <c r="S359" s="147"/>
      <c r="T359" s="79"/>
      <c r="U359" s="36"/>
      <c r="V359" s="148"/>
      <c r="W359" s="84"/>
      <c r="X359" s="16"/>
    </row>
    <row r="360" spans="8:24" ht="20" customHeight="1" x14ac:dyDescent="0.25">
      <c r="H360" s="147"/>
      <c r="I360" s="16"/>
      <c r="J360" s="16"/>
      <c r="K360" s="16"/>
      <c r="L360" s="16"/>
      <c r="M360" s="147"/>
      <c r="N360" s="16"/>
      <c r="O360" s="147"/>
      <c r="P360" s="16"/>
      <c r="Q360" s="147"/>
      <c r="R360" s="16"/>
      <c r="S360" s="147"/>
      <c r="T360" s="79"/>
      <c r="U360" s="36"/>
      <c r="V360" s="148"/>
      <c r="W360" s="84"/>
      <c r="X360" s="16"/>
    </row>
    <row r="361" spans="8:24" ht="20" customHeight="1" x14ac:dyDescent="0.25">
      <c r="H361" s="147"/>
      <c r="I361" s="16"/>
      <c r="J361" s="16"/>
      <c r="K361" s="16"/>
      <c r="L361" s="16"/>
      <c r="M361" s="147"/>
      <c r="N361" s="16"/>
      <c r="O361" s="147"/>
      <c r="P361" s="16"/>
      <c r="Q361" s="147"/>
      <c r="R361" s="16"/>
      <c r="S361" s="147"/>
      <c r="T361" s="79"/>
      <c r="U361" s="36"/>
      <c r="V361" s="148"/>
      <c r="W361" s="84"/>
      <c r="X361" s="16"/>
    </row>
    <row r="362" spans="8:24" ht="20" customHeight="1" x14ac:dyDescent="0.25">
      <c r="H362" s="147"/>
      <c r="I362" s="16"/>
      <c r="J362" s="16"/>
      <c r="K362" s="16"/>
      <c r="L362" s="16"/>
      <c r="M362" s="147"/>
      <c r="N362" s="16"/>
      <c r="O362" s="147"/>
      <c r="P362" s="16"/>
      <c r="Q362" s="147"/>
      <c r="R362" s="16"/>
      <c r="S362" s="147"/>
      <c r="T362" s="79"/>
      <c r="U362" s="36"/>
      <c r="V362" s="148"/>
      <c r="W362" s="84"/>
      <c r="X362" s="16"/>
    </row>
    <row r="363" spans="8:24" ht="20" customHeight="1" x14ac:dyDescent="0.25">
      <c r="H363" s="147"/>
      <c r="I363" s="16"/>
      <c r="J363" s="16"/>
      <c r="K363" s="16"/>
      <c r="L363" s="16"/>
      <c r="M363" s="147"/>
      <c r="N363" s="16"/>
      <c r="O363" s="147"/>
      <c r="P363" s="16"/>
      <c r="Q363" s="147"/>
      <c r="R363" s="16"/>
      <c r="S363" s="147"/>
      <c r="T363" s="79"/>
      <c r="U363" s="36"/>
      <c r="V363" s="148"/>
      <c r="W363" s="84"/>
      <c r="X363" s="16"/>
    </row>
    <row r="364" spans="8:24" ht="20" customHeight="1" x14ac:dyDescent="0.25">
      <c r="H364" s="147"/>
      <c r="I364" s="16"/>
      <c r="J364" s="16"/>
      <c r="K364" s="16"/>
      <c r="L364" s="16"/>
      <c r="M364" s="147"/>
      <c r="N364" s="16"/>
      <c r="O364" s="147"/>
      <c r="P364" s="16"/>
      <c r="Q364" s="147"/>
      <c r="R364" s="16"/>
      <c r="S364" s="147"/>
      <c r="T364" s="79"/>
      <c r="U364" s="36"/>
      <c r="V364" s="148"/>
      <c r="W364" s="84"/>
      <c r="X364" s="16"/>
    </row>
    <row r="365" spans="8:24" ht="20" customHeight="1" x14ac:dyDescent="0.25">
      <c r="H365" s="147"/>
      <c r="I365" s="16"/>
      <c r="J365" s="16"/>
      <c r="K365" s="16"/>
      <c r="L365" s="16"/>
      <c r="M365" s="147"/>
      <c r="N365" s="16"/>
      <c r="O365" s="147"/>
      <c r="P365" s="16"/>
      <c r="Q365" s="147"/>
      <c r="R365" s="16"/>
      <c r="S365" s="147"/>
      <c r="T365" s="79"/>
      <c r="U365" s="36"/>
      <c r="V365" s="148"/>
      <c r="W365" s="84"/>
      <c r="X365" s="16"/>
    </row>
    <row r="366" spans="8:24" ht="20" customHeight="1" x14ac:dyDescent="0.25">
      <c r="H366" s="147"/>
      <c r="I366" s="16"/>
      <c r="J366" s="16"/>
      <c r="K366" s="16"/>
      <c r="L366" s="16"/>
      <c r="M366" s="147"/>
      <c r="N366" s="16"/>
      <c r="O366" s="147"/>
      <c r="P366" s="16"/>
      <c r="Q366" s="147"/>
      <c r="R366" s="16"/>
      <c r="S366" s="147"/>
      <c r="T366" s="79"/>
      <c r="U366" s="36"/>
      <c r="V366" s="148"/>
      <c r="W366" s="84"/>
      <c r="X366" s="16"/>
    </row>
    <row r="367" spans="8:24" ht="20" customHeight="1" x14ac:dyDescent="0.25">
      <c r="H367" s="147"/>
      <c r="I367" s="16"/>
      <c r="J367" s="16"/>
      <c r="K367" s="16"/>
      <c r="L367" s="16"/>
      <c r="M367" s="147"/>
      <c r="N367" s="16"/>
      <c r="O367" s="147"/>
      <c r="P367" s="16"/>
      <c r="Q367" s="147"/>
      <c r="R367" s="16"/>
      <c r="S367" s="147"/>
      <c r="T367" s="79"/>
      <c r="U367" s="36"/>
      <c r="V367" s="148"/>
      <c r="W367" s="84"/>
      <c r="X367" s="16"/>
    </row>
    <row r="368" spans="8:24" ht="20" customHeight="1" x14ac:dyDescent="0.25">
      <c r="H368" s="147"/>
      <c r="I368" s="16"/>
      <c r="J368" s="16"/>
      <c r="K368" s="16"/>
      <c r="L368" s="16"/>
      <c r="M368" s="147"/>
      <c r="N368" s="16"/>
      <c r="O368" s="147"/>
      <c r="P368" s="16"/>
      <c r="Q368" s="147"/>
      <c r="R368" s="16"/>
      <c r="S368" s="147"/>
      <c r="T368" s="79"/>
      <c r="U368" s="36"/>
      <c r="V368" s="148"/>
      <c r="W368" s="84"/>
      <c r="X368" s="16"/>
    </row>
    <row r="369" spans="8:24" ht="20" customHeight="1" x14ac:dyDescent="0.25">
      <c r="H369" s="147"/>
      <c r="I369" s="16"/>
      <c r="J369" s="16"/>
      <c r="K369" s="16"/>
      <c r="L369" s="16"/>
      <c r="M369" s="147"/>
      <c r="N369" s="16"/>
      <c r="O369" s="147"/>
      <c r="P369" s="16"/>
      <c r="Q369" s="147"/>
      <c r="R369" s="16"/>
      <c r="S369" s="147"/>
      <c r="T369" s="79"/>
      <c r="U369" s="36"/>
      <c r="V369" s="148"/>
      <c r="W369" s="84"/>
      <c r="X369" s="16"/>
    </row>
    <row r="370" spans="8:24" ht="20" customHeight="1" x14ac:dyDescent="0.25">
      <c r="H370" s="147"/>
      <c r="I370" s="16"/>
      <c r="J370" s="16"/>
      <c r="K370" s="16"/>
      <c r="L370" s="16"/>
      <c r="M370" s="147"/>
      <c r="N370" s="16"/>
      <c r="O370" s="147"/>
      <c r="P370" s="16"/>
      <c r="Q370" s="147"/>
      <c r="R370" s="16"/>
      <c r="S370" s="147"/>
      <c r="T370" s="79"/>
      <c r="U370" s="36"/>
      <c r="V370" s="148"/>
      <c r="W370" s="84"/>
      <c r="X370" s="16"/>
    </row>
    <row r="371" spans="8:24" ht="20" customHeight="1" x14ac:dyDescent="0.25">
      <c r="H371" s="147"/>
      <c r="I371" s="16"/>
      <c r="J371" s="16"/>
      <c r="K371" s="16"/>
      <c r="L371" s="16"/>
      <c r="M371" s="147"/>
      <c r="N371" s="16"/>
      <c r="O371" s="147"/>
      <c r="P371" s="16"/>
      <c r="Q371" s="147"/>
      <c r="R371" s="16"/>
      <c r="S371" s="147"/>
      <c r="T371" s="79"/>
      <c r="U371" s="36"/>
      <c r="V371" s="148"/>
      <c r="W371" s="84"/>
      <c r="X371" s="16"/>
    </row>
    <row r="372" spans="8:24" ht="20" customHeight="1" x14ac:dyDescent="0.25">
      <c r="H372" s="147"/>
      <c r="I372" s="16"/>
      <c r="J372" s="16"/>
      <c r="K372" s="16"/>
      <c r="L372" s="16"/>
      <c r="M372" s="147"/>
      <c r="N372" s="16"/>
      <c r="O372" s="147"/>
      <c r="P372" s="16"/>
      <c r="Q372" s="147"/>
      <c r="R372" s="16"/>
      <c r="S372" s="147"/>
      <c r="T372" s="79"/>
      <c r="U372" s="36"/>
      <c r="V372" s="148"/>
      <c r="W372" s="84"/>
      <c r="X372" s="16"/>
    </row>
    <row r="373" spans="8:24" ht="20" customHeight="1" x14ac:dyDescent="0.25">
      <c r="H373" s="147"/>
      <c r="I373" s="16"/>
      <c r="J373" s="16"/>
      <c r="K373" s="16"/>
      <c r="L373" s="16"/>
      <c r="M373" s="147"/>
      <c r="N373" s="16"/>
      <c r="O373" s="147"/>
      <c r="P373" s="16"/>
      <c r="Q373" s="147"/>
      <c r="R373" s="16"/>
      <c r="S373" s="147"/>
      <c r="T373" s="79"/>
      <c r="U373" s="36"/>
      <c r="V373" s="148"/>
      <c r="W373" s="84"/>
      <c r="X373" s="16"/>
    </row>
    <row r="374" spans="8:24" ht="20" customHeight="1" x14ac:dyDescent="0.25">
      <c r="H374" s="147"/>
      <c r="I374" s="16"/>
      <c r="J374" s="16"/>
      <c r="K374" s="16"/>
      <c r="L374" s="16"/>
      <c r="M374" s="147"/>
      <c r="N374" s="16"/>
      <c r="O374" s="147"/>
      <c r="P374" s="16"/>
      <c r="Q374" s="147"/>
      <c r="R374" s="16"/>
      <c r="S374" s="147"/>
      <c r="T374" s="79"/>
      <c r="U374" s="36"/>
      <c r="V374" s="148"/>
      <c r="W374" s="84"/>
      <c r="X374" s="16"/>
    </row>
    <row r="375" spans="8:24" ht="20" customHeight="1" x14ac:dyDescent="0.25">
      <c r="H375" s="147"/>
      <c r="I375" s="16"/>
      <c r="J375" s="16"/>
      <c r="K375" s="16"/>
      <c r="L375" s="16"/>
      <c r="M375" s="147"/>
      <c r="N375" s="16"/>
      <c r="O375" s="147"/>
      <c r="P375" s="16"/>
      <c r="Q375" s="147"/>
      <c r="R375" s="16"/>
      <c r="S375" s="147"/>
      <c r="T375" s="79"/>
      <c r="U375" s="36"/>
      <c r="V375" s="148"/>
      <c r="W375" s="84"/>
      <c r="X375" s="16"/>
    </row>
    <row r="376" spans="8:24" ht="20" customHeight="1" x14ac:dyDescent="0.25">
      <c r="H376" s="147"/>
      <c r="I376" s="16"/>
      <c r="J376" s="16"/>
      <c r="K376" s="16"/>
      <c r="L376" s="16"/>
      <c r="M376" s="147"/>
      <c r="N376" s="16"/>
      <c r="O376" s="147"/>
      <c r="P376" s="16"/>
      <c r="Q376" s="147"/>
      <c r="R376" s="16"/>
      <c r="S376" s="147"/>
      <c r="T376" s="79"/>
      <c r="U376" s="36"/>
      <c r="V376" s="148"/>
      <c r="W376" s="84"/>
      <c r="X376" s="16"/>
    </row>
    <row r="377" spans="8:24" ht="20" customHeight="1" x14ac:dyDescent="0.25">
      <c r="H377" s="147"/>
      <c r="I377" s="16"/>
      <c r="J377" s="16"/>
      <c r="K377" s="16"/>
      <c r="L377" s="16"/>
      <c r="M377" s="147"/>
      <c r="N377" s="16"/>
      <c r="O377" s="147"/>
      <c r="P377" s="16"/>
      <c r="Q377" s="147"/>
      <c r="R377" s="16"/>
      <c r="S377" s="147"/>
      <c r="T377" s="79"/>
      <c r="U377" s="36"/>
      <c r="V377" s="148"/>
      <c r="W377" s="84"/>
      <c r="X377" s="16"/>
    </row>
    <row r="378" spans="8:24" ht="20" customHeight="1" x14ac:dyDescent="0.25">
      <c r="H378" s="147"/>
      <c r="I378" s="16"/>
      <c r="J378" s="16"/>
      <c r="K378" s="16"/>
      <c r="L378" s="16"/>
      <c r="M378" s="147"/>
      <c r="N378" s="16"/>
      <c r="O378" s="147"/>
      <c r="P378" s="16"/>
      <c r="Q378" s="147"/>
      <c r="R378" s="16"/>
      <c r="S378" s="147"/>
      <c r="T378" s="79"/>
      <c r="U378" s="36"/>
      <c r="V378" s="148"/>
      <c r="W378" s="84"/>
      <c r="X378" s="16"/>
    </row>
    <row r="379" spans="8:24" ht="20" customHeight="1" x14ac:dyDescent="0.25">
      <c r="H379" s="147"/>
      <c r="I379" s="16"/>
      <c r="J379" s="16"/>
      <c r="K379" s="16"/>
      <c r="L379" s="16"/>
      <c r="M379" s="147"/>
      <c r="N379" s="16"/>
      <c r="O379" s="147"/>
      <c r="P379" s="16"/>
      <c r="Q379" s="147"/>
      <c r="R379" s="16"/>
      <c r="S379" s="147"/>
      <c r="T379" s="79"/>
      <c r="U379" s="36"/>
      <c r="V379" s="148"/>
      <c r="W379" s="84"/>
      <c r="X379" s="16"/>
    </row>
    <row r="380" spans="8:24" ht="20" customHeight="1" x14ac:dyDescent="0.25">
      <c r="H380" s="147"/>
      <c r="I380" s="16"/>
      <c r="J380" s="16"/>
      <c r="K380" s="16"/>
      <c r="L380" s="16"/>
      <c r="M380" s="147"/>
      <c r="N380" s="16"/>
      <c r="O380" s="147"/>
      <c r="P380" s="16"/>
      <c r="Q380" s="147"/>
      <c r="R380" s="16"/>
      <c r="S380" s="147"/>
      <c r="T380" s="79"/>
      <c r="U380" s="36"/>
      <c r="V380" s="148"/>
      <c r="W380" s="84"/>
      <c r="X380" s="16"/>
    </row>
    <row r="381" spans="8:24" ht="20" customHeight="1" x14ac:dyDescent="0.25">
      <c r="H381" s="147"/>
      <c r="I381" s="16"/>
      <c r="J381" s="16"/>
      <c r="K381" s="16"/>
      <c r="L381" s="16"/>
      <c r="M381" s="147"/>
      <c r="N381" s="16"/>
      <c r="O381" s="147"/>
      <c r="P381" s="16"/>
      <c r="Q381" s="147"/>
      <c r="R381" s="16"/>
      <c r="S381" s="147"/>
      <c r="T381" s="79"/>
      <c r="U381" s="36"/>
      <c r="V381" s="148"/>
      <c r="W381" s="84"/>
      <c r="X381" s="16"/>
    </row>
    <row r="382" spans="8:24" ht="20" customHeight="1" x14ac:dyDescent="0.25">
      <c r="H382" s="147"/>
      <c r="I382" s="16"/>
      <c r="J382" s="16"/>
      <c r="K382" s="16"/>
      <c r="L382" s="16"/>
      <c r="M382" s="147"/>
      <c r="N382" s="16"/>
      <c r="O382" s="147"/>
      <c r="P382" s="16"/>
      <c r="Q382" s="147"/>
      <c r="R382" s="16"/>
      <c r="S382" s="147"/>
      <c r="T382" s="79"/>
      <c r="U382" s="36"/>
      <c r="V382" s="148"/>
      <c r="W382" s="84"/>
      <c r="X382" s="16"/>
    </row>
    <row r="383" spans="8:24" ht="20" customHeight="1" x14ac:dyDescent="0.25">
      <c r="H383" s="147"/>
      <c r="I383" s="16"/>
      <c r="J383" s="16"/>
      <c r="K383" s="16"/>
      <c r="L383" s="16"/>
      <c r="M383" s="147"/>
      <c r="N383" s="16"/>
      <c r="O383" s="147"/>
      <c r="P383" s="16"/>
      <c r="Q383" s="147"/>
      <c r="R383" s="16"/>
      <c r="S383" s="147"/>
      <c r="T383" s="79"/>
      <c r="U383" s="36"/>
      <c r="V383" s="148"/>
      <c r="W383" s="84"/>
      <c r="X383" s="16"/>
    </row>
    <row r="384" spans="8:24" ht="20" customHeight="1" x14ac:dyDescent="0.25">
      <c r="H384" s="147"/>
      <c r="I384" s="16"/>
      <c r="J384" s="16"/>
      <c r="K384" s="16"/>
      <c r="L384" s="16"/>
      <c r="M384" s="147"/>
      <c r="N384" s="16"/>
      <c r="O384" s="147"/>
      <c r="P384" s="16"/>
      <c r="Q384" s="147"/>
      <c r="R384" s="16"/>
      <c r="S384" s="147"/>
      <c r="T384" s="79"/>
      <c r="U384" s="36"/>
      <c r="V384" s="148"/>
      <c r="W384" s="84"/>
      <c r="X384" s="16"/>
    </row>
    <row r="385" spans="8:24" ht="20" customHeight="1" x14ac:dyDescent="0.25">
      <c r="H385" s="147"/>
      <c r="I385" s="16"/>
      <c r="J385" s="16"/>
      <c r="K385" s="16"/>
      <c r="L385" s="16"/>
      <c r="M385" s="147"/>
      <c r="N385" s="16"/>
      <c r="O385" s="147"/>
      <c r="P385" s="16"/>
      <c r="Q385" s="147"/>
      <c r="R385" s="16"/>
      <c r="S385" s="147"/>
      <c r="T385" s="79"/>
      <c r="U385" s="36"/>
      <c r="V385" s="148"/>
      <c r="W385" s="84"/>
      <c r="X385" s="16"/>
    </row>
    <row r="386" spans="8:24" ht="20" customHeight="1" x14ac:dyDescent="0.25">
      <c r="H386" s="147"/>
      <c r="I386" s="16"/>
      <c r="J386" s="16"/>
      <c r="K386" s="16"/>
      <c r="L386" s="16"/>
      <c r="M386" s="147"/>
      <c r="N386" s="16"/>
      <c r="O386" s="147"/>
      <c r="P386" s="16"/>
      <c r="Q386" s="147"/>
      <c r="R386" s="16"/>
      <c r="S386" s="147"/>
      <c r="T386" s="79"/>
      <c r="U386" s="36"/>
      <c r="V386" s="148"/>
      <c r="W386" s="84"/>
      <c r="X386" s="16"/>
    </row>
    <row r="387" spans="8:24" ht="20" customHeight="1" x14ac:dyDescent="0.25">
      <c r="H387" s="147"/>
      <c r="I387" s="16"/>
      <c r="J387" s="16"/>
      <c r="K387" s="16"/>
      <c r="L387" s="16"/>
      <c r="M387" s="147"/>
      <c r="N387" s="16"/>
      <c r="O387" s="147"/>
      <c r="P387" s="16"/>
      <c r="Q387" s="147"/>
      <c r="R387" s="16"/>
      <c r="S387" s="147"/>
      <c r="T387" s="79"/>
      <c r="U387" s="36"/>
      <c r="V387" s="148"/>
      <c r="W387" s="84"/>
      <c r="X387" s="16"/>
    </row>
    <row r="388" spans="8:24" ht="20" customHeight="1" x14ac:dyDescent="0.25">
      <c r="H388" s="147"/>
      <c r="I388" s="16"/>
      <c r="J388" s="16"/>
      <c r="K388" s="16"/>
      <c r="L388" s="16"/>
      <c r="M388" s="147"/>
      <c r="N388" s="16"/>
      <c r="O388" s="147"/>
      <c r="P388" s="16"/>
      <c r="Q388" s="147"/>
      <c r="R388" s="16"/>
      <c r="S388" s="147"/>
      <c r="T388" s="79"/>
      <c r="U388" s="36"/>
      <c r="V388" s="148"/>
      <c r="W388" s="84"/>
      <c r="X388" s="16"/>
    </row>
    <row r="389" spans="8:24" ht="20" customHeight="1" x14ac:dyDescent="0.25">
      <c r="H389" s="147"/>
      <c r="I389" s="16"/>
      <c r="J389" s="16"/>
      <c r="K389" s="16"/>
      <c r="L389" s="16"/>
      <c r="M389" s="147"/>
      <c r="N389" s="16"/>
      <c r="O389" s="147"/>
      <c r="P389" s="16"/>
      <c r="Q389" s="147"/>
      <c r="R389" s="16"/>
      <c r="S389" s="147"/>
      <c r="T389" s="79"/>
      <c r="U389" s="36"/>
      <c r="V389" s="148"/>
      <c r="W389" s="84"/>
      <c r="X389" s="16"/>
    </row>
    <row r="390" spans="8:24" ht="20" customHeight="1" x14ac:dyDescent="0.25">
      <c r="H390" s="147"/>
      <c r="I390" s="16"/>
      <c r="J390" s="16"/>
      <c r="K390" s="16"/>
      <c r="L390" s="16"/>
      <c r="M390" s="147"/>
      <c r="N390" s="16"/>
      <c r="O390" s="147"/>
      <c r="P390" s="16"/>
      <c r="Q390" s="147"/>
      <c r="R390" s="16"/>
      <c r="S390" s="147"/>
      <c r="T390" s="79"/>
      <c r="U390" s="36"/>
      <c r="V390" s="148"/>
      <c r="W390" s="84"/>
      <c r="X390" s="16"/>
    </row>
    <row r="391" spans="8:24" ht="20" customHeight="1" x14ac:dyDescent="0.25">
      <c r="H391" s="147"/>
      <c r="I391" s="16"/>
      <c r="J391" s="16"/>
      <c r="K391" s="16"/>
      <c r="L391" s="16"/>
      <c r="M391" s="147"/>
      <c r="N391" s="16"/>
      <c r="O391" s="147"/>
      <c r="P391" s="16"/>
      <c r="Q391" s="147"/>
      <c r="R391" s="16"/>
      <c r="S391" s="147"/>
      <c r="T391" s="79"/>
      <c r="U391" s="36"/>
      <c r="V391" s="148"/>
      <c r="W391" s="84"/>
      <c r="X391" s="16"/>
    </row>
    <row r="392" spans="8:24" ht="20" customHeight="1" x14ac:dyDescent="0.25">
      <c r="H392" s="147"/>
      <c r="I392" s="16"/>
      <c r="J392" s="16"/>
      <c r="K392" s="16"/>
      <c r="L392" s="16"/>
      <c r="M392" s="147"/>
      <c r="N392" s="16"/>
      <c r="O392" s="147"/>
      <c r="P392" s="16"/>
      <c r="Q392" s="147"/>
      <c r="R392" s="16"/>
      <c r="S392" s="147"/>
      <c r="T392" s="79"/>
      <c r="U392" s="36"/>
      <c r="V392" s="148"/>
      <c r="W392" s="84"/>
      <c r="X392" s="16"/>
    </row>
    <row r="393" spans="8:24" ht="20" customHeight="1" x14ac:dyDescent="0.25">
      <c r="H393" s="147"/>
      <c r="I393" s="16"/>
      <c r="J393" s="16"/>
      <c r="K393" s="16"/>
      <c r="L393" s="16"/>
      <c r="M393" s="147"/>
      <c r="N393" s="16"/>
      <c r="O393" s="147"/>
      <c r="P393" s="16"/>
      <c r="Q393" s="147"/>
      <c r="R393" s="16"/>
      <c r="S393" s="147"/>
      <c r="T393" s="79"/>
      <c r="U393" s="36"/>
      <c r="V393" s="148"/>
      <c r="W393" s="84"/>
      <c r="X393" s="16"/>
    </row>
    <row r="394" spans="8:24" ht="20" customHeight="1" x14ac:dyDescent="0.25">
      <c r="H394" s="147"/>
      <c r="I394" s="16"/>
      <c r="J394" s="16"/>
      <c r="K394" s="16"/>
      <c r="L394" s="16"/>
      <c r="M394" s="147"/>
      <c r="N394" s="16"/>
      <c r="O394" s="147"/>
      <c r="P394" s="16"/>
      <c r="Q394" s="147"/>
      <c r="R394" s="16"/>
      <c r="S394" s="147"/>
      <c r="T394" s="79"/>
      <c r="U394" s="36"/>
      <c r="V394" s="148"/>
      <c r="W394" s="84"/>
      <c r="X394" s="16"/>
    </row>
    <row r="395" spans="8:24" ht="20" customHeight="1" x14ac:dyDescent="0.25">
      <c r="H395" s="147"/>
      <c r="I395" s="16"/>
      <c r="J395" s="16"/>
      <c r="K395" s="16"/>
      <c r="L395" s="16"/>
      <c r="M395" s="147"/>
      <c r="N395" s="16"/>
      <c r="O395" s="147"/>
      <c r="P395" s="16"/>
      <c r="Q395" s="147"/>
      <c r="R395" s="16"/>
      <c r="S395" s="147"/>
      <c r="T395" s="79"/>
      <c r="U395" s="36"/>
      <c r="V395" s="148"/>
      <c r="W395" s="84"/>
      <c r="X395" s="16"/>
    </row>
    <row r="396" spans="8:24" ht="20" customHeight="1" x14ac:dyDescent="0.25">
      <c r="H396" s="147"/>
      <c r="I396" s="16"/>
      <c r="J396" s="16"/>
      <c r="K396" s="16"/>
      <c r="L396" s="16"/>
      <c r="M396" s="147"/>
      <c r="N396" s="16"/>
      <c r="O396" s="147"/>
      <c r="P396" s="16"/>
      <c r="Q396" s="147"/>
      <c r="R396" s="16"/>
      <c r="S396" s="147"/>
      <c r="T396" s="79"/>
      <c r="U396" s="36"/>
      <c r="V396" s="148"/>
      <c r="W396" s="84"/>
      <c r="X396" s="16"/>
    </row>
    <row r="397" spans="8:24" ht="20" customHeight="1" x14ac:dyDescent="0.25">
      <c r="H397" s="147"/>
      <c r="I397" s="16"/>
      <c r="J397" s="16"/>
      <c r="K397" s="16"/>
      <c r="L397" s="16"/>
      <c r="M397" s="147"/>
      <c r="N397" s="16"/>
      <c r="O397" s="147"/>
      <c r="P397" s="16"/>
      <c r="Q397" s="147"/>
      <c r="R397" s="16"/>
      <c r="S397" s="147"/>
      <c r="T397" s="79"/>
      <c r="U397" s="36"/>
      <c r="V397" s="148"/>
      <c r="W397" s="84"/>
      <c r="X397" s="16"/>
    </row>
    <row r="398" spans="8:24" ht="20" customHeight="1" x14ac:dyDescent="0.25">
      <c r="H398" s="147"/>
      <c r="I398" s="16"/>
      <c r="J398" s="16"/>
      <c r="K398" s="16"/>
      <c r="L398" s="16"/>
      <c r="M398" s="147"/>
      <c r="N398" s="16"/>
      <c r="O398" s="147"/>
      <c r="P398" s="16"/>
      <c r="Q398" s="147"/>
      <c r="R398" s="16"/>
      <c r="S398" s="147"/>
      <c r="T398" s="79"/>
      <c r="U398" s="36"/>
      <c r="V398" s="148"/>
      <c r="W398" s="84"/>
      <c r="X398" s="16"/>
    </row>
    <row r="399" spans="8:24" ht="20" customHeight="1" x14ac:dyDescent="0.25">
      <c r="H399" s="147"/>
      <c r="I399" s="16"/>
      <c r="J399" s="16"/>
      <c r="K399" s="16"/>
      <c r="L399" s="16"/>
      <c r="M399" s="147"/>
      <c r="N399" s="16"/>
      <c r="O399" s="147"/>
      <c r="P399" s="16"/>
      <c r="Q399" s="147"/>
      <c r="R399" s="16"/>
      <c r="S399" s="147"/>
      <c r="T399" s="79"/>
      <c r="U399" s="36"/>
      <c r="V399" s="148"/>
      <c r="W399" s="84"/>
      <c r="X399" s="16"/>
    </row>
    <row r="400" spans="8:24" ht="20" customHeight="1" x14ac:dyDescent="0.25">
      <c r="H400" s="147"/>
      <c r="I400" s="16"/>
      <c r="J400" s="16"/>
      <c r="K400" s="16"/>
      <c r="L400" s="16"/>
      <c r="M400" s="147"/>
      <c r="N400" s="16"/>
      <c r="O400" s="147"/>
      <c r="P400" s="16"/>
      <c r="Q400" s="147"/>
      <c r="R400" s="16"/>
      <c r="S400" s="147"/>
      <c r="T400" s="79"/>
      <c r="U400" s="36"/>
      <c r="V400" s="148"/>
      <c r="W400" s="84"/>
      <c r="X400" s="16"/>
    </row>
    <row r="401" spans="8:24" ht="20" customHeight="1" x14ac:dyDescent="0.25">
      <c r="H401" s="147"/>
      <c r="I401" s="16"/>
      <c r="J401" s="16"/>
      <c r="K401" s="16"/>
      <c r="L401" s="16"/>
      <c r="M401" s="147"/>
      <c r="N401" s="16"/>
      <c r="O401" s="147"/>
      <c r="P401" s="16"/>
      <c r="Q401" s="147"/>
      <c r="R401" s="16"/>
      <c r="S401" s="147"/>
      <c r="T401" s="79"/>
      <c r="U401" s="36"/>
      <c r="V401" s="148"/>
      <c r="W401" s="84"/>
      <c r="X401" s="16"/>
    </row>
    <row r="402" spans="8:24" ht="20" customHeight="1" x14ac:dyDescent="0.25">
      <c r="H402" s="147"/>
      <c r="I402" s="16"/>
      <c r="J402" s="16"/>
      <c r="K402" s="16"/>
      <c r="L402" s="16"/>
      <c r="M402" s="147"/>
      <c r="N402" s="16"/>
      <c r="O402" s="147"/>
      <c r="P402" s="16"/>
      <c r="Q402" s="147"/>
      <c r="R402" s="16"/>
      <c r="S402" s="147"/>
      <c r="T402" s="79"/>
      <c r="U402" s="36"/>
      <c r="V402" s="148"/>
      <c r="W402" s="84"/>
      <c r="X402" s="16"/>
    </row>
    <row r="403" spans="8:24" ht="20" customHeight="1" x14ac:dyDescent="0.25">
      <c r="H403" s="147"/>
      <c r="I403" s="16"/>
      <c r="J403" s="16"/>
      <c r="K403" s="16"/>
      <c r="L403" s="16"/>
      <c r="M403" s="147"/>
      <c r="N403" s="16"/>
      <c r="O403" s="147"/>
      <c r="P403" s="16"/>
      <c r="Q403" s="147"/>
      <c r="R403" s="16"/>
      <c r="S403" s="147"/>
      <c r="T403" s="79"/>
      <c r="U403" s="36"/>
      <c r="V403" s="148"/>
      <c r="W403" s="84"/>
      <c r="X403" s="16"/>
    </row>
    <row r="404" spans="8:24" ht="20" customHeight="1" x14ac:dyDescent="0.25">
      <c r="H404" s="147"/>
      <c r="I404" s="16"/>
      <c r="J404" s="16"/>
      <c r="K404" s="16"/>
      <c r="L404" s="16"/>
      <c r="M404" s="147"/>
      <c r="N404" s="16"/>
      <c r="O404" s="147"/>
      <c r="P404" s="16"/>
      <c r="Q404" s="147"/>
      <c r="R404" s="16"/>
      <c r="S404" s="147"/>
      <c r="T404" s="79"/>
      <c r="U404" s="36"/>
      <c r="V404" s="148"/>
      <c r="W404" s="84"/>
      <c r="X404" s="16"/>
    </row>
    <row r="405" spans="8:24" ht="20" customHeight="1" x14ac:dyDescent="0.25">
      <c r="H405" s="147"/>
      <c r="I405" s="16"/>
      <c r="J405" s="16"/>
      <c r="K405" s="16"/>
      <c r="L405" s="16"/>
      <c r="M405" s="147"/>
      <c r="N405" s="16"/>
      <c r="O405" s="147"/>
      <c r="P405" s="16"/>
      <c r="Q405" s="147"/>
      <c r="R405" s="16"/>
      <c r="S405" s="147"/>
      <c r="T405" s="79"/>
      <c r="U405" s="36"/>
      <c r="V405" s="148"/>
      <c r="W405" s="84"/>
      <c r="X405" s="16"/>
    </row>
    <row r="406" spans="8:24" ht="20" customHeight="1" x14ac:dyDescent="0.25">
      <c r="H406" s="147"/>
      <c r="I406" s="16"/>
      <c r="J406" s="16"/>
      <c r="K406" s="16"/>
      <c r="L406" s="16"/>
      <c r="M406" s="147"/>
      <c r="N406" s="16"/>
      <c r="O406" s="147"/>
      <c r="P406" s="16"/>
      <c r="Q406" s="147"/>
      <c r="R406" s="16"/>
      <c r="S406" s="147"/>
      <c r="T406" s="79"/>
      <c r="U406" s="36"/>
      <c r="V406" s="148"/>
      <c r="W406" s="84"/>
      <c r="X406" s="16"/>
    </row>
    <row r="407" spans="8:24" ht="20" customHeight="1" x14ac:dyDescent="0.25">
      <c r="H407" s="147"/>
      <c r="I407" s="16"/>
      <c r="J407" s="16"/>
      <c r="K407" s="16"/>
      <c r="L407" s="16"/>
      <c r="M407" s="147"/>
      <c r="N407" s="16"/>
      <c r="O407" s="147"/>
      <c r="P407" s="16"/>
      <c r="Q407" s="147"/>
      <c r="R407" s="16"/>
      <c r="S407" s="147"/>
      <c r="T407" s="79"/>
      <c r="U407" s="36"/>
      <c r="V407" s="148"/>
      <c r="W407" s="84"/>
      <c r="X407" s="16"/>
    </row>
    <row r="408" spans="8:24" ht="20" customHeight="1" x14ac:dyDescent="0.25">
      <c r="H408" s="147"/>
      <c r="I408" s="16"/>
      <c r="J408" s="16"/>
      <c r="K408" s="16"/>
      <c r="L408" s="16"/>
      <c r="M408" s="147"/>
      <c r="N408" s="16"/>
      <c r="O408" s="147"/>
      <c r="P408" s="16"/>
      <c r="Q408" s="147"/>
      <c r="R408" s="16"/>
      <c r="S408" s="147"/>
      <c r="T408" s="79"/>
      <c r="U408" s="36"/>
      <c r="V408" s="148"/>
      <c r="W408" s="84"/>
      <c r="X408" s="16"/>
    </row>
    <row r="409" spans="8:24" ht="20" customHeight="1" x14ac:dyDescent="0.25">
      <c r="H409" s="147"/>
      <c r="I409" s="16"/>
      <c r="J409" s="16"/>
      <c r="K409" s="16"/>
      <c r="L409" s="16"/>
      <c r="M409" s="147"/>
      <c r="N409" s="16"/>
      <c r="O409" s="147"/>
      <c r="P409" s="16"/>
      <c r="Q409" s="147"/>
      <c r="R409" s="16"/>
      <c r="S409" s="147"/>
      <c r="T409" s="79"/>
      <c r="U409" s="36"/>
      <c r="V409" s="148"/>
      <c r="W409" s="84"/>
      <c r="X409" s="16"/>
    </row>
    <row r="410" spans="8:24" ht="20" customHeight="1" x14ac:dyDescent="0.25">
      <c r="H410" s="147"/>
      <c r="I410" s="16"/>
      <c r="J410" s="16"/>
      <c r="K410" s="16"/>
      <c r="L410" s="16"/>
      <c r="M410" s="147"/>
      <c r="N410" s="16"/>
      <c r="O410" s="147"/>
      <c r="P410" s="16"/>
      <c r="Q410" s="147"/>
      <c r="R410" s="16"/>
      <c r="S410" s="147"/>
      <c r="T410" s="79"/>
      <c r="U410" s="36"/>
      <c r="V410" s="148"/>
      <c r="W410" s="84"/>
      <c r="X410" s="16"/>
    </row>
    <row r="411" spans="8:24" ht="20" customHeight="1" x14ac:dyDescent="0.25">
      <c r="H411" s="147"/>
      <c r="I411" s="16"/>
      <c r="J411" s="16"/>
      <c r="K411" s="16"/>
      <c r="L411" s="16"/>
      <c r="M411" s="147"/>
      <c r="N411" s="16"/>
      <c r="O411" s="147"/>
      <c r="P411" s="16"/>
      <c r="Q411" s="147"/>
      <c r="R411" s="16"/>
      <c r="S411" s="147"/>
      <c r="T411" s="79"/>
      <c r="U411" s="36"/>
      <c r="V411" s="148"/>
      <c r="W411" s="84"/>
      <c r="X411" s="16"/>
    </row>
    <row r="412" spans="8:24" ht="20" customHeight="1" x14ac:dyDescent="0.25">
      <c r="H412" s="147"/>
      <c r="I412" s="16"/>
      <c r="J412" s="16"/>
      <c r="K412" s="16"/>
      <c r="L412" s="16"/>
      <c r="M412" s="147"/>
      <c r="N412" s="16"/>
      <c r="O412" s="147"/>
      <c r="P412" s="16"/>
      <c r="Q412" s="147"/>
      <c r="R412" s="16"/>
      <c r="S412" s="147"/>
      <c r="T412" s="79"/>
      <c r="U412" s="36"/>
      <c r="V412" s="148"/>
      <c r="W412" s="84"/>
      <c r="X412" s="16"/>
    </row>
    <row r="413" spans="8:24" ht="20" customHeight="1" x14ac:dyDescent="0.25">
      <c r="H413" s="147"/>
      <c r="I413" s="16"/>
      <c r="J413" s="16"/>
      <c r="K413" s="16"/>
      <c r="L413" s="16"/>
      <c r="M413" s="147"/>
      <c r="N413" s="16"/>
      <c r="O413" s="147"/>
      <c r="P413" s="16"/>
      <c r="Q413" s="147"/>
      <c r="R413" s="16"/>
      <c r="S413" s="147"/>
      <c r="T413" s="79"/>
      <c r="U413" s="36"/>
      <c r="V413" s="148"/>
      <c r="W413" s="84"/>
      <c r="X413" s="16"/>
    </row>
    <row r="414" spans="8:24" ht="20" customHeight="1" x14ac:dyDescent="0.25">
      <c r="H414" s="147"/>
      <c r="I414" s="16"/>
      <c r="J414" s="16"/>
      <c r="K414" s="16"/>
      <c r="L414" s="16"/>
      <c r="M414" s="147"/>
      <c r="N414" s="16"/>
      <c r="O414" s="147"/>
      <c r="P414" s="16"/>
      <c r="Q414" s="147"/>
      <c r="R414" s="16"/>
      <c r="S414" s="147"/>
      <c r="T414" s="79"/>
      <c r="U414" s="36"/>
      <c r="V414" s="148"/>
      <c r="W414" s="84"/>
      <c r="X414" s="16"/>
    </row>
    <row r="415" spans="8:24" ht="20" customHeight="1" x14ac:dyDescent="0.25">
      <c r="H415" s="147"/>
      <c r="I415" s="16"/>
      <c r="J415" s="16"/>
      <c r="K415" s="16"/>
      <c r="L415" s="16"/>
      <c r="M415" s="147"/>
      <c r="N415" s="16"/>
      <c r="O415" s="147"/>
      <c r="P415" s="16"/>
      <c r="Q415" s="147"/>
      <c r="R415" s="16"/>
      <c r="S415" s="147"/>
      <c r="T415" s="79"/>
      <c r="U415" s="36"/>
      <c r="V415" s="148"/>
      <c r="W415" s="84"/>
      <c r="X415" s="16"/>
    </row>
    <row r="416" spans="8:24" ht="20" customHeight="1" x14ac:dyDescent="0.25">
      <c r="H416" s="147"/>
      <c r="I416" s="16"/>
      <c r="J416" s="16"/>
      <c r="K416" s="16"/>
      <c r="L416" s="16"/>
      <c r="M416" s="147"/>
      <c r="N416" s="16"/>
      <c r="O416" s="147"/>
      <c r="P416" s="16"/>
      <c r="Q416" s="147"/>
      <c r="R416" s="16"/>
      <c r="S416" s="147"/>
      <c r="T416" s="79"/>
      <c r="U416" s="36"/>
      <c r="V416" s="148"/>
      <c r="W416" s="84"/>
      <c r="X416" s="16"/>
    </row>
    <row r="417" spans="8:24" ht="20" customHeight="1" x14ac:dyDescent="0.25">
      <c r="H417" s="147"/>
      <c r="I417" s="16"/>
      <c r="J417" s="16"/>
      <c r="K417" s="16"/>
      <c r="L417" s="16"/>
      <c r="M417" s="147"/>
      <c r="N417" s="16"/>
      <c r="O417" s="147"/>
      <c r="P417" s="16"/>
      <c r="Q417" s="147"/>
      <c r="R417" s="16"/>
      <c r="S417" s="147"/>
      <c r="T417" s="79"/>
      <c r="U417" s="36"/>
      <c r="V417" s="148"/>
      <c r="W417" s="84"/>
      <c r="X417" s="16"/>
    </row>
    <row r="418" spans="8:24" ht="20" customHeight="1" x14ac:dyDescent="0.25">
      <c r="H418" s="147"/>
      <c r="I418" s="16"/>
      <c r="J418" s="16"/>
      <c r="K418" s="16"/>
      <c r="L418" s="16"/>
      <c r="M418" s="147"/>
      <c r="N418" s="16"/>
      <c r="O418" s="147"/>
      <c r="P418" s="16"/>
      <c r="Q418" s="147"/>
      <c r="R418" s="16"/>
      <c r="S418" s="147"/>
      <c r="T418" s="79"/>
      <c r="U418" s="36"/>
      <c r="V418" s="148"/>
      <c r="W418" s="84"/>
      <c r="X418" s="16"/>
    </row>
    <row r="419" spans="8:24" ht="20" customHeight="1" x14ac:dyDescent="0.25">
      <c r="H419" s="147"/>
      <c r="I419" s="16"/>
      <c r="J419" s="16"/>
      <c r="K419" s="16"/>
      <c r="L419" s="16"/>
      <c r="M419" s="147"/>
      <c r="N419" s="16"/>
      <c r="O419" s="147"/>
      <c r="P419" s="16"/>
      <c r="Q419" s="147"/>
      <c r="R419" s="16"/>
      <c r="S419" s="147"/>
      <c r="T419" s="79"/>
      <c r="U419" s="36"/>
      <c r="V419" s="148"/>
      <c r="W419" s="84"/>
      <c r="X419" s="16"/>
    </row>
    <row r="420" spans="8:24" ht="20" customHeight="1" x14ac:dyDescent="0.25">
      <c r="H420" s="147"/>
      <c r="I420" s="16"/>
      <c r="J420" s="16"/>
      <c r="K420" s="16"/>
      <c r="L420" s="16"/>
      <c r="M420" s="147"/>
      <c r="N420" s="16"/>
      <c r="O420" s="147"/>
      <c r="P420" s="16"/>
      <c r="Q420" s="147"/>
      <c r="R420" s="16"/>
      <c r="S420" s="147"/>
      <c r="T420" s="79"/>
      <c r="U420" s="36"/>
      <c r="V420" s="148"/>
      <c r="W420" s="84"/>
      <c r="X420" s="16"/>
    </row>
    <row r="421" spans="8:24" ht="20" customHeight="1" x14ac:dyDescent="0.25">
      <c r="H421" s="147"/>
      <c r="I421" s="16"/>
      <c r="J421" s="16"/>
      <c r="K421" s="16"/>
      <c r="L421" s="16"/>
      <c r="M421" s="147"/>
      <c r="N421" s="16"/>
      <c r="O421" s="147"/>
      <c r="P421" s="16"/>
      <c r="Q421" s="147"/>
      <c r="R421" s="16"/>
      <c r="S421" s="147"/>
      <c r="T421" s="79"/>
      <c r="U421" s="36"/>
      <c r="V421" s="148"/>
      <c r="W421" s="84"/>
      <c r="X421" s="16"/>
    </row>
    <row r="422" spans="8:24" ht="20" customHeight="1" x14ac:dyDescent="0.25">
      <c r="H422" s="147"/>
      <c r="I422" s="16"/>
      <c r="J422" s="16"/>
      <c r="K422" s="16"/>
      <c r="L422" s="16"/>
      <c r="M422" s="147"/>
      <c r="N422" s="16"/>
      <c r="O422" s="147"/>
      <c r="P422" s="16"/>
      <c r="Q422" s="147"/>
      <c r="R422" s="16"/>
      <c r="S422" s="147"/>
      <c r="T422" s="79"/>
      <c r="U422" s="36"/>
      <c r="V422" s="148"/>
      <c r="W422" s="84"/>
      <c r="X422" s="16"/>
    </row>
    <row r="423" spans="8:24" ht="20" customHeight="1" x14ac:dyDescent="0.25">
      <c r="H423" s="147"/>
      <c r="I423" s="16"/>
      <c r="J423" s="16"/>
      <c r="K423" s="16"/>
      <c r="L423" s="16"/>
      <c r="M423" s="147"/>
      <c r="N423" s="16"/>
      <c r="O423" s="147"/>
      <c r="P423" s="16"/>
      <c r="Q423" s="147"/>
      <c r="R423" s="16"/>
      <c r="S423" s="147"/>
      <c r="T423" s="79"/>
      <c r="U423" s="36"/>
      <c r="V423" s="148"/>
      <c r="W423" s="84"/>
      <c r="X423" s="16"/>
    </row>
    <row r="424" spans="8:24" ht="20" customHeight="1" x14ac:dyDescent="0.25">
      <c r="H424" s="147"/>
      <c r="I424" s="16"/>
      <c r="J424" s="16"/>
      <c r="K424" s="16"/>
      <c r="L424" s="16"/>
      <c r="M424" s="147"/>
      <c r="N424" s="16"/>
      <c r="O424" s="147"/>
      <c r="P424" s="16"/>
      <c r="Q424" s="147"/>
      <c r="R424" s="16"/>
      <c r="S424" s="147"/>
      <c r="T424" s="79"/>
      <c r="U424" s="36"/>
      <c r="V424" s="148"/>
      <c r="W424" s="84"/>
      <c r="X424" s="16"/>
    </row>
    <row r="425" spans="8:24" ht="20" customHeight="1" x14ac:dyDescent="0.25">
      <c r="H425" s="147"/>
      <c r="I425" s="16"/>
      <c r="J425" s="16"/>
      <c r="K425" s="16"/>
      <c r="L425" s="16"/>
      <c r="M425" s="147"/>
      <c r="N425" s="16"/>
      <c r="O425" s="147"/>
      <c r="P425" s="16"/>
      <c r="Q425" s="147"/>
      <c r="R425" s="16"/>
      <c r="S425" s="147"/>
      <c r="T425" s="79"/>
      <c r="U425" s="36"/>
      <c r="V425" s="148"/>
      <c r="W425" s="84"/>
      <c r="X425" s="16"/>
    </row>
    <row r="426" spans="8:24" ht="20" customHeight="1" x14ac:dyDescent="0.25">
      <c r="H426" s="147"/>
      <c r="I426" s="16"/>
      <c r="J426" s="16"/>
      <c r="K426" s="16"/>
      <c r="L426" s="16"/>
      <c r="M426" s="147"/>
      <c r="N426" s="16"/>
      <c r="O426" s="147"/>
      <c r="P426" s="16"/>
      <c r="Q426" s="147"/>
      <c r="R426" s="16"/>
      <c r="S426" s="147"/>
      <c r="T426" s="79"/>
      <c r="U426" s="36"/>
      <c r="V426" s="148"/>
      <c r="W426" s="84"/>
      <c r="X426" s="16"/>
    </row>
    <row r="427" spans="8:24" ht="20" customHeight="1" x14ac:dyDescent="0.25">
      <c r="H427" s="147"/>
      <c r="I427" s="16"/>
      <c r="J427" s="16"/>
      <c r="K427" s="16"/>
      <c r="L427" s="16"/>
      <c r="M427" s="147"/>
      <c r="N427" s="16"/>
      <c r="O427" s="147"/>
      <c r="P427" s="16"/>
      <c r="Q427" s="147"/>
      <c r="R427" s="16"/>
      <c r="S427" s="147"/>
      <c r="T427" s="79"/>
      <c r="U427" s="36"/>
      <c r="V427" s="148"/>
      <c r="W427" s="84"/>
      <c r="X427" s="16"/>
    </row>
    <row r="428" spans="8:24" ht="20" customHeight="1" x14ac:dyDescent="0.25">
      <c r="H428" s="147"/>
      <c r="I428" s="16"/>
      <c r="J428" s="16"/>
      <c r="K428" s="16"/>
      <c r="L428" s="16"/>
      <c r="M428" s="147"/>
      <c r="N428" s="16"/>
      <c r="O428" s="147"/>
      <c r="P428" s="16"/>
      <c r="Q428" s="147"/>
      <c r="R428" s="16"/>
      <c r="S428" s="147"/>
      <c r="T428" s="79"/>
      <c r="U428" s="36"/>
      <c r="V428" s="148"/>
      <c r="W428" s="84"/>
      <c r="X428" s="16"/>
    </row>
    <row r="429" spans="8:24" ht="20" customHeight="1" x14ac:dyDescent="0.25">
      <c r="H429" s="147"/>
      <c r="I429" s="16"/>
      <c r="J429" s="16"/>
      <c r="K429" s="16"/>
      <c r="L429" s="16"/>
      <c r="M429" s="147"/>
      <c r="N429" s="16"/>
      <c r="O429" s="147"/>
      <c r="P429" s="16"/>
      <c r="Q429" s="147"/>
      <c r="R429" s="16"/>
      <c r="S429" s="147"/>
      <c r="T429" s="79"/>
      <c r="U429" s="36"/>
      <c r="V429" s="148"/>
      <c r="W429" s="84"/>
      <c r="X429" s="16"/>
    </row>
    <row r="430" spans="8:24" ht="20" customHeight="1" x14ac:dyDescent="0.25">
      <c r="H430" s="147"/>
      <c r="I430" s="16"/>
      <c r="J430" s="16"/>
      <c r="K430" s="16"/>
      <c r="L430" s="16"/>
      <c r="M430" s="147"/>
      <c r="N430" s="16"/>
      <c r="O430" s="147"/>
      <c r="P430" s="16"/>
      <c r="Q430" s="147"/>
      <c r="R430" s="16"/>
      <c r="S430" s="147"/>
      <c r="T430" s="79"/>
      <c r="U430" s="36"/>
      <c r="V430" s="148"/>
      <c r="W430" s="84"/>
      <c r="X430" s="16"/>
    </row>
    <row r="431" spans="8:24" ht="20" customHeight="1" x14ac:dyDescent="0.25">
      <c r="H431" s="147"/>
      <c r="I431" s="16"/>
      <c r="J431" s="16"/>
      <c r="K431" s="16"/>
      <c r="L431" s="16"/>
      <c r="M431" s="147"/>
      <c r="N431" s="16"/>
      <c r="O431" s="147"/>
      <c r="P431" s="16"/>
      <c r="Q431" s="147"/>
      <c r="R431" s="16"/>
      <c r="S431" s="147"/>
      <c r="T431" s="79"/>
      <c r="U431" s="36"/>
      <c r="V431" s="148"/>
      <c r="W431" s="84"/>
      <c r="X431" s="16"/>
    </row>
    <row r="432" spans="8:24" ht="20" customHeight="1" x14ac:dyDescent="0.25">
      <c r="H432" s="147"/>
      <c r="I432" s="16"/>
      <c r="J432" s="16"/>
      <c r="K432" s="16"/>
      <c r="L432" s="16"/>
      <c r="M432" s="147"/>
      <c r="N432" s="16"/>
      <c r="O432" s="147"/>
      <c r="P432" s="16"/>
      <c r="Q432" s="147"/>
      <c r="R432" s="16"/>
      <c r="S432" s="147"/>
      <c r="T432" s="79"/>
      <c r="U432" s="36"/>
      <c r="V432" s="148"/>
      <c r="W432" s="84"/>
      <c r="X432" s="16"/>
    </row>
    <row r="433" spans="8:24" ht="20" customHeight="1" x14ac:dyDescent="0.25">
      <c r="H433" s="147"/>
      <c r="I433" s="16"/>
      <c r="J433" s="16"/>
      <c r="K433" s="16"/>
      <c r="L433" s="16"/>
      <c r="M433" s="147"/>
      <c r="N433" s="16"/>
      <c r="O433" s="147"/>
      <c r="P433" s="16"/>
      <c r="Q433" s="147"/>
      <c r="R433" s="16"/>
      <c r="S433" s="147"/>
      <c r="T433" s="79"/>
      <c r="U433" s="36"/>
      <c r="V433" s="148"/>
      <c r="W433" s="84"/>
      <c r="X433" s="16"/>
    </row>
    <row r="434" spans="8:24" ht="20" customHeight="1" x14ac:dyDescent="0.25">
      <c r="H434" s="147"/>
      <c r="I434" s="16"/>
      <c r="J434" s="16"/>
      <c r="K434" s="16"/>
      <c r="L434" s="16"/>
      <c r="M434" s="147"/>
      <c r="N434" s="16"/>
      <c r="O434" s="147"/>
      <c r="P434" s="16"/>
      <c r="Q434" s="147"/>
      <c r="R434" s="16"/>
      <c r="S434" s="147"/>
      <c r="T434" s="79"/>
      <c r="U434" s="36"/>
      <c r="V434" s="148"/>
      <c r="W434" s="84"/>
      <c r="X434" s="16"/>
    </row>
    <row r="435" spans="8:24" ht="20" customHeight="1" x14ac:dyDescent="0.25">
      <c r="H435" s="147"/>
      <c r="I435" s="16"/>
      <c r="J435" s="16"/>
      <c r="K435" s="16"/>
      <c r="L435" s="16"/>
      <c r="M435" s="147"/>
      <c r="N435" s="16"/>
      <c r="O435" s="147"/>
      <c r="P435" s="16"/>
      <c r="Q435" s="147"/>
      <c r="R435" s="16"/>
      <c r="S435" s="147"/>
      <c r="T435" s="79"/>
      <c r="U435" s="36"/>
      <c r="V435" s="148"/>
      <c r="W435" s="84"/>
      <c r="X435" s="16"/>
    </row>
    <row r="436" spans="8:24" ht="20" customHeight="1" x14ac:dyDescent="0.25">
      <c r="H436" s="147"/>
      <c r="I436" s="16"/>
      <c r="J436" s="16"/>
      <c r="K436" s="16"/>
      <c r="L436" s="16"/>
      <c r="M436" s="147"/>
      <c r="N436" s="16"/>
      <c r="O436" s="147"/>
      <c r="P436" s="16"/>
      <c r="Q436" s="147"/>
      <c r="R436" s="16"/>
      <c r="S436" s="147"/>
      <c r="T436" s="79"/>
      <c r="U436" s="36"/>
      <c r="V436" s="148"/>
      <c r="W436" s="84"/>
      <c r="X436" s="16"/>
    </row>
    <row r="437" spans="8:24" ht="20" customHeight="1" x14ac:dyDescent="0.25">
      <c r="H437" s="147"/>
      <c r="I437" s="16"/>
      <c r="J437" s="16"/>
      <c r="K437" s="16"/>
      <c r="L437" s="16"/>
      <c r="M437" s="147"/>
      <c r="N437" s="16"/>
      <c r="O437" s="147"/>
      <c r="P437" s="16"/>
      <c r="Q437" s="147"/>
      <c r="R437" s="16"/>
      <c r="S437" s="147"/>
      <c r="T437" s="79"/>
      <c r="U437" s="36"/>
      <c r="V437" s="148"/>
      <c r="W437" s="84"/>
      <c r="X437" s="16"/>
    </row>
    <row r="438" spans="8:24" ht="20" customHeight="1" x14ac:dyDescent="0.25">
      <c r="H438" s="147"/>
      <c r="I438" s="16"/>
      <c r="J438" s="16"/>
      <c r="K438" s="16"/>
      <c r="L438" s="16"/>
      <c r="M438" s="147"/>
      <c r="N438" s="16"/>
      <c r="O438" s="147"/>
      <c r="P438" s="16"/>
      <c r="Q438" s="147"/>
      <c r="R438" s="16"/>
      <c r="S438" s="147"/>
      <c r="T438" s="79"/>
      <c r="U438" s="36"/>
      <c r="V438" s="148"/>
      <c r="W438" s="84"/>
      <c r="X438" s="16"/>
    </row>
    <row r="439" spans="8:24" ht="20" customHeight="1" x14ac:dyDescent="0.25">
      <c r="H439" s="147"/>
      <c r="I439" s="16"/>
      <c r="J439" s="16"/>
      <c r="K439" s="16"/>
      <c r="L439" s="16"/>
      <c r="M439" s="147"/>
      <c r="N439" s="16"/>
      <c r="O439" s="147"/>
      <c r="P439" s="16"/>
      <c r="Q439" s="147"/>
      <c r="R439" s="16"/>
      <c r="S439" s="147"/>
      <c r="T439" s="79"/>
      <c r="U439" s="36"/>
      <c r="V439" s="148"/>
      <c r="W439" s="84"/>
      <c r="X439" s="16"/>
    </row>
    <row r="440" spans="8:24" ht="20" customHeight="1" x14ac:dyDescent="0.25">
      <c r="H440" s="147"/>
      <c r="I440" s="16"/>
      <c r="J440" s="16"/>
      <c r="K440" s="16"/>
      <c r="L440" s="16"/>
      <c r="M440" s="147"/>
      <c r="N440" s="16"/>
      <c r="O440" s="147"/>
      <c r="P440" s="16"/>
      <c r="Q440" s="147"/>
      <c r="R440" s="16"/>
      <c r="S440" s="147"/>
      <c r="T440" s="79"/>
      <c r="U440" s="36"/>
      <c r="V440" s="148"/>
      <c r="W440" s="84"/>
      <c r="X440" s="16"/>
    </row>
    <row r="441" spans="8:24" ht="20" customHeight="1" x14ac:dyDescent="0.25">
      <c r="H441" s="147"/>
      <c r="I441" s="16"/>
      <c r="J441" s="16"/>
      <c r="K441" s="16"/>
      <c r="L441" s="16"/>
      <c r="M441" s="147"/>
      <c r="N441" s="16"/>
      <c r="O441" s="147"/>
      <c r="P441" s="16"/>
      <c r="Q441" s="147"/>
      <c r="R441" s="16"/>
      <c r="S441" s="147"/>
      <c r="T441" s="79"/>
      <c r="U441" s="36"/>
      <c r="V441" s="148"/>
      <c r="W441" s="84"/>
      <c r="X441" s="16"/>
    </row>
    <row r="442" spans="8:24" ht="20" customHeight="1" x14ac:dyDescent="0.25">
      <c r="H442" s="147"/>
      <c r="I442" s="16"/>
      <c r="J442" s="16"/>
      <c r="K442" s="16"/>
      <c r="L442" s="16"/>
      <c r="M442" s="147"/>
      <c r="N442" s="16"/>
      <c r="O442" s="147"/>
      <c r="P442" s="16"/>
      <c r="Q442" s="147"/>
      <c r="R442" s="16"/>
      <c r="S442" s="147"/>
      <c r="T442" s="79"/>
      <c r="U442" s="36"/>
      <c r="V442" s="148"/>
      <c r="W442" s="84"/>
      <c r="X442" s="16"/>
    </row>
    <row r="443" spans="8:24" ht="20" customHeight="1" x14ac:dyDescent="0.25">
      <c r="H443" s="147"/>
      <c r="I443" s="16"/>
      <c r="J443" s="16"/>
      <c r="K443" s="16"/>
      <c r="L443" s="16"/>
      <c r="M443" s="147"/>
      <c r="N443" s="16"/>
      <c r="O443" s="147"/>
      <c r="P443" s="16"/>
      <c r="Q443" s="147"/>
      <c r="R443" s="16"/>
      <c r="S443" s="147"/>
      <c r="T443" s="79"/>
      <c r="U443" s="36"/>
      <c r="V443" s="148"/>
      <c r="W443" s="84"/>
      <c r="X443" s="16"/>
    </row>
    <row r="444" spans="8:24" ht="20" customHeight="1" x14ac:dyDescent="0.25">
      <c r="H444" s="147"/>
      <c r="I444" s="16"/>
      <c r="J444" s="16"/>
      <c r="K444" s="16"/>
      <c r="L444" s="16"/>
      <c r="M444" s="147"/>
      <c r="N444" s="16"/>
      <c r="O444" s="147"/>
      <c r="P444" s="16"/>
      <c r="Q444" s="147"/>
      <c r="R444" s="16"/>
      <c r="S444" s="147"/>
      <c r="T444" s="79"/>
      <c r="U444" s="36"/>
      <c r="V444" s="148"/>
      <c r="W444" s="84"/>
      <c r="X444" s="16"/>
    </row>
    <row r="445" spans="8:24" ht="20" customHeight="1" x14ac:dyDescent="0.25">
      <c r="H445" s="147"/>
      <c r="I445" s="16"/>
      <c r="J445" s="16"/>
      <c r="K445" s="16"/>
      <c r="L445" s="16"/>
      <c r="M445" s="147"/>
      <c r="N445" s="16"/>
      <c r="O445" s="147"/>
      <c r="P445" s="16"/>
      <c r="Q445" s="147"/>
      <c r="R445" s="16"/>
      <c r="S445" s="147"/>
      <c r="T445" s="79"/>
      <c r="U445" s="36"/>
      <c r="V445" s="148"/>
      <c r="W445" s="84"/>
      <c r="X445" s="16"/>
    </row>
    <row r="446" spans="8:24" ht="20" customHeight="1" x14ac:dyDescent="0.25">
      <c r="H446" s="147"/>
      <c r="I446" s="16"/>
      <c r="J446" s="16"/>
      <c r="K446" s="16"/>
      <c r="L446" s="16"/>
      <c r="M446" s="147"/>
      <c r="N446" s="16"/>
      <c r="O446" s="147"/>
      <c r="P446" s="16"/>
      <c r="Q446" s="147"/>
      <c r="R446" s="16"/>
      <c r="S446" s="147"/>
      <c r="T446" s="79"/>
      <c r="U446" s="36"/>
      <c r="V446" s="148"/>
      <c r="W446" s="84"/>
      <c r="X446" s="16"/>
    </row>
    <row r="447" spans="8:24" ht="20" customHeight="1" x14ac:dyDescent="0.25">
      <c r="H447" s="147"/>
      <c r="I447" s="16"/>
      <c r="J447" s="16"/>
      <c r="K447" s="16"/>
      <c r="L447" s="16"/>
      <c r="M447" s="147"/>
      <c r="N447" s="16"/>
      <c r="O447" s="147"/>
      <c r="P447" s="16"/>
      <c r="Q447" s="147"/>
      <c r="R447" s="16"/>
      <c r="S447" s="147"/>
      <c r="T447" s="79"/>
      <c r="U447" s="36"/>
      <c r="V447" s="148"/>
      <c r="W447" s="84"/>
      <c r="X447" s="16"/>
    </row>
    <row r="448" spans="8:24" ht="20" customHeight="1" x14ac:dyDescent="0.25">
      <c r="H448" s="147"/>
      <c r="I448" s="16"/>
      <c r="J448" s="16"/>
      <c r="K448" s="16"/>
      <c r="L448" s="16"/>
      <c r="M448" s="147"/>
      <c r="N448" s="16"/>
      <c r="O448" s="147"/>
      <c r="P448" s="16"/>
      <c r="Q448" s="147"/>
      <c r="R448" s="16"/>
      <c r="S448" s="147"/>
      <c r="T448" s="79"/>
      <c r="U448" s="36"/>
      <c r="V448" s="148"/>
      <c r="W448" s="84"/>
      <c r="X448" s="16"/>
    </row>
    <row r="449" spans="8:24" ht="20" customHeight="1" x14ac:dyDescent="0.25">
      <c r="H449" s="147"/>
      <c r="I449" s="16"/>
      <c r="J449" s="16"/>
      <c r="K449" s="16"/>
      <c r="L449" s="16"/>
      <c r="M449" s="147"/>
      <c r="N449" s="16"/>
      <c r="O449" s="147"/>
      <c r="P449" s="16"/>
      <c r="Q449" s="147"/>
      <c r="R449" s="16"/>
      <c r="S449" s="147"/>
      <c r="T449" s="79"/>
      <c r="U449" s="36"/>
      <c r="V449" s="148"/>
      <c r="W449" s="84"/>
      <c r="X449" s="16"/>
    </row>
    <row r="450" spans="8:24" ht="20" customHeight="1" x14ac:dyDescent="0.25">
      <c r="H450" s="147"/>
      <c r="I450" s="16"/>
      <c r="J450" s="16"/>
      <c r="K450" s="16"/>
      <c r="L450" s="16"/>
      <c r="M450" s="147"/>
      <c r="N450" s="16"/>
      <c r="O450" s="147"/>
      <c r="P450" s="16"/>
      <c r="Q450" s="147"/>
      <c r="R450" s="16"/>
      <c r="S450" s="147"/>
      <c r="T450" s="79"/>
      <c r="U450" s="36"/>
      <c r="V450" s="148"/>
      <c r="W450" s="84"/>
      <c r="X450" s="16"/>
    </row>
    <row r="451" spans="8:24" ht="20" customHeight="1" x14ac:dyDescent="0.25">
      <c r="H451" s="147"/>
      <c r="I451" s="16"/>
      <c r="J451" s="16"/>
      <c r="K451" s="16"/>
      <c r="L451" s="16"/>
      <c r="M451" s="147"/>
      <c r="N451" s="16"/>
      <c r="O451" s="147"/>
      <c r="P451" s="16"/>
      <c r="Q451" s="147"/>
      <c r="R451" s="16"/>
      <c r="S451" s="147"/>
      <c r="T451" s="79"/>
      <c r="U451" s="36"/>
      <c r="V451" s="148"/>
      <c r="W451" s="84"/>
      <c r="X451" s="16"/>
    </row>
    <row r="452" spans="8:24" ht="20" customHeight="1" x14ac:dyDescent="0.25">
      <c r="H452" s="147"/>
      <c r="I452" s="16"/>
      <c r="J452" s="16"/>
      <c r="K452" s="16"/>
      <c r="L452" s="16"/>
      <c r="M452" s="147"/>
      <c r="N452" s="16"/>
      <c r="O452" s="147"/>
      <c r="P452" s="16"/>
      <c r="Q452" s="147"/>
      <c r="R452" s="16"/>
      <c r="S452" s="147"/>
      <c r="T452" s="79"/>
      <c r="U452" s="36"/>
      <c r="V452" s="148"/>
      <c r="W452" s="84"/>
      <c r="X452" s="16"/>
    </row>
    <row r="453" spans="8:24" ht="20" customHeight="1" x14ac:dyDescent="0.25">
      <c r="H453" s="147"/>
      <c r="I453" s="16"/>
      <c r="J453" s="16"/>
      <c r="K453" s="16"/>
      <c r="L453" s="16"/>
      <c r="M453" s="147"/>
      <c r="N453" s="16"/>
      <c r="O453" s="147"/>
      <c r="P453" s="16"/>
      <c r="Q453" s="147"/>
      <c r="R453" s="16"/>
      <c r="S453" s="147"/>
      <c r="T453" s="79"/>
      <c r="U453" s="36"/>
      <c r="V453" s="148"/>
      <c r="W453" s="84"/>
      <c r="X453" s="16"/>
    </row>
    <row r="454" spans="8:24" ht="20" customHeight="1" x14ac:dyDescent="0.25">
      <c r="H454" s="147"/>
      <c r="I454" s="16"/>
      <c r="J454" s="16"/>
      <c r="K454" s="16"/>
      <c r="L454" s="16"/>
      <c r="M454" s="147"/>
      <c r="N454" s="16"/>
      <c r="O454" s="147"/>
      <c r="P454" s="16"/>
      <c r="Q454" s="147"/>
      <c r="R454" s="16"/>
      <c r="S454" s="147"/>
      <c r="T454" s="79"/>
      <c r="U454" s="36"/>
      <c r="V454" s="148"/>
      <c r="W454" s="84"/>
      <c r="X454" s="16"/>
    </row>
    <row r="455" spans="8:24" ht="20" customHeight="1" x14ac:dyDescent="0.25">
      <c r="H455" s="147"/>
      <c r="I455" s="16"/>
      <c r="J455" s="16"/>
      <c r="K455" s="16"/>
      <c r="L455" s="16"/>
      <c r="M455" s="147"/>
      <c r="N455" s="16"/>
      <c r="O455" s="147"/>
      <c r="P455" s="16"/>
      <c r="Q455" s="147"/>
      <c r="R455" s="16"/>
      <c r="S455" s="147"/>
      <c r="T455" s="79"/>
      <c r="U455" s="36"/>
      <c r="V455" s="148"/>
      <c r="W455" s="84"/>
      <c r="X455" s="16"/>
    </row>
    <row r="456" spans="8:24" ht="20" customHeight="1" x14ac:dyDescent="0.25">
      <c r="H456" s="147"/>
      <c r="I456" s="16"/>
      <c r="J456" s="16"/>
      <c r="K456" s="16"/>
      <c r="L456" s="16"/>
      <c r="M456" s="147"/>
      <c r="N456" s="16"/>
      <c r="O456" s="147"/>
      <c r="P456" s="16"/>
      <c r="Q456" s="147"/>
      <c r="R456" s="16"/>
      <c r="S456" s="147"/>
      <c r="T456" s="79"/>
      <c r="U456" s="36"/>
      <c r="V456" s="148"/>
      <c r="W456" s="84"/>
      <c r="X456" s="16"/>
    </row>
    <row r="457" spans="8:24" ht="20" customHeight="1" x14ac:dyDescent="0.25">
      <c r="H457" s="147"/>
      <c r="I457" s="16"/>
      <c r="J457" s="16"/>
      <c r="K457" s="16"/>
      <c r="L457" s="16"/>
      <c r="M457" s="147"/>
      <c r="N457" s="16"/>
      <c r="O457" s="147"/>
      <c r="P457" s="16"/>
      <c r="Q457" s="147"/>
      <c r="R457" s="16"/>
      <c r="S457" s="147"/>
      <c r="T457" s="79"/>
      <c r="U457" s="36"/>
      <c r="V457" s="148"/>
      <c r="W457" s="84"/>
      <c r="X457" s="16"/>
    </row>
    <row r="458" spans="8:24" ht="20" customHeight="1" x14ac:dyDescent="0.25">
      <c r="H458" s="147"/>
      <c r="I458" s="16"/>
      <c r="J458" s="16"/>
      <c r="K458" s="16"/>
      <c r="L458" s="16"/>
      <c r="M458" s="147"/>
      <c r="N458" s="16"/>
      <c r="O458" s="147"/>
      <c r="P458" s="16"/>
      <c r="Q458" s="147"/>
      <c r="R458" s="16"/>
      <c r="S458" s="147"/>
      <c r="T458" s="79"/>
      <c r="U458" s="36"/>
      <c r="V458" s="148"/>
      <c r="W458" s="84"/>
      <c r="X458" s="16"/>
    </row>
    <row r="459" spans="8:24" ht="20" customHeight="1" x14ac:dyDescent="0.25">
      <c r="H459" s="147"/>
      <c r="I459" s="16"/>
      <c r="J459" s="16"/>
      <c r="K459" s="16"/>
      <c r="L459" s="16"/>
      <c r="M459" s="147"/>
      <c r="N459" s="16"/>
      <c r="O459" s="147"/>
      <c r="P459" s="16"/>
      <c r="Q459" s="147"/>
      <c r="R459" s="16"/>
      <c r="S459" s="147"/>
      <c r="T459" s="79"/>
      <c r="U459" s="36"/>
      <c r="V459" s="148"/>
      <c r="W459" s="84"/>
      <c r="X459" s="16"/>
    </row>
    <row r="460" spans="8:24" ht="20" customHeight="1" x14ac:dyDescent="0.25">
      <c r="H460" s="147"/>
      <c r="I460" s="16"/>
      <c r="J460" s="16"/>
      <c r="K460" s="16"/>
      <c r="L460" s="16"/>
      <c r="M460" s="147"/>
      <c r="N460" s="16"/>
      <c r="O460" s="147"/>
      <c r="P460" s="16"/>
      <c r="Q460" s="147"/>
      <c r="R460" s="16"/>
      <c r="S460" s="147"/>
      <c r="T460" s="79"/>
      <c r="U460" s="36"/>
      <c r="V460" s="148"/>
      <c r="W460" s="84"/>
      <c r="X460" s="16"/>
    </row>
    <row r="461" spans="8:24" ht="20" customHeight="1" x14ac:dyDescent="0.25">
      <c r="H461" s="147"/>
      <c r="I461" s="16"/>
      <c r="J461" s="16"/>
      <c r="K461" s="16"/>
      <c r="L461" s="16"/>
      <c r="M461" s="147"/>
      <c r="N461" s="16"/>
      <c r="O461" s="147"/>
      <c r="P461" s="16"/>
      <c r="Q461" s="147"/>
      <c r="R461" s="16"/>
      <c r="S461" s="147"/>
      <c r="T461" s="79"/>
      <c r="U461" s="36"/>
      <c r="V461" s="148"/>
      <c r="W461" s="84"/>
      <c r="X461" s="16"/>
    </row>
    <row r="462" spans="8:24" ht="20" customHeight="1" x14ac:dyDescent="0.25">
      <c r="H462" s="147"/>
      <c r="I462" s="16"/>
      <c r="J462" s="16"/>
      <c r="K462" s="16"/>
      <c r="L462" s="16"/>
      <c r="M462" s="147"/>
      <c r="N462" s="16"/>
      <c r="O462" s="147"/>
      <c r="P462" s="16"/>
      <c r="Q462" s="147"/>
      <c r="R462" s="16"/>
      <c r="S462" s="147"/>
      <c r="T462" s="79"/>
      <c r="U462" s="36"/>
      <c r="V462" s="148"/>
      <c r="W462" s="84"/>
      <c r="X462" s="16"/>
    </row>
    <row r="463" spans="8:24" ht="20" customHeight="1" x14ac:dyDescent="0.25">
      <c r="H463" s="147"/>
      <c r="I463" s="16"/>
      <c r="J463" s="16"/>
      <c r="K463" s="16"/>
      <c r="L463" s="16"/>
      <c r="M463" s="147"/>
      <c r="N463" s="16"/>
      <c r="O463" s="147"/>
      <c r="P463" s="16"/>
      <c r="Q463" s="147"/>
      <c r="R463" s="16"/>
      <c r="S463" s="147"/>
      <c r="T463" s="79"/>
      <c r="U463" s="36"/>
      <c r="V463" s="148"/>
      <c r="W463" s="84"/>
      <c r="X463" s="16"/>
    </row>
    <row r="464" spans="8:24" ht="20" customHeight="1" x14ac:dyDescent="0.25">
      <c r="H464" s="147"/>
      <c r="I464" s="16"/>
      <c r="J464" s="16"/>
      <c r="K464" s="16"/>
      <c r="L464" s="16"/>
      <c r="M464" s="147"/>
      <c r="N464" s="16"/>
      <c r="O464" s="147"/>
      <c r="P464" s="16"/>
      <c r="Q464" s="147"/>
      <c r="R464" s="16"/>
      <c r="S464" s="147"/>
      <c r="T464" s="79"/>
      <c r="U464" s="36"/>
      <c r="V464" s="148"/>
      <c r="W464" s="84"/>
      <c r="X464" s="16"/>
    </row>
    <row r="465" spans="8:24" ht="20" customHeight="1" x14ac:dyDescent="0.25">
      <c r="H465" s="147"/>
      <c r="I465" s="16"/>
      <c r="J465" s="16"/>
      <c r="K465" s="16"/>
      <c r="L465" s="16"/>
      <c r="M465" s="147"/>
      <c r="N465" s="16"/>
      <c r="O465" s="147"/>
      <c r="P465" s="16"/>
      <c r="Q465" s="147"/>
      <c r="R465" s="16"/>
      <c r="S465" s="147"/>
      <c r="T465" s="79"/>
      <c r="U465" s="36"/>
      <c r="V465" s="148"/>
      <c r="W465" s="84"/>
      <c r="X465" s="16"/>
    </row>
    <row r="466" spans="8:24" ht="20" customHeight="1" x14ac:dyDescent="0.25">
      <c r="H466" s="147"/>
      <c r="I466" s="16"/>
      <c r="J466" s="16"/>
      <c r="K466" s="16"/>
      <c r="L466" s="16"/>
      <c r="M466" s="147"/>
      <c r="N466" s="16"/>
      <c r="O466" s="147"/>
      <c r="P466" s="16"/>
      <c r="Q466" s="147"/>
      <c r="R466" s="16"/>
      <c r="S466" s="147"/>
      <c r="T466" s="79"/>
      <c r="U466" s="36"/>
      <c r="V466" s="148"/>
      <c r="W466" s="84"/>
      <c r="X466" s="16"/>
    </row>
    <row r="467" spans="8:24" ht="20" customHeight="1" x14ac:dyDescent="0.25">
      <c r="H467" s="147"/>
      <c r="I467" s="16"/>
      <c r="J467" s="16"/>
      <c r="K467" s="16"/>
      <c r="L467" s="16"/>
      <c r="M467" s="147"/>
      <c r="N467" s="16"/>
      <c r="O467" s="147"/>
      <c r="P467" s="16"/>
      <c r="Q467" s="147"/>
      <c r="R467" s="16"/>
      <c r="S467" s="147"/>
      <c r="T467" s="79"/>
      <c r="U467" s="36"/>
      <c r="V467" s="148"/>
      <c r="W467" s="84"/>
      <c r="X467" s="16"/>
    </row>
    <row r="468" spans="8:24" ht="20" customHeight="1" x14ac:dyDescent="0.25">
      <c r="H468" s="147"/>
      <c r="I468" s="16"/>
      <c r="J468" s="16"/>
      <c r="K468" s="16"/>
      <c r="L468" s="16"/>
      <c r="M468" s="147"/>
      <c r="N468" s="16"/>
      <c r="O468" s="147"/>
      <c r="P468" s="16"/>
      <c r="Q468" s="147"/>
      <c r="R468" s="16"/>
      <c r="S468" s="147"/>
      <c r="T468" s="79"/>
      <c r="U468" s="36"/>
      <c r="V468" s="148"/>
      <c r="W468" s="84"/>
      <c r="X468" s="16"/>
    </row>
    <row r="469" spans="8:24" ht="20" customHeight="1" x14ac:dyDescent="0.25">
      <c r="H469" s="147"/>
      <c r="I469" s="16"/>
      <c r="J469" s="16"/>
      <c r="K469" s="16"/>
      <c r="L469" s="16"/>
      <c r="M469" s="147"/>
      <c r="N469" s="16"/>
      <c r="O469" s="147"/>
      <c r="P469" s="16"/>
      <c r="Q469" s="147"/>
      <c r="R469" s="16"/>
      <c r="S469" s="147"/>
      <c r="T469" s="79"/>
      <c r="U469" s="36"/>
      <c r="V469" s="148"/>
      <c r="W469" s="84"/>
      <c r="X469" s="16"/>
    </row>
    <row r="470" spans="8:24" ht="20" customHeight="1" x14ac:dyDescent="0.25">
      <c r="H470" s="147"/>
      <c r="I470" s="16"/>
      <c r="J470" s="16"/>
      <c r="K470" s="16"/>
      <c r="L470" s="16"/>
      <c r="M470" s="147"/>
      <c r="N470" s="16"/>
      <c r="O470" s="147"/>
      <c r="P470" s="16"/>
      <c r="Q470" s="147"/>
      <c r="R470" s="16"/>
      <c r="S470" s="147"/>
      <c r="T470" s="79"/>
      <c r="U470" s="36"/>
      <c r="V470" s="148"/>
      <c r="W470" s="84"/>
      <c r="X470" s="16"/>
    </row>
    <row r="471" spans="8:24" ht="20" customHeight="1" x14ac:dyDescent="0.25">
      <c r="H471" s="147"/>
      <c r="I471" s="16"/>
      <c r="J471" s="16"/>
      <c r="K471" s="16"/>
      <c r="L471" s="16"/>
      <c r="M471" s="147"/>
      <c r="N471" s="16"/>
      <c r="O471" s="147"/>
      <c r="P471" s="16"/>
      <c r="Q471" s="147"/>
      <c r="R471" s="16"/>
      <c r="S471" s="147"/>
      <c r="T471" s="79"/>
      <c r="U471" s="36"/>
      <c r="V471" s="148"/>
      <c r="W471" s="84"/>
      <c r="X471" s="16"/>
    </row>
    <row r="472" spans="8:24" ht="20" customHeight="1" x14ac:dyDescent="0.25">
      <c r="H472" s="147"/>
      <c r="I472" s="16"/>
      <c r="J472" s="16"/>
      <c r="K472" s="16"/>
      <c r="L472" s="16"/>
      <c r="M472" s="147"/>
      <c r="N472" s="16"/>
      <c r="O472" s="147"/>
      <c r="P472" s="16"/>
      <c r="Q472" s="147"/>
      <c r="R472" s="16"/>
      <c r="S472" s="147"/>
      <c r="T472" s="79"/>
      <c r="U472" s="36"/>
      <c r="V472" s="148"/>
      <c r="W472" s="84"/>
      <c r="X472" s="16"/>
    </row>
    <row r="473" spans="8:24" ht="20" customHeight="1" x14ac:dyDescent="0.25">
      <c r="H473" s="147"/>
      <c r="I473" s="16"/>
      <c r="J473" s="16"/>
      <c r="K473" s="16"/>
      <c r="L473" s="16"/>
      <c r="M473" s="147"/>
      <c r="N473" s="16"/>
      <c r="O473" s="147"/>
      <c r="P473" s="16"/>
      <c r="Q473" s="147"/>
      <c r="R473" s="16"/>
      <c r="S473" s="147"/>
      <c r="T473" s="79"/>
      <c r="U473" s="36"/>
      <c r="V473" s="148"/>
      <c r="W473" s="84"/>
      <c r="X473" s="16"/>
    </row>
    <row r="474" spans="8:24" ht="20" customHeight="1" x14ac:dyDescent="0.25">
      <c r="H474" s="147"/>
      <c r="I474" s="16"/>
      <c r="J474" s="16"/>
      <c r="K474" s="16"/>
      <c r="L474" s="16"/>
      <c r="M474" s="147"/>
      <c r="N474" s="16"/>
      <c r="O474" s="147"/>
      <c r="P474" s="16"/>
      <c r="Q474" s="147"/>
      <c r="R474" s="16"/>
      <c r="S474" s="147"/>
      <c r="T474" s="79"/>
      <c r="U474" s="36"/>
      <c r="V474" s="148"/>
      <c r="W474" s="84"/>
      <c r="X474" s="16"/>
    </row>
    <row r="475" spans="8:24" ht="20" customHeight="1" x14ac:dyDescent="0.25">
      <c r="H475" s="147"/>
      <c r="I475" s="16"/>
      <c r="J475" s="16"/>
      <c r="K475" s="16"/>
      <c r="L475" s="16"/>
      <c r="M475" s="147"/>
      <c r="N475" s="16"/>
      <c r="O475" s="147"/>
      <c r="P475" s="16"/>
      <c r="Q475" s="147"/>
      <c r="R475" s="16"/>
      <c r="S475" s="147"/>
      <c r="T475" s="79"/>
      <c r="U475" s="36"/>
      <c r="V475" s="148"/>
      <c r="W475" s="84"/>
      <c r="X475" s="16"/>
    </row>
    <row r="476" spans="8:24" ht="20" customHeight="1" x14ac:dyDescent="0.25">
      <c r="H476" s="147"/>
      <c r="I476" s="16"/>
      <c r="J476" s="16"/>
      <c r="K476" s="16"/>
      <c r="L476" s="16"/>
      <c r="M476" s="147"/>
      <c r="N476" s="16"/>
      <c r="O476" s="147"/>
      <c r="P476" s="16"/>
      <c r="Q476" s="147"/>
      <c r="R476" s="16"/>
      <c r="S476" s="147"/>
      <c r="T476" s="79"/>
      <c r="U476" s="36"/>
      <c r="V476" s="148"/>
      <c r="W476" s="84"/>
      <c r="X476" s="16"/>
    </row>
    <row r="477" spans="8:24" ht="20" customHeight="1" x14ac:dyDescent="0.25">
      <c r="H477" s="147"/>
      <c r="I477" s="16"/>
      <c r="J477" s="16"/>
      <c r="K477" s="16"/>
      <c r="L477" s="16"/>
      <c r="M477" s="147"/>
      <c r="N477" s="16"/>
      <c r="O477" s="147"/>
      <c r="P477" s="16"/>
      <c r="Q477" s="147"/>
      <c r="R477" s="16"/>
      <c r="S477" s="147"/>
      <c r="T477" s="79"/>
      <c r="U477" s="36"/>
      <c r="V477" s="148"/>
      <c r="W477" s="84"/>
      <c r="X477" s="16"/>
    </row>
    <row r="478" spans="8:24" ht="20" customHeight="1" x14ac:dyDescent="0.25">
      <c r="H478" s="147"/>
      <c r="I478" s="16"/>
      <c r="J478" s="16"/>
      <c r="K478" s="16"/>
      <c r="L478" s="16"/>
      <c r="M478" s="147"/>
      <c r="N478" s="16"/>
      <c r="O478" s="147"/>
      <c r="P478" s="16"/>
      <c r="Q478" s="147"/>
      <c r="R478" s="16"/>
      <c r="S478" s="147"/>
      <c r="T478" s="79"/>
      <c r="U478" s="36"/>
      <c r="V478" s="148"/>
      <c r="W478" s="84"/>
      <c r="X478" s="16"/>
    </row>
    <row r="479" spans="8:24" ht="20" customHeight="1" x14ac:dyDescent="0.25">
      <c r="H479" s="147"/>
      <c r="I479" s="16"/>
      <c r="J479" s="16"/>
      <c r="K479" s="16"/>
      <c r="L479" s="16"/>
      <c r="M479" s="147"/>
      <c r="N479" s="16"/>
      <c r="O479" s="147"/>
      <c r="P479" s="16"/>
      <c r="Q479" s="147"/>
      <c r="R479" s="16"/>
      <c r="S479" s="147"/>
      <c r="T479" s="79"/>
      <c r="U479" s="36"/>
      <c r="V479" s="148"/>
      <c r="W479" s="84"/>
      <c r="X479" s="16"/>
    </row>
    <row r="480" spans="8:24" ht="20" customHeight="1" x14ac:dyDescent="0.25">
      <c r="H480" s="147"/>
      <c r="I480" s="16"/>
      <c r="J480" s="16"/>
      <c r="K480" s="16"/>
      <c r="L480" s="16"/>
      <c r="M480" s="147"/>
      <c r="N480" s="16"/>
      <c r="O480" s="147"/>
      <c r="P480" s="16"/>
      <c r="Q480" s="147"/>
      <c r="R480" s="16"/>
      <c r="S480" s="147"/>
      <c r="T480" s="79"/>
      <c r="U480" s="36"/>
      <c r="V480" s="148"/>
      <c r="W480" s="84"/>
      <c r="X480" s="16"/>
    </row>
    <row r="481" spans="8:24" ht="20" customHeight="1" x14ac:dyDescent="0.25">
      <c r="H481" s="147"/>
      <c r="I481" s="16"/>
      <c r="J481" s="16"/>
      <c r="K481" s="16"/>
      <c r="L481" s="16"/>
      <c r="M481" s="147"/>
      <c r="N481" s="16"/>
      <c r="O481" s="147"/>
      <c r="P481" s="16"/>
      <c r="Q481" s="147"/>
      <c r="R481" s="16"/>
      <c r="S481" s="147"/>
      <c r="T481" s="79"/>
      <c r="U481" s="36"/>
      <c r="V481" s="148"/>
      <c r="W481" s="84"/>
      <c r="X481" s="16"/>
    </row>
    <row r="482" spans="8:24" ht="20" customHeight="1" x14ac:dyDescent="0.25">
      <c r="H482" s="147"/>
      <c r="I482" s="16"/>
      <c r="J482" s="16"/>
      <c r="K482" s="16"/>
      <c r="L482" s="16"/>
      <c r="M482" s="147"/>
      <c r="N482" s="16"/>
      <c r="O482" s="147"/>
      <c r="P482" s="16"/>
      <c r="Q482" s="147"/>
      <c r="R482" s="16"/>
      <c r="S482" s="147"/>
      <c r="T482" s="79"/>
      <c r="U482" s="36"/>
      <c r="V482" s="148"/>
      <c r="W482" s="84"/>
      <c r="X482" s="16"/>
    </row>
    <row r="483" spans="8:24" ht="20" customHeight="1" x14ac:dyDescent="0.25">
      <c r="H483" s="147"/>
      <c r="I483" s="16"/>
      <c r="J483" s="16"/>
      <c r="K483" s="16"/>
      <c r="L483" s="16"/>
      <c r="M483" s="147"/>
      <c r="N483" s="16"/>
      <c r="O483" s="147"/>
      <c r="P483" s="16"/>
      <c r="Q483" s="147"/>
      <c r="R483" s="16"/>
      <c r="S483" s="147"/>
      <c r="T483" s="79"/>
      <c r="U483" s="36"/>
      <c r="V483" s="148"/>
      <c r="W483" s="84"/>
      <c r="X483" s="16"/>
    </row>
    <row r="484" spans="8:24" ht="20" customHeight="1" x14ac:dyDescent="0.25">
      <c r="H484" s="147"/>
      <c r="I484" s="16"/>
      <c r="J484" s="16"/>
      <c r="K484" s="16"/>
      <c r="L484" s="16"/>
      <c r="M484" s="147"/>
      <c r="N484" s="16"/>
      <c r="O484" s="147"/>
      <c r="P484" s="16"/>
      <c r="Q484" s="147"/>
      <c r="R484" s="16"/>
      <c r="S484" s="147"/>
      <c r="T484" s="79"/>
      <c r="U484" s="36"/>
      <c r="V484" s="148"/>
      <c r="W484" s="84"/>
      <c r="X484" s="16"/>
    </row>
    <row r="485" spans="8:24" ht="20" customHeight="1" x14ac:dyDescent="0.25">
      <c r="H485" s="147"/>
      <c r="I485" s="16"/>
      <c r="J485" s="16"/>
      <c r="K485" s="16"/>
      <c r="L485" s="16"/>
      <c r="M485" s="147"/>
      <c r="N485" s="16"/>
      <c r="O485" s="147"/>
      <c r="P485" s="16"/>
      <c r="Q485" s="147"/>
      <c r="R485" s="16"/>
      <c r="S485" s="147"/>
      <c r="T485" s="79"/>
      <c r="U485" s="36"/>
      <c r="V485" s="148"/>
      <c r="W485" s="84"/>
      <c r="X485" s="16"/>
    </row>
    <row r="486" spans="8:24" ht="20" customHeight="1" x14ac:dyDescent="0.25">
      <c r="H486" s="147"/>
      <c r="I486" s="16"/>
      <c r="J486" s="16"/>
      <c r="K486" s="16"/>
      <c r="L486" s="16"/>
      <c r="M486" s="147"/>
      <c r="N486" s="16"/>
      <c r="O486" s="147"/>
      <c r="P486" s="16"/>
      <c r="Q486" s="147"/>
      <c r="R486" s="16"/>
      <c r="S486" s="147"/>
      <c r="T486" s="79"/>
      <c r="U486" s="36"/>
      <c r="V486" s="148"/>
      <c r="W486" s="84"/>
      <c r="X486" s="16"/>
    </row>
    <row r="487" spans="8:24" ht="20" customHeight="1" x14ac:dyDescent="0.25">
      <c r="H487" s="147"/>
      <c r="I487" s="16"/>
      <c r="J487" s="16"/>
      <c r="K487" s="16"/>
      <c r="L487" s="16"/>
      <c r="M487" s="147"/>
      <c r="N487" s="16"/>
      <c r="O487" s="147"/>
      <c r="P487" s="16"/>
      <c r="Q487" s="147"/>
      <c r="R487" s="16"/>
      <c r="S487" s="147"/>
      <c r="T487" s="79"/>
      <c r="U487" s="36"/>
      <c r="V487" s="148"/>
      <c r="W487" s="84"/>
      <c r="X487" s="16"/>
    </row>
    <row r="488" spans="8:24" ht="20" customHeight="1" x14ac:dyDescent="0.25">
      <c r="H488" s="147"/>
      <c r="I488" s="16"/>
      <c r="J488" s="16"/>
      <c r="K488" s="16"/>
      <c r="L488" s="16"/>
      <c r="M488" s="147"/>
      <c r="N488" s="16"/>
      <c r="O488" s="147"/>
      <c r="P488" s="16"/>
      <c r="Q488" s="147"/>
      <c r="R488" s="16"/>
      <c r="S488" s="147"/>
      <c r="T488" s="79"/>
      <c r="U488" s="36"/>
      <c r="V488" s="148"/>
      <c r="W488" s="84"/>
      <c r="X488" s="16"/>
    </row>
    <row r="489" spans="8:24" ht="20" customHeight="1" x14ac:dyDescent="0.25">
      <c r="H489" s="147"/>
      <c r="I489" s="16"/>
      <c r="J489" s="16"/>
      <c r="K489" s="16"/>
      <c r="L489" s="16"/>
      <c r="M489" s="147"/>
      <c r="N489" s="16"/>
      <c r="O489" s="147"/>
      <c r="P489" s="16"/>
      <c r="Q489" s="147"/>
      <c r="R489" s="16"/>
      <c r="S489" s="147"/>
      <c r="T489" s="79"/>
      <c r="U489" s="36"/>
      <c r="V489" s="148"/>
      <c r="W489" s="84"/>
      <c r="X489" s="16"/>
    </row>
    <row r="490" spans="8:24" ht="20" customHeight="1" x14ac:dyDescent="0.25">
      <c r="H490" s="147"/>
      <c r="I490" s="16"/>
      <c r="J490" s="16"/>
      <c r="K490" s="16"/>
      <c r="L490" s="16"/>
      <c r="M490" s="147"/>
      <c r="N490" s="16"/>
      <c r="O490" s="147"/>
      <c r="P490" s="16"/>
      <c r="Q490" s="147"/>
      <c r="R490" s="16"/>
      <c r="S490" s="147"/>
      <c r="T490" s="79"/>
      <c r="U490" s="36"/>
      <c r="V490" s="148"/>
      <c r="W490" s="84"/>
      <c r="X490" s="16"/>
    </row>
    <row r="491" spans="8:24" ht="20" customHeight="1" x14ac:dyDescent="0.25">
      <c r="H491" s="147"/>
      <c r="I491" s="16"/>
      <c r="J491" s="16"/>
      <c r="K491" s="16"/>
      <c r="L491" s="16"/>
      <c r="M491" s="147"/>
      <c r="N491" s="16"/>
      <c r="O491" s="147"/>
      <c r="P491" s="16"/>
      <c r="Q491" s="147"/>
      <c r="R491" s="16"/>
      <c r="S491" s="147"/>
      <c r="T491" s="79"/>
      <c r="U491" s="36"/>
      <c r="V491" s="148"/>
      <c r="W491" s="84"/>
      <c r="X491" s="16"/>
    </row>
    <row r="492" spans="8:24" ht="20" customHeight="1" x14ac:dyDescent="0.25">
      <c r="H492" s="147"/>
      <c r="I492" s="16"/>
      <c r="J492" s="16"/>
      <c r="K492" s="16"/>
      <c r="L492" s="16"/>
      <c r="M492" s="147"/>
      <c r="N492" s="16"/>
      <c r="O492" s="147"/>
      <c r="P492" s="16"/>
      <c r="Q492" s="147"/>
      <c r="R492" s="16"/>
      <c r="S492" s="147"/>
      <c r="T492" s="79"/>
      <c r="U492" s="36"/>
      <c r="V492" s="148"/>
      <c r="W492" s="84"/>
      <c r="X492" s="16"/>
    </row>
    <row r="493" spans="8:24" ht="20" customHeight="1" x14ac:dyDescent="0.25">
      <c r="H493" s="147"/>
      <c r="I493" s="16"/>
      <c r="J493" s="16"/>
      <c r="K493" s="16"/>
      <c r="L493" s="16"/>
      <c r="M493" s="147"/>
      <c r="N493" s="16"/>
      <c r="O493" s="147"/>
      <c r="P493" s="16"/>
      <c r="Q493" s="147"/>
      <c r="R493" s="16"/>
      <c r="S493" s="147"/>
      <c r="T493" s="79"/>
      <c r="U493" s="36"/>
      <c r="V493" s="148"/>
      <c r="W493" s="84"/>
      <c r="X493" s="16"/>
    </row>
    <row r="494" spans="8:24" ht="20" customHeight="1" x14ac:dyDescent="0.25">
      <c r="H494" s="147"/>
      <c r="I494" s="16"/>
      <c r="J494" s="16"/>
      <c r="K494" s="16"/>
      <c r="L494" s="16"/>
      <c r="M494" s="147"/>
      <c r="N494" s="16"/>
      <c r="O494" s="147"/>
      <c r="P494" s="16"/>
      <c r="Q494" s="147"/>
      <c r="R494" s="16"/>
      <c r="S494" s="147"/>
      <c r="T494" s="79"/>
      <c r="U494" s="36"/>
      <c r="V494" s="148"/>
      <c r="W494" s="84"/>
      <c r="X494" s="16"/>
    </row>
    <row r="495" spans="8:24" ht="20" customHeight="1" x14ac:dyDescent="0.25">
      <c r="H495" s="147"/>
      <c r="I495" s="16"/>
      <c r="J495" s="16"/>
      <c r="K495" s="16"/>
      <c r="L495" s="16"/>
      <c r="M495" s="147"/>
      <c r="N495" s="16"/>
      <c r="O495" s="147"/>
      <c r="P495" s="16"/>
      <c r="Q495" s="147"/>
      <c r="R495" s="16"/>
      <c r="S495" s="147"/>
      <c r="T495" s="79"/>
      <c r="U495" s="36"/>
      <c r="V495" s="148"/>
      <c r="W495" s="84"/>
      <c r="X495" s="16"/>
    </row>
    <row r="496" spans="8:24" ht="20" customHeight="1" x14ac:dyDescent="0.25">
      <c r="H496" s="147"/>
      <c r="I496" s="16"/>
      <c r="J496" s="16"/>
      <c r="K496" s="16"/>
      <c r="L496" s="16"/>
      <c r="M496" s="147"/>
      <c r="N496" s="16"/>
      <c r="O496" s="147"/>
      <c r="P496" s="16"/>
      <c r="Q496" s="147"/>
      <c r="R496" s="16"/>
      <c r="S496" s="147"/>
      <c r="T496" s="79"/>
      <c r="U496" s="36"/>
      <c r="V496" s="148"/>
      <c r="W496" s="84"/>
      <c r="X496" s="16"/>
    </row>
    <row r="497" spans="8:24" ht="20" customHeight="1" x14ac:dyDescent="0.25">
      <c r="H497" s="147"/>
      <c r="I497" s="16"/>
      <c r="J497" s="16"/>
      <c r="K497" s="16"/>
      <c r="L497" s="16"/>
      <c r="M497" s="147"/>
      <c r="N497" s="16"/>
      <c r="O497" s="147"/>
      <c r="P497" s="16"/>
      <c r="Q497" s="147"/>
      <c r="R497" s="16"/>
      <c r="S497" s="147"/>
      <c r="T497" s="79"/>
      <c r="U497" s="36"/>
      <c r="V497" s="148"/>
      <c r="W497" s="84"/>
      <c r="X497" s="16"/>
    </row>
    <row r="498" spans="8:24" ht="20" customHeight="1" x14ac:dyDescent="0.25">
      <c r="H498" s="147"/>
      <c r="I498" s="16"/>
      <c r="J498" s="16"/>
      <c r="K498" s="16"/>
      <c r="L498" s="16"/>
      <c r="M498" s="147"/>
      <c r="N498" s="16"/>
      <c r="O498" s="147"/>
      <c r="P498" s="16"/>
      <c r="Q498" s="147"/>
      <c r="R498" s="16"/>
      <c r="S498" s="147"/>
      <c r="T498" s="79"/>
      <c r="U498" s="36"/>
      <c r="V498" s="148"/>
      <c r="W498" s="84"/>
      <c r="X498" s="16"/>
    </row>
    <row r="499" spans="8:24" ht="20" customHeight="1" x14ac:dyDescent="0.25">
      <c r="H499" s="147"/>
      <c r="I499" s="16"/>
      <c r="J499" s="16"/>
      <c r="K499" s="16"/>
      <c r="L499" s="16"/>
      <c r="M499" s="147"/>
      <c r="N499" s="16"/>
      <c r="O499" s="147"/>
      <c r="P499" s="16"/>
      <c r="Q499" s="147"/>
      <c r="R499" s="16"/>
      <c r="S499" s="147"/>
      <c r="T499" s="79"/>
      <c r="U499" s="36"/>
      <c r="V499" s="148"/>
      <c r="W499" s="84"/>
      <c r="X499" s="16"/>
    </row>
    <row r="500" spans="8:24" ht="20" customHeight="1" x14ac:dyDescent="0.25">
      <c r="H500" s="147"/>
      <c r="I500" s="16"/>
      <c r="J500" s="16"/>
      <c r="K500" s="16"/>
      <c r="L500" s="16"/>
      <c r="M500" s="147"/>
      <c r="N500" s="16"/>
      <c r="O500" s="147"/>
      <c r="P500" s="16"/>
      <c r="Q500" s="147"/>
      <c r="R500" s="16"/>
      <c r="S500" s="147"/>
      <c r="T500" s="79"/>
      <c r="U500" s="36"/>
      <c r="V500" s="148"/>
      <c r="W500" s="84"/>
      <c r="X500" s="16"/>
    </row>
    <row r="501" spans="8:24" ht="20" customHeight="1" x14ac:dyDescent="0.25">
      <c r="H501" s="147"/>
      <c r="I501" s="16"/>
      <c r="J501" s="16"/>
      <c r="K501" s="16"/>
      <c r="L501" s="16"/>
      <c r="M501" s="147"/>
      <c r="N501" s="16"/>
      <c r="O501" s="147"/>
      <c r="P501" s="16"/>
      <c r="Q501" s="147"/>
      <c r="R501" s="16"/>
      <c r="S501" s="147"/>
      <c r="T501" s="79"/>
      <c r="U501" s="36"/>
      <c r="V501" s="148"/>
      <c r="W501" s="84"/>
      <c r="X501" s="16"/>
    </row>
    <row r="502" spans="8:24" ht="20" customHeight="1" x14ac:dyDescent="0.25">
      <c r="H502" s="147"/>
      <c r="I502" s="16"/>
      <c r="J502" s="16"/>
      <c r="K502" s="16"/>
      <c r="L502" s="16"/>
      <c r="M502" s="147"/>
      <c r="N502" s="16"/>
      <c r="O502" s="147"/>
      <c r="P502" s="16"/>
      <c r="Q502" s="147"/>
      <c r="R502" s="16"/>
      <c r="S502" s="147"/>
      <c r="T502" s="79"/>
      <c r="U502" s="36"/>
      <c r="V502" s="148"/>
      <c r="W502" s="84"/>
      <c r="X502" s="16"/>
    </row>
    <row r="503" spans="8:24" ht="20" customHeight="1" x14ac:dyDescent="0.25">
      <c r="H503" s="147"/>
      <c r="I503" s="16"/>
      <c r="J503" s="16"/>
      <c r="K503" s="16"/>
      <c r="L503" s="16"/>
      <c r="M503" s="147"/>
      <c r="N503" s="16"/>
      <c r="O503" s="147"/>
      <c r="P503" s="16"/>
      <c r="Q503" s="147"/>
      <c r="R503" s="16"/>
      <c r="S503" s="147"/>
      <c r="T503" s="79"/>
      <c r="U503" s="36"/>
      <c r="V503" s="148"/>
      <c r="W503" s="84"/>
      <c r="X503" s="16"/>
    </row>
    <row r="504" spans="8:24" ht="20" customHeight="1" x14ac:dyDescent="0.25">
      <c r="H504" s="147"/>
      <c r="I504" s="16"/>
      <c r="J504" s="16"/>
      <c r="K504" s="16"/>
      <c r="L504" s="16"/>
      <c r="M504" s="147"/>
      <c r="N504" s="16"/>
      <c r="O504" s="147"/>
      <c r="P504" s="16"/>
      <c r="Q504" s="147"/>
      <c r="R504" s="16"/>
      <c r="S504" s="147"/>
      <c r="T504" s="79"/>
      <c r="U504" s="36"/>
      <c r="V504" s="148"/>
      <c r="W504" s="84"/>
      <c r="X504" s="16"/>
    </row>
    <row r="505" spans="8:24" ht="20" customHeight="1" x14ac:dyDescent="0.25">
      <c r="H505" s="147"/>
      <c r="I505" s="16"/>
      <c r="J505" s="16"/>
      <c r="K505" s="16"/>
      <c r="L505" s="16"/>
      <c r="M505" s="147"/>
      <c r="N505" s="16"/>
      <c r="O505" s="147"/>
      <c r="P505" s="16"/>
      <c r="Q505" s="147"/>
      <c r="R505" s="16"/>
      <c r="S505" s="147"/>
      <c r="T505" s="79"/>
      <c r="U505" s="36"/>
      <c r="V505" s="148"/>
      <c r="W505" s="84"/>
      <c r="X505" s="16"/>
    </row>
    <row r="506" spans="8:24" ht="20" customHeight="1" x14ac:dyDescent="0.25">
      <c r="H506" s="147"/>
      <c r="I506" s="16"/>
      <c r="J506" s="16"/>
      <c r="K506" s="16"/>
      <c r="L506" s="16"/>
      <c r="M506" s="147"/>
      <c r="N506" s="16"/>
      <c r="O506" s="147"/>
      <c r="P506" s="16"/>
      <c r="Q506" s="147"/>
      <c r="R506" s="16"/>
      <c r="S506" s="147"/>
      <c r="T506" s="79"/>
      <c r="U506" s="36"/>
      <c r="V506" s="148"/>
      <c r="W506" s="84"/>
      <c r="X506" s="16"/>
    </row>
    <row r="507" spans="8:24" ht="20" customHeight="1" x14ac:dyDescent="0.25">
      <c r="H507" s="147"/>
      <c r="I507" s="16"/>
      <c r="J507" s="16"/>
      <c r="K507" s="16"/>
      <c r="L507" s="16"/>
      <c r="M507" s="147"/>
      <c r="N507" s="16"/>
      <c r="O507" s="147"/>
      <c r="P507" s="16"/>
      <c r="Q507" s="147"/>
      <c r="R507" s="16"/>
      <c r="S507" s="147"/>
      <c r="T507" s="79"/>
      <c r="U507" s="36"/>
      <c r="V507" s="148"/>
      <c r="W507" s="84"/>
      <c r="X507" s="16"/>
    </row>
    <row r="508" spans="8:24" ht="20" customHeight="1" x14ac:dyDescent="0.25">
      <c r="H508" s="147"/>
      <c r="I508" s="16"/>
      <c r="J508" s="16"/>
      <c r="K508" s="16"/>
      <c r="L508" s="16"/>
      <c r="M508" s="147"/>
      <c r="N508" s="16"/>
      <c r="O508" s="147"/>
      <c r="P508" s="16"/>
      <c r="Q508" s="147"/>
      <c r="R508" s="16"/>
      <c r="S508" s="147"/>
      <c r="T508" s="79"/>
      <c r="U508" s="36"/>
      <c r="V508" s="148"/>
      <c r="W508" s="84"/>
      <c r="X508" s="16"/>
    </row>
    <row r="509" spans="8:24" ht="20" customHeight="1" x14ac:dyDescent="0.25">
      <c r="H509" s="147"/>
      <c r="I509" s="16"/>
      <c r="J509" s="16"/>
      <c r="K509" s="16"/>
      <c r="L509" s="16"/>
      <c r="M509" s="147"/>
      <c r="N509" s="16"/>
      <c r="O509" s="147"/>
      <c r="P509" s="16"/>
      <c r="Q509" s="147"/>
      <c r="R509" s="16"/>
      <c r="S509" s="147"/>
      <c r="T509" s="79"/>
      <c r="U509" s="36"/>
      <c r="V509" s="148"/>
      <c r="W509" s="84"/>
      <c r="X509" s="16"/>
    </row>
    <row r="510" spans="8:24" ht="20" customHeight="1" x14ac:dyDescent="0.25">
      <c r="H510" s="147"/>
      <c r="I510" s="16"/>
      <c r="J510" s="16"/>
      <c r="K510" s="16"/>
      <c r="L510" s="16"/>
      <c r="M510" s="147"/>
      <c r="N510" s="16"/>
      <c r="O510" s="147"/>
      <c r="P510" s="16"/>
      <c r="Q510" s="147"/>
      <c r="R510" s="16"/>
      <c r="S510" s="147"/>
      <c r="T510" s="79"/>
      <c r="U510" s="36"/>
      <c r="V510" s="148"/>
      <c r="W510" s="84"/>
      <c r="X510" s="16"/>
    </row>
    <row r="511" spans="8:24" ht="20" customHeight="1" x14ac:dyDescent="0.25">
      <c r="H511" s="147"/>
      <c r="I511" s="16"/>
      <c r="J511" s="16"/>
      <c r="K511" s="16"/>
      <c r="L511" s="16"/>
      <c r="M511" s="147"/>
      <c r="N511" s="16"/>
      <c r="O511" s="147"/>
      <c r="P511" s="16"/>
      <c r="Q511" s="147"/>
      <c r="R511" s="16"/>
      <c r="S511" s="147"/>
      <c r="T511" s="79"/>
      <c r="U511" s="36"/>
      <c r="V511" s="148"/>
      <c r="W511" s="84"/>
      <c r="X511" s="16"/>
    </row>
    <row r="512" spans="8:24" ht="20" customHeight="1" x14ac:dyDescent="0.25">
      <c r="H512" s="147"/>
      <c r="I512" s="16"/>
      <c r="J512" s="16"/>
      <c r="K512" s="16"/>
      <c r="L512" s="16"/>
      <c r="M512" s="147"/>
      <c r="N512" s="16"/>
      <c r="O512" s="147"/>
      <c r="P512" s="16"/>
      <c r="Q512" s="147"/>
      <c r="R512" s="16"/>
      <c r="S512" s="147"/>
      <c r="T512" s="79"/>
      <c r="U512" s="36"/>
      <c r="V512" s="148"/>
      <c r="W512" s="84"/>
      <c r="X512" s="16"/>
    </row>
    <row r="513" spans="8:24" ht="20" customHeight="1" x14ac:dyDescent="0.25">
      <c r="H513" s="147"/>
      <c r="I513" s="16"/>
      <c r="J513" s="16"/>
      <c r="K513" s="16"/>
      <c r="L513" s="16"/>
      <c r="M513" s="147"/>
      <c r="N513" s="16"/>
      <c r="O513" s="147"/>
      <c r="P513" s="16"/>
      <c r="Q513" s="147"/>
      <c r="R513" s="16"/>
      <c r="S513" s="147"/>
      <c r="T513" s="79"/>
      <c r="U513" s="36"/>
      <c r="V513" s="148"/>
      <c r="W513" s="84"/>
      <c r="X513" s="16"/>
    </row>
    <row r="514" spans="8:24" ht="20" customHeight="1" x14ac:dyDescent="0.25">
      <c r="H514" s="147"/>
      <c r="I514" s="16"/>
      <c r="J514" s="16"/>
      <c r="K514" s="16"/>
      <c r="L514" s="16"/>
      <c r="M514" s="147"/>
      <c r="N514" s="16"/>
      <c r="O514" s="147"/>
      <c r="P514" s="16"/>
      <c r="Q514" s="147"/>
      <c r="R514" s="16"/>
      <c r="S514" s="147"/>
      <c r="T514" s="79"/>
      <c r="U514" s="36"/>
      <c r="V514" s="148"/>
      <c r="W514" s="84"/>
      <c r="X514" s="16"/>
    </row>
    <row r="515" spans="8:24" ht="20" customHeight="1" x14ac:dyDescent="0.25">
      <c r="H515" s="147"/>
      <c r="I515" s="16"/>
      <c r="J515" s="16"/>
      <c r="K515" s="16"/>
      <c r="L515" s="16"/>
      <c r="M515" s="147"/>
      <c r="N515" s="16"/>
      <c r="O515" s="147"/>
      <c r="P515" s="16"/>
      <c r="Q515" s="147"/>
      <c r="R515" s="16"/>
      <c r="S515" s="147"/>
      <c r="T515" s="79"/>
      <c r="U515" s="36"/>
      <c r="V515" s="148"/>
      <c r="W515" s="84"/>
      <c r="X515" s="16"/>
    </row>
    <row r="516" spans="8:24" ht="20" customHeight="1" x14ac:dyDescent="0.25">
      <c r="H516" s="147"/>
      <c r="I516" s="16"/>
      <c r="J516" s="16"/>
      <c r="K516" s="16"/>
      <c r="L516" s="16"/>
      <c r="M516" s="147"/>
      <c r="N516" s="16"/>
      <c r="O516" s="147"/>
      <c r="P516" s="16"/>
      <c r="Q516" s="147"/>
      <c r="R516" s="16"/>
      <c r="S516" s="147"/>
      <c r="T516" s="79"/>
      <c r="U516" s="36"/>
      <c r="V516" s="148"/>
      <c r="W516" s="84"/>
      <c r="X516" s="16"/>
    </row>
    <row r="517" spans="8:24" ht="20" customHeight="1" x14ac:dyDescent="0.25">
      <c r="H517" s="147"/>
      <c r="I517" s="16"/>
      <c r="J517" s="16"/>
      <c r="K517" s="16"/>
      <c r="L517" s="16"/>
      <c r="M517" s="147"/>
      <c r="N517" s="16"/>
      <c r="O517" s="147"/>
      <c r="P517" s="16"/>
      <c r="Q517" s="147"/>
      <c r="R517" s="16"/>
      <c r="S517" s="147"/>
      <c r="T517" s="79"/>
      <c r="U517" s="36"/>
      <c r="V517" s="148"/>
      <c r="W517" s="84"/>
      <c r="X517" s="16"/>
    </row>
    <row r="518" spans="8:24" ht="20" customHeight="1" x14ac:dyDescent="0.25">
      <c r="H518" s="147"/>
      <c r="I518" s="16"/>
      <c r="J518" s="16"/>
      <c r="K518" s="16"/>
      <c r="L518" s="16"/>
      <c r="M518" s="147"/>
      <c r="N518" s="16"/>
      <c r="O518" s="147"/>
      <c r="P518" s="16"/>
      <c r="Q518" s="147"/>
      <c r="R518" s="16"/>
      <c r="S518" s="147"/>
      <c r="T518" s="79"/>
      <c r="U518" s="36"/>
      <c r="V518" s="148"/>
      <c r="W518" s="84"/>
      <c r="X518" s="16"/>
    </row>
    <row r="519" spans="8:24" ht="20" customHeight="1" x14ac:dyDescent="0.25">
      <c r="H519" s="147"/>
      <c r="I519" s="16"/>
      <c r="J519" s="16"/>
      <c r="K519" s="16"/>
      <c r="L519" s="16"/>
      <c r="M519" s="147"/>
      <c r="N519" s="16"/>
      <c r="O519" s="147"/>
      <c r="P519" s="16"/>
      <c r="Q519" s="147"/>
      <c r="R519" s="16"/>
      <c r="S519" s="147"/>
      <c r="T519" s="79"/>
      <c r="U519" s="36"/>
      <c r="V519" s="148"/>
      <c r="W519" s="84"/>
      <c r="X519" s="16"/>
    </row>
    <row r="520" spans="8:24" ht="20" customHeight="1" x14ac:dyDescent="0.25">
      <c r="H520" s="147"/>
      <c r="I520" s="16"/>
      <c r="J520" s="16"/>
      <c r="K520" s="16"/>
      <c r="L520" s="16"/>
      <c r="M520" s="147"/>
      <c r="N520" s="16"/>
      <c r="O520" s="147"/>
      <c r="P520" s="16"/>
      <c r="Q520" s="147"/>
      <c r="R520" s="16"/>
      <c r="S520" s="147"/>
      <c r="T520" s="79"/>
      <c r="U520" s="36"/>
      <c r="V520" s="148"/>
      <c r="W520" s="84"/>
      <c r="X520" s="16"/>
    </row>
    <row r="521" spans="8:24" ht="20" customHeight="1" x14ac:dyDescent="0.25">
      <c r="H521" s="147"/>
      <c r="I521" s="16"/>
      <c r="J521" s="16"/>
      <c r="K521" s="16"/>
      <c r="L521" s="16"/>
      <c r="M521" s="147"/>
      <c r="N521" s="16"/>
      <c r="O521" s="147"/>
      <c r="P521" s="16"/>
      <c r="Q521" s="147"/>
      <c r="R521" s="16"/>
      <c r="S521" s="147"/>
      <c r="T521" s="79"/>
      <c r="U521" s="36"/>
      <c r="V521" s="148"/>
      <c r="W521" s="84"/>
      <c r="X521" s="16"/>
    </row>
    <row r="522" spans="8:24" ht="20" customHeight="1" x14ac:dyDescent="0.25">
      <c r="H522" s="147"/>
      <c r="I522" s="16"/>
      <c r="J522" s="16"/>
      <c r="K522" s="16"/>
      <c r="L522" s="16"/>
      <c r="M522" s="147"/>
      <c r="N522" s="16"/>
      <c r="O522" s="147"/>
      <c r="P522" s="16"/>
      <c r="Q522" s="147"/>
      <c r="R522" s="16"/>
      <c r="S522" s="147"/>
      <c r="T522" s="79"/>
      <c r="U522" s="36"/>
      <c r="V522" s="148"/>
      <c r="W522" s="84"/>
      <c r="X522" s="16"/>
    </row>
    <row r="523" spans="8:24" ht="20" customHeight="1" x14ac:dyDescent="0.25">
      <c r="H523" s="147"/>
      <c r="I523" s="16"/>
      <c r="J523" s="16"/>
      <c r="K523" s="16"/>
      <c r="L523" s="16"/>
      <c r="M523" s="147"/>
      <c r="N523" s="16"/>
      <c r="O523" s="147"/>
      <c r="P523" s="16"/>
      <c r="Q523" s="147"/>
      <c r="R523" s="16"/>
      <c r="S523" s="147"/>
      <c r="T523" s="79"/>
      <c r="U523" s="36"/>
      <c r="V523" s="148"/>
      <c r="W523" s="84"/>
      <c r="X523" s="16"/>
    </row>
    <row r="524" spans="8:24" ht="20" customHeight="1" x14ac:dyDescent="0.25">
      <c r="H524" s="147"/>
      <c r="I524" s="16"/>
      <c r="J524" s="16"/>
      <c r="K524" s="16"/>
      <c r="L524" s="16"/>
      <c r="M524" s="147"/>
      <c r="N524" s="16"/>
      <c r="O524" s="147"/>
      <c r="P524" s="16"/>
      <c r="Q524" s="147"/>
      <c r="R524" s="16"/>
      <c r="S524" s="147"/>
      <c r="T524" s="79"/>
      <c r="U524" s="36"/>
      <c r="V524" s="148"/>
      <c r="W524" s="84"/>
      <c r="X524" s="16"/>
    </row>
    <row r="525" spans="8:24" ht="20" customHeight="1" x14ac:dyDescent="0.25">
      <c r="H525" s="147"/>
      <c r="I525" s="16"/>
      <c r="J525" s="16"/>
      <c r="K525" s="16"/>
      <c r="L525" s="16"/>
      <c r="M525" s="147"/>
      <c r="N525" s="16"/>
      <c r="O525" s="147"/>
      <c r="P525" s="16"/>
      <c r="Q525" s="147"/>
      <c r="R525" s="16"/>
      <c r="S525" s="147"/>
      <c r="T525" s="79"/>
      <c r="U525" s="36"/>
      <c r="V525" s="148"/>
      <c r="W525" s="84"/>
      <c r="X525" s="16"/>
    </row>
    <row r="526" spans="8:24" ht="20" customHeight="1" x14ac:dyDescent="0.25">
      <c r="H526" s="147"/>
      <c r="I526" s="16"/>
      <c r="J526" s="16"/>
      <c r="K526" s="16"/>
      <c r="L526" s="16"/>
      <c r="M526" s="147"/>
      <c r="N526" s="16"/>
      <c r="O526" s="147"/>
      <c r="P526" s="16"/>
      <c r="Q526" s="147"/>
      <c r="R526" s="16"/>
      <c r="S526" s="147"/>
      <c r="T526" s="79"/>
      <c r="U526" s="36"/>
      <c r="V526" s="148"/>
      <c r="W526" s="84"/>
      <c r="X526" s="16"/>
    </row>
    <row r="527" spans="8:24" ht="20" customHeight="1" x14ac:dyDescent="0.25">
      <c r="H527" s="147"/>
      <c r="I527" s="16"/>
      <c r="J527" s="16"/>
      <c r="K527" s="16"/>
      <c r="L527" s="16"/>
      <c r="M527" s="147"/>
      <c r="N527" s="16"/>
      <c r="O527" s="147"/>
      <c r="P527" s="16"/>
      <c r="Q527" s="147"/>
      <c r="R527" s="16"/>
      <c r="S527" s="147"/>
      <c r="T527" s="79"/>
      <c r="U527" s="36"/>
      <c r="V527" s="148"/>
      <c r="W527" s="84"/>
      <c r="X527" s="16"/>
    </row>
    <row r="528" spans="8:24" ht="20" customHeight="1" x14ac:dyDescent="0.25">
      <c r="H528" s="147"/>
      <c r="I528" s="16"/>
      <c r="J528" s="16"/>
      <c r="K528" s="16"/>
      <c r="L528" s="16"/>
      <c r="M528" s="147"/>
      <c r="N528" s="16"/>
      <c r="O528" s="147"/>
      <c r="P528" s="16"/>
      <c r="Q528" s="147"/>
      <c r="R528" s="16"/>
      <c r="S528" s="147"/>
      <c r="T528" s="79"/>
      <c r="U528" s="36"/>
      <c r="V528" s="148"/>
      <c r="W528" s="84"/>
      <c r="X528" s="16"/>
    </row>
    <row r="529" spans="8:24" ht="20" customHeight="1" x14ac:dyDescent="0.25">
      <c r="H529" s="147"/>
      <c r="I529" s="16"/>
      <c r="J529" s="16"/>
      <c r="K529" s="16"/>
      <c r="L529" s="16"/>
      <c r="M529" s="147"/>
      <c r="N529" s="16"/>
      <c r="O529" s="147"/>
      <c r="P529" s="16"/>
      <c r="Q529" s="147"/>
      <c r="R529" s="16"/>
      <c r="S529" s="147"/>
      <c r="T529" s="79"/>
      <c r="U529" s="36"/>
      <c r="V529" s="148"/>
      <c r="W529" s="84"/>
      <c r="X529" s="16"/>
    </row>
    <row r="530" spans="8:24" ht="20" customHeight="1" x14ac:dyDescent="0.25">
      <c r="H530" s="147"/>
      <c r="I530" s="16"/>
      <c r="J530" s="16"/>
      <c r="K530" s="16"/>
      <c r="L530" s="16"/>
      <c r="M530" s="147"/>
      <c r="N530" s="16"/>
      <c r="O530" s="147"/>
      <c r="P530" s="16"/>
      <c r="Q530" s="147"/>
      <c r="R530" s="16"/>
      <c r="S530" s="147"/>
      <c r="T530" s="79"/>
      <c r="U530" s="36"/>
      <c r="V530" s="148"/>
      <c r="W530" s="84"/>
      <c r="X530" s="16"/>
    </row>
    <row r="531" spans="8:24" ht="20" customHeight="1" x14ac:dyDescent="0.25">
      <c r="H531" s="147"/>
      <c r="I531" s="16"/>
      <c r="J531" s="16"/>
      <c r="K531" s="16"/>
      <c r="L531" s="16"/>
      <c r="M531" s="147"/>
      <c r="N531" s="16"/>
      <c r="O531" s="147"/>
      <c r="P531" s="16"/>
      <c r="Q531" s="147"/>
      <c r="R531" s="16"/>
      <c r="S531" s="147"/>
      <c r="T531" s="79"/>
      <c r="U531" s="36"/>
      <c r="V531" s="148"/>
      <c r="W531" s="84"/>
      <c r="X531" s="16"/>
    </row>
    <row r="532" spans="8:24" ht="20" customHeight="1" x14ac:dyDescent="0.25">
      <c r="H532" s="147"/>
      <c r="I532" s="16"/>
      <c r="J532" s="16"/>
      <c r="K532" s="16"/>
      <c r="L532" s="16"/>
      <c r="M532" s="147"/>
      <c r="N532" s="16"/>
      <c r="O532" s="147"/>
      <c r="P532" s="16"/>
      <c r="Q532" s="147"/>
      <c r="R532" s="16"/>
      <c r="S532" s="147"/>
      <c r="T532" s="79"/>
      <c r="U532" s="36"/>
      <c r="V532" s="148"/>
      <c r="W532" s="84"/>
      <c r="X532" s="16"/>
    </row>
    <row r="533" spans="8:24" ht="20" customHeight="1" x14ac:dyDescent="0.25">
      <c r="H533" s="147"/>
      <c r="I533" s="16"/>
      <c r="J533" s="16"/>
      <c r="K533" s="16"/>
      <c r="L533" s="16"/>
      <c r="M533" s="147"/>
      <c r="N533" s="16"/>
      <c r="O533" s="147"/>
      <c r="P533" s="16"/>
      <c r="Q533" s="147"/>
      <c r="R533" s="16"/>
      <c r="S533" s="147"/>
      <c r="T533" s="79"/>
      <c r="U533" s="36"/>
      <c r="V533" s="148"/>
      <c r="W533" s="84"/>
      <c r="X533" s="16"/>
    </row>
    <row r="534" spans="8:24" ht="20" customHeight="1" x14ac:dyDescent="0.25">
      <c r="H534" s="147"/>
      <c r="I534" s="16"/>
      <c r="J534" s="16"/>
      <c r="K534" s="16"/>
      <c r="L534" s="16"/>
      <c r="M534" s="147"/>
      <c r="N534" s="16"/>
      <c r="O534" s="147"/>
      <c r="P534" s="16"/>
      <c r="Q534" s="147"/>
      <c r="R534" s="16"/>
      <c r="S534" s="147"/>
      <c r="T534" s="79"/>
      <c r="U534" s="36"/>
      <c r="V534" s="148"/>
      <c r="W534" s="84"/>
      <c r="X534" s="16"/>
    </row>
    <row r="535" spans="8:24" ht="20" customHeight="1" x14ac:dyDescent="0.25">
      <c r="H535" s="147"/>
      <c r="I535" s="16"/>
      <c r="J535" s="16"/>
      <c r="K535" s="16"/>
      <c r="L535" s="16"/>
      <c r="M535" s="147"/>
      <c r="N535" s="16"/>
      <c r="O535" s="147"/>
      <c r="P535" s="16"/>
      <c r="Q535" s="147"/>
      <c r="R535" s="16"/>
      <c r="S535" s="147"/>
      <c r="T535" s="79"/>
      <c r="U535" s="36"/>
      <c r="V535" s="148"/>
      <c r="W535" s="84"/>
      <c r="X535" s="16"/>
    </row>
    <row r="536" spans="8:24" ht="20" customHeight="1" x14ac:dyDescent="0.25">
      <c r="H536" s="147"/>
      <c r="I536" s="16"/>
      <c r="J536" s="16"/>
      <c r="K536" s="16"/>
      <c r="L536" s="16"/>
      <c r="M536" s="147"/>
      <c r="N536" s="16"/>
      <c r="O536" s="147"/>
      <c r="P536" s="16"/>
      <c r="Q536" s="147"/>
      <c r="R536" s="16"/>
      <c r="S536" s="147"/>
      <c r="T536" s="79"/>
      <c r="U536" s="36"/>
      <c r="V536" s="148"/>
      <c r="W536" s="84"/>
      <c r="X536" s="16"/>
    </row>
    <row r="537" spans="8:24" ht="20" customHeight="1" x14ac:dyDescent="0.25">
      <c r="H537" s="147"/>
      <c r="I537" s="16"/>
      <c r="J537" s="16"/>
      <c r="K537" s="16"/>
      <c r="L537" s="16"/>
      <c r="M537" s="147"/>
      <c r="N537" s="16"/>
      <c r="O537" s="147"/>
      <c r="P537" s="16"/>
      <c r="Q537" s="147"/>
      <c r="R537" s="16"/>
      <c r="S537" s="147"/>
      <c r="T537" s="79"/>
      <c r="U537" s="36"/>
      <c r="V537" s="148"/>
      <c r="W537" s="84"/>
      <c r="X537" s="16"/>
    </row>
    <row r="538" spans="8:24" ht="20" customHeight="1" x14ac:dyDescent="0.25">
      <c r="H538" s="147"/>
      <c r="I538" s="16"/>
      <c r="J538" s="16"/>
      <c r="K538" s="16"/>
      <c r="L538" s="16"/>
      <c r="M538" s="147"/>
      <c r="N538" s="16"/>
      <c r="O538" s="147"/>
      <c r="P538" s="16"/>
      <c r="Q538" s="147"/>
      <c r="R538" s="16"/>
      <c r="S538" s="147"/>
      <c r="T538" s="79"/>
      <c r="U538" s="36"/>
      <c r="V538" s="148"/>
      <c r="W538" s="84"/>
      <c r="X538" s="16"/>
    </row>
    <row r="539" spans="8:24" ht="20" customHeight="1" x14ac:dyDescent="0.25">
      <c r="H539" s="147"/>
      <c r="I539" s="16"/>
      <c r="J539" s="16"/>
      <c r="K539" s="16"/>
      <c r="L539" s="16"/>
      <c r="M539" s="147"/>
      <c r="N539" s="16"/>
      <c r="O539" s="147"/>
      <c r="P539" s="16"/>
      <c r="Q539" s="147"/>
      <c r="R539" s="16"/>
      <c r="S539" s="147"/>
      <c r="T539" s="79"/>
      <c r="U539" s="36"/>
      <c r="V539" s="148"/>
      <c r="W539" s="84"/>
      <c r="X539" s="16"/>
    </row>
    <row r="540" spans="8:24" ht="20" customHeight="1" x14ac:dyDescent="0.25">
      <c r="H540" s="147"/>
      <c r="I540" s="16"/>
      <c r="J540" s="16"/>
      <c r="K540" s="16"/>
      <c r="L540" s="16"/>
      <c r="M540" s="147"/>
      <c r="N540" s="16"/>
      <c r="O540" s="147"/>
      <c r="P540" s="16"/>
      <c r="Q540" s="147"/>
      <c r="R540" s="16"/>
      <c r="S540" s="147"/>
      <c r="T540" s="79"/>
      <c r="U540" s="36"/>
      <c r="V540" s="148"/>
      <c r="W540" s="84"/>
      <c r="X540" s="16"/>
    </row>
    <row r="541" spans="8:24" ht="20" customHeight="1" x14ac:dyDescent="0.25">
      <c r="H541" s="147"/>
      <c r="I541" s="16"/>
      <c r="J541" s="16"/>
      <c r="K541" s="16"/>
      <c r="L541" s="16"/>
      <c r="M541" s="147"/>
      <c r="N541" s="16"/>
      <c r="O541" s="147"/>
      <c r="P541" s="16"/>
      <c r="Q541" s="147"/>
      <c r="R541" s="16"/>
      <c r="S541" s="147"/>
      <c r="T541" s="79"/>
      <c r="U541" s="36"/>
      <c r="V541" s="148"/>
      <c r="W541" s="84"/>
      <c r="X541" s="16"/>
    </row>
    <row r="542" spans="8:24" ht="20" customHeight="1" x14ac:dyDescent="0.25">
      <c r="H542" s="147"/>
      <c r="I542" s="16"/>
      <c r="J542" s="16"/>
      <c r="K542" s="16"/>
      <c r="L542" s="16"/>
      <c r="M542" s="147"/>
      <c r="N542" s="16"/>
      <c r="O542" s="147"/>
      <c r="P542" s="16"/>
      <c r="Q542" s="147"/>
      <c r="R542" s="16"/>
      <c r="S542" s="147"/>
      <c r="T542" s="79"/>
      <c r="U542" s="36"/>
      <c r="V542" s="148"/>
      <c r="W542" s="84"/>
      <c r="X542" s="16"/>
    </row>
    <row r="543" spans="8:24" ht="20" customHeight="1" x14ac:dyDescent="0.25">
      <c r="H543" s="147"/>
      <c r="I543" s="16"/>
      <c r="J543" s="16"/>
      <c r="K543" s="16"/>
      <c r="L543" s="16"/>
      <c r="M543" s="147"/>
      <c r="N543" s="16"/>
      <c r="O543" s="147"/>
      <c r="P543" s="16"/>
      <c r="Q543" s="147"/>
      <c r="R543" s="16"/>
      <c r="S543" s="147"/>
      <c r="T543" s="79"/>
      <c r="U543" s="36"/>
      <c r="V543" s="148"/>
      <c r="W543" s="84"/>
      <c r="X543" s="16"/>
    </row>
    <row r="544" spans="8:24" ht="20" customHeight="1" x14ac:dyDescent="0.25">
      <c r="H544" s="147"/>
      <c r="I544" s="16"/>
      <c r="J544" s="16"/>
      <c r="K544" s="16"/>
      <c r="L544" s="16"/>
      <c r="M544" s="147"/>
      <c r="N544" s="16"/>
      <c r="O544" s="147"/>
      <c r="P544" s="16"/>
      <c r="Q544" s="147"/>
      <c r="R544" s="16"/>
      <c r="S544" s="147"/>
      <c r="T544" s="79"/>
      <c r="U544" s="36"/>
      <c r="V544" s="148"/>
      <c r="W544" s="84"/>
      <c r="X544" s="16"/>
    </row>
    <row r="545" spans="8:24" ht="20" customHeight="1" x14ac:dyDescent="0.25">
      <c r="H545" s="147"/>
      <c r="I545" s="16"/>
      <c r="J545" s="16"/>
      <c r="K545" s="16"/>
      <c r="L545" s="16"/>
      <c r="M545" s="147"/>
      <c r="N545" s="16"/>
      <c r="O545" s="147"/>
      <c r="P545" s="16"/>
      <c r="Q545" s="147"/>
      <c r="R545" s="16"/>
      <c r="S545" s="147"/>
      <c r="T545" s="79"/>
      <c r="U545" s="36"/>
      <c r="V545" s="148"/>
      <c r="W545" s="84"/>
      <c r="X545" s="16"/>
    </row>
    <row r="546" spans="8:24" ht="20" customHeight="1" x14ac:dyDescent="0.25">
      <c r="H546" s="147"/>
      <c r="I546" s="16"/>
      <c r="J546" s="16"/>
      <c r="K546" s="16"/>
      <c r="L546" s="16"/>
      <c r="M546" s="147"/>
      <c r="N546" s="16"/>
      <c r="O546" s="147"/>
      <c r="P546" s="16"/>
      <c r="Q546" s="147"/>
      <c r="R546" s="16"/>
      <c r="S546" s="147"/>
      <c r="T546" s="79"/>
      <c r="U546" s="36"/>
      <c r="V546" s="148"/>
      <c r="W546" s="84"/>
      <c r="X546" s="16"/>
    </row>
    <row r="547" spans="8:24" ht="20" customHeight="1" x14ac:dyDescent="0.25">
      <c r="H547" s="147"/>
      <c r="I547" s="16"/>
      <c r="J547" s="16"/>
      <c r="K547" s="16"/>
      <c r="L547" s="16"/>
      <c r="M547" s="147"/>
      <c r="N547" s="16"/>
      <c r="O547" s="147"/>
      <c r="P547" s="16"/>
      <c r="Q547" s="147"/>
      <c r="R547" s="16"/>
      <c r="S547" s="147"/>
      <c r="T547" s="79"/>
      <c r="U547" s="36"/>
      <c r="V547" s="148"/>
      <c r="W547" s="84"/>
      <c r="X547" s="16"/>
    </row>
    <row r="548" spans="8:24" ht="20" customHeight="1" x14ac:dyDescent="0.25">
      <c r="H548" s="147"/>
      <c r="I548" s="16"/>
      <c r="J548" s="16"/>
      <c r="K548" s="16"/>
      <c r="L548" s="16"/>
      <c r="M548" s="147"/>
      <c r="N548" s="16"/>
      <c r="O548" s="147"/>
      <c r="P548" s="16"/>
      <c r="Q548" s="147"/>
      <c r="R548" s="16"/>
      <c r="S548" s="147"/>
      <c r="T548" s="79"/>
      <c r="U548" s="36"/>
      <c r="V548" s="148"/>
      <c r="W548" s="84"/>
      <c r="X548" s="16"/>
    </row>
    <row r="549" spans="8:24" ht="20" customHeight="1" x14ac:dyDescent="0.25">
      <c r="H549" s="147"/>
      <c r="I549" s="16"/>
      <c r="J549" s="16"/>
      <c r="K549" s="16"/>
      <c r="L549" s="16"/>
      <c r="M549" s="147"/>
      <c r="N549" s="16"/>
      <c r="O549" s="147"/>
      <c r="P549" s="16"/>
      <c r="Q549" s="147"/>
      <c r="R549" s="16"/>
      <c r="S549" s="147"/>
      <c r="T549" s="79"/>
      <c r="U549" s="36"/>
      <c r="V549" s="148"/>
      <c r="W549" s="84"/>
      <c r="X549" s="16"/>
    </row>
    <row r="550" spans="8:24" ht="20" customHeight="1" x14ac:dyDescent="0.25">
      <c r="H550" s="147"/>
      <c r="I550" s="16"/>
      <c r="J550" s="16"/>
      <c r="K550" s="16"/>
      <c r="L550" s="16"/>
      <c r="M550" s="147"/>
      <c r="N550" s="16"/>
      <c r="O550" s="147"/>
      <c r="P550" s="16"/>
      <c r="Q550" s="147"/>
      <c r="R550" s="16"/>
      <c r="S550" s="147"/>
      <c r="T550" s="79"/>
      <c r="U550" s="36"/>
      <c r="V550" s="148"/>
      <c r="W550" s="84"/>
      <c r="X550" s="16"/>
    </row>
    <row r="551" spans="8:24" ht="20" customHeight="1" x14ac:dyDescent="0.25">
      <c r="H551" s="147"/>
      <c r="I551" s="16"/>
      <c r="J551" s="16"/>
      <c r="K551" s="16"/>
      <c r="L551" s="16"/>
      <c r="M551" s="147"/>
      <c r="N551" s="16"/>
      <c r="O551" s="147"/>
      <c r="P551" s="16"/>
      <c r="Q551" s="147"/>
      <c r="R551" s="16"/>
      <c r="S551" s="147"/>
      <c r="T551" s="79"/>
      <c r="U551" s="36"/>
      <c r="V551" s="148"/>
      <c r="W551" s="84"/>
      <c r="X551" s="16"/>
    </row>
    <row r="552" spans="8:24" ht="20" customHeight="1" x14ac:dyDescent="0.25">
      <c r="H552" s="147"/>
      <c r="I552" s="16"/>
      <c r="J552" s="16"/>
      <c r="K552" s="16"/>
      <c r="L552" s="16"/>
      <c r="M552" s="147"/>
      <c r="N552" s="16"/>
      <c r="O552" s="147"/>
      <c r="P552" s="16"/>
      <c r="Q552" s="147"/>
      <c r="R552" s="16"/>
      <c r="S552" s="147"/>
      <c r="T552" s="79"/>
      <c r="U552" s="36"/>
      <c r="V552" s="148"/>
      <c r="W552" s="84"/>
      <c r="X552" s="16"/>
    </row>
    <row r="553" spans="8:24" ht="20" customHeight="1" x14ac:dyDescent="0.25">
      <c r="H553" s="147"/>
      <c r="I553" s="16"/>
      <c r="J553" s="16"/>
      <c r="K553" s="16"/>
      <c r="L553" s="16"/>
      <c r="M553" s="147"/>
      <c r="N553" s="16"/>
      <c r="O553" s="147"/>
      <c r="P553" s="16"/>
      <c r="Q553" s="147"/>
      <c r="R553" s="16"/>
      <c r="S553" s="147"/>
      <c r="T553" s="79"/>
      <c r="U553" s="36"/>
      <c r="V553" s="148"/>
      <c r="W553" s="84"/>
      <c r="X553" s="16"/>
    </row>
    <row r="554" spans="8:24" ht="20" customHeight="1" x14ac:dyDescent="0.25">
      <c r="H554" s="147"/>
      <c r="I554" s="16"/>
      <c r="J554" s="16"/>
      <c r="K554" s="16"/>
      <c r="L554" s="16"/>
      <c r="M554" s="147"/>
      <c r="N554" s="16"/>
      <c r="O554" s="147"/>
      <c r="P554" s="16"/>
      <c r="Q554" s="147"/>
      <c r="R554" s="16"/>
      <c r="S554" s="147"/>
      <c r="T554" s="79"/>
      <c r="U554" s="36"/>
      <c r="V554" s="148"/>
      <c r="W554" s="84"/>
      <c r="X554" s="16"/>
    </row>
    <row r="555" spans="8:24" ht="20" customHeight="1" x14ac:dyDescent="0.25">
      <c r="H555" s="147"/>
      <c r="I555" s="16"/>
      <c r="J555" s="16"/>
      <c r="K555" s="16"/>
      <c r="L555" s="16"/>
      <c r="M555" s="147"/>
      <c r="N555" s="16"/>
      <c r="O555" s="147"/>
      <c r="P555" s="16"/>
      <c r="Q555" s="147"/>
      <c r="R555" s="16"/>
      <c r="S555" s="147"/>
      <c r="T555" s="79"/>
      <c r="U555" s="36"/>
      <c r="V555" s="148"/>
      <c r="W555" s="84"/>
      <c r="X555" s="16"/>
    </row>
    <row r="556" spans="8:24" ht="20" customHeight="1" x14ac:dyDescent="0.25">
      <c r="H556" s="147"/>
      <c r="I556" s="16"/>
      <c r="J556" s="16"/>
      <c r="K556" s="16"/>
      <c r="L556" s="16"/>
      <c r="M556" s="147"/>
      <c r="N556" s="16"/>
      <c r="O556" s="147"/>
      <c r="P556" s="16"/>
      <c r="Q556" s="147"/>
      <c r="R556" s="16"/>
      <c r="S556" s="147"/>
      <c r="T556" s="79"/>
      <c r="U556" s="36"/>
      <c r="V556" s="148"/>
      <c r="W556" s="84"/>
      <c r="X556" s="16"/>
    </row>
    <row r="557" spans="8:24" ht="20" customHeight="1" x14ac:dyDescent="0.25">
      <c r="H557" s="147"/>
      <c r="I557" s="16"/>
      <c r="J557" s="16"/>
      <c r="K557" s="16"/>
      <c r="L557" s="16"/>
      <c r="M557" s="147"/>
      <c r="N557" s="16"/>
      <c r="O557" s="147"/>
      <c r="P557" s="16"/>
      <c r="Q557" s="147"/>
      <c r="R557" s="16"/>
      <c r="S557" s="147"/>
      <c r="T557" s="79"/>
      <c r="U557" s="36"/>
      <c r="V557" s="148"/>
      <c r="W557" s="84"/>
      <c r="X557" s="16"/>
    </row>
    <row r="558" spans="8:24" ht="20" customHeight="1" x14ac:dyDescent="0.25">
      <c r="H558" s="147"/>
      <c r="I558" s="16"/>
      <c r="J558" s="16"/>
      <c r="K558" s="16"/>
      <c r="L558" s="16"/>
      <c r="M558" s="147"/>
      <c r="N558" s="16"/>
      <c r="O558" s="147"/>
      <c r="P558" s="16"/>
      <c r="Q558" s="147"/>
      <c r="R558" s="16"/>
      <c r="S558" s="147"/>
      <c r="T558" s="79"/>
      <c r="U558" s="36"/>
      <c r="V558" s="148"/>
      <c r="W558" s="84"/>
      <c r="X558" s="16"/>
    </row>
    <row r="559" spans="8:24" ht="20" customHeight="1" x14ac:dyDescent="0.25">
      <c r="H559" s="147"/>
      <c r="I559" s="16"/>
      <c r="J559" s="16"/>
      <c r="K559" s="16"/>
      <c r="L559" s="16"/>
      <c r="M559" s="147"/>
      <c r="N559" s="16"/>
      <c r="O559" s="147"/>
      <c r="P559" s="16"/>
      <c r="Q559" s="147"/>
      <c r="R559" s="16"/>
      <c r="S559" s="147"/>
      <c r="T559" s="79"/>
      <c r="U559" s="36"/>
      <c r="V559" s="148"/>
      <c r="W559" s="84"/>
      <c r="X559" s="16"/>
    </row>
    <row r="560" spans="8:24" ht="20" customHeight="1" x14ac:dyDescent="0.25">
      <c r="H560" s="147"/>
      <c r="I560" s="16"/>
      <c r="J560" s="16"/>
      <c r="K560" s="16"/>
      <c r="L560" s="16"/>
      <c r="M560" s="147"/>
      <c r="N560" s="16"/>
      <c r="O560" s="147"/>
      <c r="P560" s="16"/>
      <c r="Q560" s="147"/>
      <c r="R560" s="16"/>
      <c r="S560" s="147"/>
      <c r="T560" s="79"/>
      <c r="U560" s="36"/>
      <c r="V560" s="148"/>
      <c r="W560" s="84"/>
      <c r="X560" s="16"/>
    </row>
    <row r="561" spans="8:24" ht="20" customHeight="1" x14ac:dyDescent="0.25">
      <c r="H561" s="147"/>
      <c r="I561" s="16"/>
      <c r="J561" s="16"/>
      <c r="K561" s="16"/>
      <c r="L561" s="16"/>
      <c r="M561" s="147"/>
      <c r="N561" s="16"/>
      <c r="O561" s="147"/>
      <c r="P561" s="16"/>
      <c r="Q561" s="147"/>
      <c r="R561" s="16"/>
      <c r="S561" s="147"/>
      <c r="T561" s="79"/>
      <c r="U561" s="36"/>
      <c r="V561" s="148"/>
      <c r="W561" s="84"/>
      <c r="X561" s="16"/>
    </row>
    <row r="562" spans="8:24" ht="20" customHeight="1" x14ac:dyDescent="0.25">
      <c r="H562" s="147"/>
      <c r="I562" s="16"/>
      <c r="J562" s="16"/>
      <c r="K562" s="16"/>
      <c r="L562" s="16"/>
      <c r="M562" s="147"/>
      <c r="N562" s="16"/>
      <c r="O562" s="147"/>
      <c r="P562" s="16"/>
      <c r="Q562" s="147"/>
      <c r="R562" s="16"/>
      <c r="S562" s="147"/>
      <c r="T562" s="79"/>
      <c r="U562" s="36"/>
      <c r="V562" s="148"/>
      <c r="W562" s="84"/>
      <c r="X562" s="16"/>
    </row>
    <row r="563" spans="8:24" ht="20" customHeight="1" x14ac:dyDescent="0.25">
      <c r="H563" s="147"/>
      <c r="I563" s="16"/>
      <c r="J563" s="16"/>
      <c r="K563" s="16"/>
      <c r="L563" s="16"/>
      <c r="M563" s="147"/>
      <c r="N563" s="16"/>
      <c r="O563" s="147"/>
      <c r="P563" s="16"/>
      <c r="Q563" s="147"/>
      <c r="R563" s="16"/>
      <c r="S563" s="147"/>
      <c r="T563" s="79"/>
      <c r="U563" s="36"/>
      <c r="V563" s="148"/>
      <c r="W563" s="84"/>
      <c r="X563" s="16"/>
    </row>
    <row r="564" spans="8:24" ht="20" customHeight="1" x14ac:dyDescent="0.25">
      <c r="H564" s="147"/>
      <c r="I564" s="16"/>
      <c r="J564" s="16"/>
      <c r="K564" s="16"/>
      <c r="L564" s="16"/>
      <c r="M564" s="147"/>
      <c r="N564" s="16"/>
      <c r="O564" s="147"/>
      <c r="P564" s="16"/>
      <c r="Q564" s="147"/>
      <c r="R564" s="16"/>
      <c r="S564" s="147"/>
      <c r="T564" s="79"/>
      <c r="U564" s="36"/>
      <c r="V564" s="148"/>
      <c r="W564" s="84"/>
      <c r="X564" s="16"/>
    </row>
    <row r="565" spans="8:24" ht="20" customHeight="1" x14ac:dyDescent="0.25">
      <c r="H565" s="147"/>
      <c r="I565" s="16"/>
      <c r="J565" s="16"/>
      <c r="K565" s="16"/>
      <c r="L565" s="16"/>
      <c r="M565" s="147"/>
      <c r="N565" s="16"/>
      <c r="O565" s="147"/>
      <c r="P565" s="16"/>
      <c r="Q565" s="147"/>
      <c r="R565" s="16"/>
      <c r="S565" s="147"/>
      <c r="T565" s="79"/>
      <c r="U565" s="36"/>
      <c r="V565" s="148"/>
      <c r="W565" s="84"/>
      <c r="X565" s="16"/>
    </row>
    <row r="566" spans="8:24" ht="20" customHeight="1" x14ac:dyDescent="0.25">
      <c r="H566" s="147"/>
      <c r="I566" s="16"/>
      <c r="J566" s="16"/>
      <c r="K566" s="16"/>
      <c r="L566" s="16"/>
      <c r="M566" s="147"/>
      <c r="N566" s="16"/>
      <c r="O566" s="147"/>
      <c r="P566" s="16"/>
      <c r="Q566" s="147"/>
      <c r="R566" s="16"/>
      <c r="S566" s="147"/>
      <c r="T566" s="79"/>
      <c r="U566" s="36"/>
      <c r="V566" s="148"/>
      <c r="W566" s="84"/>
      <c r="X566" s="16"/>
    </row>
    <row r="567" spans="8:24" ht="20" customHeight="1" x14ac:dyDescent="0.25">
      <c r="H567" s="147"/>
      <c r="I567" s="16"/>
      <c r="J567" s="16"/>
      <c r="K567" s="16"/>
      <c r="L567" s="16"/>
      <c r="M567" s="147"/>
      <c r="N567" s="16"/>
      <c r="O567" s="147"/>
      <c r="P567" s="16"/>
      <c r="Q567" s="147"/>
      <c r="R567" s="16"/>
      <c r="S567" s="147"/>
      <c r="T567" s="79"/>
      <c r="U567" s="36"/>
      <c r="V567" s="148"/>
      <c r="W567" s="84"/>
      <c r="X567" s="16"/>
    </row>
    <row r="568" spans="8:24" ht="20" customHeight="1" x14ac:dyDescent="0.25">
      <c r="H568" s="147"/>
      <c r="I568" s="16"/>
      <c r="J568" s="16"/>
      <c r="K568" s="16"/>
      <c r="L568" s="16"/>
      <c r="M568" s="147"/>
      <c r="N568" s="16"/>
      <c r="O568" s="147"/>
      <c r="P568" s="16"/>
      <c r="Q568" s="147"/>
      <c r="R568" s="16"/>
      <c r="S568" s="147"/>
      <c r="T568" s="79"/>
      <c r="U568" s="36"/>
      <c r="V568" s="148"/>
      <c r="W568" s="84"/>
      <c r="X568" s="16"/>
    </row>
    <row r="569" spans="8:24" ht="20" customHeight="1" x14ac:dyDescent="0.25">
      <c r="H569" s="147"/>
      <c r="I569" s="16"/>
      <c r="J569" s="16"/>
      <c r="K569" s="16"/>
      <c r="L569" s="16"/>
      <c r="M569" s="147"/>
      <c r="N569" s="16"/>
      <c r="O569" s="147"/>
      <c r="P569" s="16"/>
      <c r="Q569" s="147"/>
      <c r="R569" s="16"/>
      <c r="S569" s="147"/>
      <c r="T569" s="79"/>
      <c r="U569" s="36"/>
      <c r="V569" s="148"/>
      <c r="W569" s="84"/>
      <c r="X569" s="16"/>
    </row>
    <row r="570" spans="8:24" ht="20" customHeight="1" x14ac:dyDescent="0.25">
      <c r="H570" s="147"/>
      <c r="I570" s="16"/>
      <c r="J570" s="16"/>
      <c r="K570" s="16"/>
      <c r="L570" s="16"/>
      <c r="M570" s="147"/>
      <c r="N570" s="16"/>
      <c r="O570" s="147"/>
      <c r="P570" s="16"/>
      <c r="Q570" s="147"/>
      <c r="R570" s="16"/>
      <c r="S570" s="147"/>
      <c r="T570" s="79"/>
      <c r="U570" s="36"/>
      <c r="V570" s="148"/>
      <c r="W570" s="84"/>
      <c r="X570" s="16"/>
    </row>
    <row r="571" spans="8:24" ht="20" customHeight="1" x14ac:dyDescent="0.25">
      <c r="H571" s="147"/>
      <c r="I571" s="16"/>
      <c r="J571" s="16"/>
      <c r="K571" s="16"/>
      <c r="L571" s="16"/>
      <c r="M571" s="147"/>
      <c r="N571" s="16"/>
      <c r="O571" s="147"/>
      <c r="P571" s="16"/>
      <c r="Q571" s="147"/>
      <c r="R571" s="16"/>
      <c r="S571" s="147"/>
      <c r="T571" s="79"/>
      <c r="U571" s="36"/>
      <c r="V571" s="148"/>
      <c r="W571" s="84"/>
      <c r="X571" s="16"/>
    </row>
    <row r="572" spans="8:24" ht="20" customHeight="1" x14ac:dyDescent="0.25">
      <c r="H572" s="147"/>
      <c r="I572" s="16"/>
      <c r="J572" s="16"/>
      <c r="K572" s="16"/>
      <c r="L572" s="16"/>
      <c r="M572" s="147"/>
      <c r="N572" s="16"/>
      <c r="O572" s="147"/>
      <c r="P572" s="16"/>
      <c r="Q572" s="147"/>
      <c r="R572" s="16"/>
      <c r="S572" s="147"/>
      <c r="T572" s="79"/>
      <c r="U572" s="36"/>
      <c r="V572" s="148"/>
      <c r="W572" s="84"/>
      <c r="X572" s="16"/>
    </row>
    <row r="573" spans="8:24" ht="20" customHeight="1" x14ac:dyDescent="0.25">
      <c r="H573" s="147"/>
      <c r="I573" s="16"/>
      <c r="J573" s="16"/>
      <c r="K573" s="16"/>
      <c r="L573" s="16"/>
      <c r="M573" s="147"/>
      <c r="N573" s="16"/>
      <c r="O573" s="147"/>
      <c r="P573" s="16"/>
      <c r="Q573" s="147"/>
      <c r="R573" s="16"/>
      <c r="S573" s="147"/>
      <c r="T573" s="79"/>
      <c r="U573" s="36"/>
      <c r="V573" s="148"/>
      <c r="W573" s="84"/>
      <c r="X573" s="16"/>
    </row>
    <row r="574" spans="8:24" ht="20" customHeight="1" x14ac:dyDescent="0.25">
      <c r="H574" s="147"/>
      <c r="I574" s="16"/>
      <c r="J574" s="16"/>
      <c r="K574" s="16"/>
      <c r="L574" s="16"/>
      <c r="M574" s="147"/>
      <c r="N574" s="16"/>
      <c r="O574" s="147"/>
      <c r="P574" s="16"/>
      <c r="Q574" s="147"/>
      <c r="R574" s="16"/>
      <c r="S574" s="147"/>
      <c r="T574" s="79"/>
      <c r="U574" s="36"/>
      <c r="V574" s="148"/>
      <c r="W574" s="84"/>
      <c r="X574" s="16"/>
    </row>
    <row r="575" spans="8:24" ht="20" customHeight="1" x14ac:dyDescent="0.25">
      <c r="H575" s="147"/>
      <c r="I575" s="16"/>
      <c r="J575" s="16"/>
      <c r="K575" s="16"/>
      <c r="L575" s="16"/>
      <c r="M575" s="147"/>
      <c r="N575" s="16"/>
      <c r="O575" s="147"/>
      <c r="P575" s="16"/>
      <c r="Q575" s="147"/>
      <c r="R575" s="16"/>
      <c r="S575" s="147"/>
      <c r="T575" s="79"/>
      <c r="U575" s="36"/>
      <c r="V575" s="148"/>
      <c r="W575" s="84"/>
      <c r="X575" s="16"/>
    </row>
    <row r="576" spans="8:24" ht="20" customHeight="1" x14ac:dyDescent="0.25">
      <c r="H576" s="147"/>
      <c r="I576" s="16"/>
      <c r="J576" s="16"/>
      <c r="K576" s="16"/>
      <c r="L576" s="16"/>
      <c r="M576" s="147"/>
      <c r="N576" s="16"/>
      <c r="O576" s="147"/>
      <c r="P576" s="16"/>
      <c r="Q576" s="147"/>
      <c r="R576" s="16"/>
      <c r="S576" s="147"/>
      <c r="T576" s="79"/>
      <c r="U576" s="36"/>
      <c r="V576" s="148"/>
      <c r="W576" s="84"/>
      <c r="X576" s="16"/>
    </row>
    <row r="577" spans="8:24" ht="20" customHeight="1" x14ac:dyDescent="0.25">
      <c r="H577" s="147"/>
      <c r="I577" s="16"/>
      <c r="J577" s="16"/>
      <c r="K577" s="16"/>
      <c r="L577" s="16"/>
      <c r="M577" s="147"/>
      <c r="N577" s="16"/>
      <c r="O577" s="147"/>
      <c r="P577" s="16"/>
      <c r="Q577" s="147"/>
      <c r="R577" s="16"/>
      <c r="S577" s="147"/>
      <c r="T577" s="79"/>
      <c r="U577" s="36"/>
      <c r="V577" s="148"/>
      <c r="W577" s="84"/>
      <c r="X577" s="16"/>
    </row>
    <row r="578" spans="8:24" ht="20" customHeight="1" x14ac:dyDescent="0.25">
      <c r="H578" s="147"/>
      <c r="I578" s="16"/>
      <c r="J578" s="16"/>
      <c r="K578" s="16"/>
      <c r="L578" s="16"/>
      <c r="M578" s="147"/>
      <c r="N578" s="16"/>
      <c r="O578" s="147"/>
      <c r="P578" s="16"/>
      <c r="Q578" s="147"/>
      <c r="R578" s="16"/>
      <c r="S578" s="147"/>
      <c r="T578" s="79"/>
      <c r="U578" s="36"/>
      <c r="V578" s="148"/>
      <c r="W578" s="84"/>
      <c r="X578" s="16"/>
    </row>
    <row r="579" spans="8:24" ht="20" customHeight="1" x14ac:dyDescent="0.25">
      <c r="H579" s="147"/>
      <c r="I579" s="16"/>
      <c r="J579" s="16"/>
      <c r="K579" s="16"/>
      <c r="L579" s="16"/>
      <c r="M579" s="147"/>
      <c r="N579" s="16"/>
      <c r="O579" s="147"/>
      <c r="P579" s="16"/>
      <c r="Q579" s="147"/>
      <c r="R579" s="16"/>
      <c r="S579" s="147"/>
      <c r="T579" s="79"/>
      <c r="U579" s="36"/>
      <c r="V579" s="148"/>
      <c r="W579" s="84"/>
      <c r="X579" s="16"/>
    </row>
    <row r="580" spans="8:24" ht="20" customHeight="1" x14ac:dyDescent="0.25">
      <c r="H580" s="147"/>
      <c r="I580" s="16"/>
      <c r="J580" s="16"/>
      <c r="K580" s="16"/>
      <c r="L580" s="16"/>
      <c r="M580" s="147"/>
      <c r="N580" s="16"/>
      <c r="O580" s="147"/>
      <c r="P580" s="16"/>
      <c r="Q580" s="147"/>
      <c r="R580" s="16"/>
      <c r="S580" s="147"/>
      <c r="T580" s="79"/>
      <c r="U580" s="36"/>
      <c r="V580" s="148"/>
      <c r="W580" s="84"/>
      <c r="X580" s="16"/>
    </row>
    <row r="581" spans="8:24" ht="20" customHeight="1" x14ac:dyDescent="0.25">
      <c r="H581" s="147"/>
      <c r="I581" s="16"/>
      <c r="J581" s="16"/>
      <c r="K581" s="16"/>
      <c r="L581" s="16"/>
      <c r="M581" s="147"/>
      <c r="N581" s="16"/>
      <c r="O581" s="147"/>
      <c r="P581" s="16"/>
      <c r="Q581" s="147"/>
      <c r="R581" s="16"/>
      <c r="S581" s="147"/>
      <c r="T581" s="79"/>
      <c r="U581" s="36"/>
      <c r="V581" s="148"/>
      <c r="W581" s="84"/>
      <c r="X581" s="16"/>
    </row>
    <row r="582" spans="8:24" ht="20" customHeight="1" x14ac:dyDescent="0.25">
      <c r="H582" s="147"/>
      <c r="I582" s="16"/>
      <c r="J582" s="16"/>
      <c r="K582" s="16"/>
      <c r="L582" s="16"/>
      <c r="M582" s="147"/>
      <c r="N582" s="16"/>
      <c r="O582" s="147"/>
      <c r="P582" s="16"/>
      <c r="Q582" s="147"/>
      <c r="R582" s="16"/>
      <c r="S582" s="147"/>
      <c r="T582" s="79"/>
      <c r="U582" s="36"/>
      <c r="V582" s="148"/>
      <c r="W582" s="84"/>
      <c r="X582" s="16"/>
    </row>
    <row r="583" spans="8:24" ht="20" customHeight="1" x14ac:dyDescent="0.25">
      <c r="H583" s="147"/>
      <c r="I583" s="16"/>
      <c r="J583" s="16"/>
      <c r="K583" s="16"/>
      <c r="L583" s="16"/>
      <c r="M583" s="147"/>
      <c r="N583" s="16"/>
      <c r="O583" s="147"/>
      <c r="P583" s="16"/>
      <c r="Q583" s="147"/>
      <c r="R583" s="16"/>
      <c r="S583" s="147"/>
      <c r="T583" s="79"/>
      <c r="U583" s="36"/>
      <c r="V583" s="148"/>
      <c r="W583" s="84"/>
      <c r="X583" s="16"/>
    </row>
    <row r="584" spans="8:24" ht="20" customHeight="1" x14ac:dyDescent="0.25">
      <c r="H584" s="147"/>
      <c r="I584" s="16"/>
      <c r="J584" s="16"/>
      <c r="K584" s="16"/>
      <c r="L584" s="16"/>
      <c r="M584" s="147"/>
      <c r="N584" s="16"/>
      <c r="O584" s="147"/>
      <c r="P584" s="16"/>
      <c r="Q584" s="147"/>
      <c r="R584" s="16"/>
      <c r="S584" s="147"/>
      <c r="T584" s="79"/>
      <c r="U584" s="36"/>
      <c r="V584" s="148"/>
      <c r="W584" s="84"/>
      <c r="X584" s="16"/>
    </row>
    <row r="585" spans="8:24" ht="20" customHeight="1" x14ac:dyDescent="0.25">
      <c r="H585" s="147"/>
      <c r="I585" s="16"/>
      <c r="J585" s="16"/>
      <c r="K585" s="16"/>
      <c r="L585" s="16"/>
      <c r="M585" s="147"/>
      <c r="N585" s="16"/>
      <c r="O585" s="147"/>
      <c r="P585" s="16"/>
      <c r="Q585" s="147"/>
      <c r="R585" s="16"/>
      <c r="S585" s="147"/>
      <c r="T585" s="79"/>
      <c r="U585" s="36"/>
      <c r="V585" s="148"/>
      <c r="W585" s="84"/>
      <c r="X585" s="16"/>
    </row>
    <row r="586" spans="8:24" ht="20" customHeight="1" x14ac:dyDescent="0.25">
      <c r="H586" s="147"/>
      <c r="I586" s="16"/>
      <c r="J586" s="16"/>
      <c r="K586" s="16"/>
      <c r="L586" s="16"/>
      <c r="M586" s="147"/>
      <c r="N586" s="16"/>
      <c r="O586" s="147"/>
      <c r="P586" s="16"/>
      <c r="Q586" s="147"/>
      <c r="R586" s="16"/>
      <c r="S586" s="147"/>
      <c r="T586" s="79"/>
      <c r="U586" s="36"/>
      <c r="V586" s="148"/>
      <c r="W586" s="84"/>
      <c r="X586" s="16"/>
    </row>
    <row r="587" spans="8:24" ht="20" customHeight="1" x14ac:dyDescent="0.25">
      <c r="H587" s="147"/>
      <c r="I587" s="16"/>
      <c r="J587" s="16"/>
      <c r="K587" s="16"/>
      <c r="L587" s="16"/>
      <c r="M587" s="147"/>
      <c r="N587" s="16"/>
      <c r="O587" s="147"/>
      <c r="P587" s="16"/>
      <c r="Q587" s="147"/>
      <c r="R587" s="16"/>
      <c r="S587" s="147"/>
      <c r="T587" s="79"/>
      <c r="U587" s="36"/>
      <c r="V587" s="148"/>
      <c r="W587" s="84"/>
      <c r="X587" s="16"/>
    </row>
    <row r="588" spans="8:24" ht="20" customHeight="1" x14ac:dyDescent="0.25">
      <c r="H588" s="147"/>
      <c r="I588" s="16"/>
      <c r="J588" s="16"/>
      <c r="K588" s="16"/>
      <c r="L588" s="16"/>
      <c r="M588" s="147"/>
      <c r="N588" s="16"/>
      <c r="O588" s="147"/>
      <c r="P588" s="16"/>
      <c r="Q588" s="147"/>
      <c r="R588" s="16"/>
      <c r="S588" s="147"/>
      <c r="T588" s="79"/>
      <c r="U588" s="36"/>
      <c r="V588" s="148"/>
      <c r="W588" s="84"/>
      <c r="X588" s="16"/>
    </row>
    <row r="589" spans="8:24" ht="20" customHeight="1" x14ac:dyDescent="0.25">
      <c r="H589" s="147"/>
      <c r="I589" s="16"/>
      <c r="J589" s="16"/>
      <c r="K589" s="16"/>
      <c r="L589" s="16"/>
      <c r="M589" s="147"/>
      <c r="N589" s="16"/>
      <c r="O589" s="147"/>
      <c r="P589" s="16"/>
      <c r="Q589" s="147"/>
      <c r="R589" s="16"/>
      <c r="S589" s="147"/>
      <c r="T589" s="79"/>
      <c r="U589" s="36"/>
      <c r="V589" s="148"/>
      <c r="W589" s="84"/>
      <c r="X589" s="16"/>
    </row>
    <row r="590" spans="8:24" ht="20" customHeight="1" x14ac:dyDescent="0.25">
      <c r="H590" s="147"/>
      <c r="I590" s="16"/>
      <c r="J590" s="16"/>
      <c r="K590" s="16"/>
      <c r="L590" s="16"/>
      <c r="M590" s="147"/>
      <c r="N590" s="16"/>
      <c r="O590" s="147"/>
      <c r="P590" s="16"/>
      <c r="Q590" s="147"/>
      <c r="R590" s="16"/>
      <c r="S590" s="147"/>
      <c r="T590" s="79"/>
      <c r="U590" s="36"/>
      <c r="V590" s="148"/>
      <c r="W590" s="84"/>
      <c r="X590" s="16"/>
    </row>
    <row r="591" spans="8:24" ht="20" customHeight="1" x14ac:dyDescent="0.25">
      <c r="H591" s="147"/>
      <c r="I591" s="16"/>
      <c r="J591" s="16"/>
      <c r="K591" s="16"/>
      <c r="L591" s="16"/>
      <c r="M591" s="147"/>
      <c r="N591" s="16"/>
      <c r="O591" s="147"/>
      <c r="P591" s="16"/>
      <c r="Q591" s="147"/>
      <c r="R591" s="16"/>
      <c r="S591" s="147"/>
      <c r="T591" s="79"/>
      <c r="U591" s="36"/>
      <c r="V591" s="148"/>
      <c r="W591" s="84"/>
      <c r="X591" s="16"/>
    </row>
    <row r="592" spans="8:24" ht="20" customHeight="1" x14ac:dyDescent="0.25">
      <c r="H592" s="147"/>
      <c r="I592" s="16"/>
      <c r="J592" s="16"/>
      <c r="K592" s="16"/>
      <c r="L592" s="16"/>
      <c r="M592" s="147"/>
      <c r="N592" s="16"/>
      <c r="O592" s="147"/>
      <c r="P592" s="16"/>
      <c r="Q592" s="147"/>
      <c r="R592" s="16"/>
      <c r="S592" s="147"/>
      <c r="T592" s="79"/>
      <c r="U592" s="36"/>
      <c r="V592" s="148"/>
      <c r="W592" s="84"/>
      <c r="X592" s="16"/>
    </row>
    <row r="593" spans="8:24" ht="20" customHeight="1" x14ac:dyDescent="0.25">
      <c r="H593" s="147"/>
      <c r="I593" s="16"/>
      <c r="J593" s="16"/>
      <c r="K593" s="16"/>
      <c r="L593" s="16"/>
      <c r="M593" s="147"/>
      <c r="N593" s="16"/>
      <c r="O593" s="147"/>
      <c r="P593" s="16"/>
      <c r="Q593" s="147"/>
      <c r="R593" s="16"/>
      <c r="S593" s="147"/>
      <c r="T593" s="79"/>
      <c r="U593" s="36"/>
      <c r="V593" s="148"/>
      <c r="W593" s="84"/>
      <c r="X593" s="16"/>
    </row>
    <row r="594" spans="8:24" ht="20" customHeight="1" x14ac:dyDescent="0.25">
      <c r="H594" s="147"/>
      <c r="I594" s="16"/>
      <c r="J594" s="16"/>
      <c r="K594" s="16"/>
      <c r="L594" s="16"/>
      <c r="M594" s="147"/>
      <c r="N594" s="16"/>
      <c r="O594" s="147"/>
      <c r="P594" s="16"/>
      <c r="Q594" s="147"/>
      <c r="R594" s="16"/>
      <c r="S594" s="147"/>
      <c r="T594" s="79"/>
      <c r="U594" s="36"/>
      <c r="V594" s="148"/>
      <c r="W594" s="84"/>
      <c r="X594" s="16"/>
    </row>
    <row r="595" spans="8:24" ht="20" customHeight="1" x14ac:dyDescent="0.25">
      <c r="H595" s="147"/>
      <c r="I595" s="16"/>
      <c r="J595" s="16"/>
      <c r="K595" s="16"/>
      <c r="L595" s="16"/>
      <c r="M595" s="147"/>
      <c r="N595" s="16"/>
      <c r="O595" s="147"/>
      <c r="P595" s="16"/>
      <c r="Q595" s="147"/>
      <c r="R595" s="16"/>
      <c r="S595" s="147"/>
      <c r="T595" s="79"/>
      <c r="U595" s="36"/>
      <c r="V595" s="148"/>
      <c r="W595" s="84"/>
      <c r="X595" s="16"/>
    </row>
    <row r="596" spans="8:24" ht="20" customHeight="1" x14ac:dyDescent="0.25">
      <c r="H596" s="147"/>
      <c r="I596" s="16"/>
      <c r="J596" s="16"/>
      <c r="K596" s="16"/>
      <c r="L596" s="16"/>
      <c r="M596" s="147"/>
      <c r="N596" s="16"/>
      <c r="O596" s="147"/>
      <c r="P596" s="16"/>
      <c r="Q596" s="147"/>
      <c r="R596" s="16"/>
      <c r="S596" s="147"/>
      <c r="T596" s="79"/>
      <c r="U596" s="36"/>
      <c r="V596" s="148"/>
      <c r="W596" s="84"/>
      <c r="X596" s="16"/>
    </row>
    <row r="597" spans="8:24" ht="20" customHeight="1" x14ac:dyDescent="0.25">
      <c r="H597" s="147"/>
      <c r="I597" s="16"/>
      <c r="J597" s="16"/>
      <c r="K597" s="16"/>
      <c r="L597" s="16"/>
      <c r="M597" s="147"/>
      <c r="N597" s="16"/>
      <c r="O597" s="147"/>
      <c r="P597" s="16"/>
      <c r="Q597" s="147"/>
      <c r="R597" s="16"/>
      <c r="S597" s="147"/>
      <c r="T597" s="79"/>
      <c r="U597" s="36"/>
      <c r="V597" s="148"/>
      <c r="W597" s="84"/>
      <c r="X597" s="16"/>
    </row>
    <row r="598" spans="8:24" ht="20" customHeight="1" x14ac:dyDescent="0.25">
      <c r="H598" s="147"/>
      <c r="I598" s="16"/>
      <c r="J598" s="16"/>
      <c r="K598" s="16"/>
      <c r="L598" s="16"/>
      <c r="M598" s="147"/>
      <c r="N598" s="16"/>
      <c r="O598" s="147"/>
      <c r="P598" s="16"/>
      <c r="Q598" s="147"/>
      <c r="R598" s="16"/>
      <c r="S598" s="147"/>
      <c r="T598" s="79"/>
      <c r="U598" s="36"/>
      <c r="V598" s="148"/>
      <c r="W598" s="84"/>
      <c r="X598" s="16"/>
    </row>
    <row r="599" spans="8:24" ht="20" customHeight="1" x14ac:dyDescent="0.25">
      <c r="H599" s="147"/>
      <c r="I599" s="16"/>
      <c r="J599" s="16"/>
      <c r="K599" s="16"/>
      <c r="L599" s="16"/>
      <c r="M599" s="147"/>
      <c r="N599" s="16"/>
      <c r="O599" s="147"/>
      <c r="P599" s="16"/>
      <c r="Q599" s="147"/>
      <c r="R599" s="16"/>
      <c r="S599" s="147"/>
      <c r="T599" s="79"/>
      <c r="U599" s="36"/>
      <c r="V599" s="148"/>
      <c r="W599" s="84"/>
      <c r="X599" s="16"/>
    </row>
    <row r="600" spans="8:24" ht="20" customHeight="1" x14ac:dyDescent="0.25">
      <c r="H600" s="147"/>
      <c r="I600" s="16"/>
      <c r="J600" s="16"/>
      <c r="K600" s="16"/>
      <c r="L600" s="16"/>
      <c r="M600" s="147"/>
      <c r="N600" s="16"/>
      <c r="O600" s="147"/>
      <c r="P600" s="16"/>
      <c r="Q600" s="147"/>
      <c r="R600" s="16"/>
      <c r="S600" s="147"/>
      <c r="T600" s="79"/>
      <c r="U600" s="36"/>
      <c r="V600" s="148"/>
      <c r="W600" s="84"/>
      <c r="X600" s="16"/>
    </row>
    <row r="601" spans="8:24" ht="20" customHeight="1" x14ac:dyDescent="0.25">
      <c r="H601" s="147"/>
      <c r="I601" s="16"/>
      <c r="J601" s="16"/>
      <c r="K601" s="16"/>
      <c r="L601" s="16"/>
      <c r="M601" s="147"/>
      <c r="N601" s="16"/>
      <c r="O601" s="147"/>
      <c r="P601" s="16"/>
      <c r="Q601" s="147"/>
      <c r="R601" s="16"/>
      <c r="S601" s="147"/>
      <c r="T601" s="79"/>
      <c r="U601" s="36"/>
      <c r="V601" s="148"/>
      <c r="W601" s="84"/>
      <c r="X601" s="16"/>
    </row>
    <row r="602" spans="8:24" ht="20" customHeight="1" x14ac:dyDescent="0.25">
      <c r="H602" s="147"/>
      <c r="I602" s="16"/>
      <c r="J602" s="16"/>
      <c r="K602" s="16"/>
      <c r="L602" s="16"/>
      <c r="M602" s="147"/>
      <c r="N602" s="16"/>
      <c r="O602" s="147"/>
      <c r="P602" s="16"/>
      <c r="Q602" s="147"/>
      <c r="R602" s="16"/>
      <c r="S602" s="147"/>
      <c r="T602" s="79"/>
      <c r="U602" s="36"/>
      <c r="V602" s="148"/>
      <c r="W602" s="84"/>
      <c r="X602" s="16"/>
    </row>
    <row r="603" spans="8:24" ht="20" customHeight="1" x14ac:dyDescent="0.25">
      <c r="H603" s="147"/>
      <c r="I603" s="16"/>
      <c r="J603" s="16"/>
      <c r="K603" s="16"/>
      <c r="L603" s="16"/>
      <c r="M603" s="147"/>
      <c r="N603" s="16"/>
      <c r="O603" s="147"/>
      <c r="P603" s="16"/>
      <c r="Q603" s="147"/>
      <c r="R603" s="16"/>
      <c r="S603" s="147"/>
      <c r="T603" s="79"/>
      <c r="U603" s="36"/>
      <c r="V603" s="148"/>
      <c r="W603" s="84"/>
      <c r="X603" s="16"/>
    </row>
    <row r="604" spans="8:24" ht="20" customHeight="1" x14ac:dyDescent="0.25">
      <c r="H604" s="147"/>
      <c r="I604" s="16"/>
      <c r="J604" s="16"/>
      <c r="K604" s="16"/>
      <c r="L604" s="16"/>
      <c r="M604" s="147"/>
      <c r="N604" s="16"/>
      <c r="O604" s="147"/>
      <c r="P604" s="16"/>
      <c r="Q604" s="147"/>
      <c r="R604" s="16"/>
      <c r="S604" s="147"/>
      <c r="T604" s="79"/>
      <c r="U604" s="36"/>
      <c r="V604" s="148"/>
      <c r="W604" s="84"/>
      <c r="X604" s="16"/>
    </row>
    <row r="605" spans="8:24" ht="20" customHeight="1" x14ac:dyDescent="0.25">
      <c r="H605" s="147"/>
      <c r="I605" s="16"/>
      <c r="J605" s="16"/>
      <c r="K605" s="16"/>
      <c r="L605" s="16"/>
      <c r="M605" s="147"/>
      <c r="N605" s="16"/>
      <c r="O605" s="147"/>
      <c r="P605" s="16"/>
      <c r="Q605" s="147"/>
      <c r="R605" s="16"/>
      <c r="S605" s="147"/>
      <c r="T605" s="79"/>
      <c r="U605" s="36"/>
      <c r="V605" s="148"/>
      <c r="W605" s="84"/>
      <c r="X605" s="16"/>
    </row>
    <row r="606" spans="8:24" ht="20" customHeight="1" x14ac:dyDescent="0.25">
      <c r="H606" s="147"/>
      <c r="I606" s="16"/>
      <c r="J606" s="16"/>
      <c r="K606" s="16"/>
      <c r="L606" s="16"/>
      <c r="M606" s="147"/>
      <c r="N606" s="16"/>
      <c r="O606" s="147"/>
      <c r="P606" s="16"/>
      <c r="Q606" s="147"/>
      <c r="R606" s="16"/>
      <c r="S606" s="147"/>
      <c r="T606" s="79"/>
      <c r="U606" s="36"/>
      <c r="V606" s="148"/>
      <c r="W606" s="84"/>
      <c r="X606" s="16"/>
    </row>
    <row r="607" spans="8:24" ht="20" customHeight="1" x14ac:dyDescent="0.25">
      <c r="H607" s="147"/>
      <c r="I607" s="16"/>
      <c r="J607" s="16"/>
      <c r="K607" s="16"/>
      <c r="L607" s="16"/>
      <c r="M607" s="147"/>
      <c r="N607" s="16"/>
      <c r="O607" s="147"/>
      <c r="P607" s="16"/>
      <c r="Q607" s="147"/>
      <c r="R607" s="16"/>
      <c r="S607" s="147"/>
      <c r="T607" s="79"/>
      <c r="U607" s="36"/>
      <c r="V607" s="148"/>
      <c r="W607" s="84"/>
      <c r="X607" s="16"/>
    </row>
    <row r="608" spans="8:24" ht="20" customHeight="1" x14ac:dyDescent="0.25">
      <c r="H608" s="147"/>
      <c r="I608" s="16"/>
      <c r="J608" s="16"/>
      <c r="K608" s="16"/>
      <c r="L608" s="16"/>
      <c r="M608" s="147"/>
      <c r="N608" s="16"/>
      <c r="O608" s="147"/>
      <c r="P608" s="16"/>
      <c r="Q608" s="147"/>
      <c r="R608" s="16"/>
      <c r="S608" s="147"/>
      <c r="T608" s="79"/>
      <c r="U608" s="36"/>
      <c r="V608" s="148"/>
      <c r="W608" s="84"/>
      <c r="X608" s="16"/>
    </row>
    <row r="609" spans="8:24" ht="20" customHeight="1" x14ac:dyDescent="0.25">
      <c r="H609" s="147"/>
      <c r="I609" s="16"/>
      <c r="J609" s="16"/>
      <c r="K609" s="16"/>
      <c r="L609" s="16"/>
      <c r="M609" s="147"/>
      <c r="N609" s="16"/>
      <c r="O609" s="147"/>
      <c r="P609" s="16"/>
      <c r="Q609" s="147"/>
      <c r="R609" s="16"/>
      <c r="S609" s="147"/>
      <c r="T609" s="79"/>
      <c r="U609" s="36"/>
      <c r="V609" s="148"/>
      <c r="W609" s="84"/>
      <c r="X609" s="16"/>
    </row>
    <row r="610" spans="8:24" ht="20" customHeight="1" x14ac:dyDescent="0.25">
      <c r="H610" s="147"/>
      <c r="I610" s="16"/>
      <c r="J610" s="16"/>
      <c r="K610" s="16"/>
      <c r="L610" s="16"/>
      <c r="M610" s="147"/>
      <c r="N610" s="16"/>
      <c r="O610" s="147"/>
      <c r="P610" s="16"/>
      <c r="Q610" s="147"/>
      <c r="R610" s="16"/>
      <c r="S610" s="147"/>
      <c r="T610" s="79"/>
      <c r="U610" s="36"/>
      <c r="V610" s="148"/>
      <c r="W610" s="84"/>
      <c r="X610" s="16"/>
    </row>
    <row r="611" spans="8:24" ht="20" customHeight="1" x14ac:dyDescent="0.25">
      <c r="H611" s="147"/>
      <c r="I611" s="16"/>
      <c r="J611" s="16"/>
      <c r="K611" s="16"/>
      <c r="L611" s="16"/>
      <c r="M611" s="147"/>
      <c r="N611" s="16"/>
      <c r="O611" s="147"/>
      <c r="P611" s="16"/>
      <c r="Q611" s="147"/>
      <c r="R611" s="16"/>
      <c r="S611" s="147"/>
      <c r="T611" s="79"/>
      <c r="U611" s="36"/>
      <c r="V611" s="148"/>
      <c r="W611" s="84"/>
      <c r="X611" s="16"/>
    </row>
    <row r="612" spans="8:24" ht="20" customHeight="1" x14ac:dyDescent="0.25">
      <c r="H612" s="147"/>
      <c r="I612" s="16"/>
      <c r="J612" s="16"/>
      <c r="K612" s="16"/>
      <c r="L612" s="16"/>
      <c r="M612" s="147"/>
      <c r="N612" s="16"/>
      <c r="O612" s="147"/>
      <c r="P612" s="16"/>
      <c r="Q612" s="147"/>
      <c r="R612" s="16"/>
      <c r="S612" s="147"/>
      <c r="T612" s="79"/>
      <c r="U612" s="36"/>
      <c r="V612" s="148"/>
      <c r="W612" s="84"/>
      <c r="X612" s="16"/>
    </row>
    <row r="613" spans="8:24" ht="20" customHeight="1" x14ac:dyDescent="0.25">
      <c r="H613" s="147"/>
      <c r="I613" s="16"/>
      <c r="J613" s="16"/>
      <c r="K613" s="16"/>
      <c r="L613" s="16"/>
      <c r="M613" s="147"/>
      <c r="N613" s="16"/>
      <c r="O613" s="147"/>
      <c r="P613" s="16"/>
      <c r="Q613" s="147"/>
      <c r="R613" s="16"/>
      <c r="S613" s="147"/>
      <c r="T613" s="79"/>
      <c r="U613" s="36"/>
      <c r="V613" s="148"/>
      <c r="W613" s="84"/>
      <c r="X613" s="16"/>
    </row>
    <row r="614" spans="8:24" ht="20" customHeight="1" x14ac:dyDescent="0.25">
      <c r="H614" s="147"/>
      <c r="I614" s="16"/>
      <c r="J614" s="16"/>
      <c r="K614" s="16"/>
      <c r="L614" s="16"/>
      <c r="M614" s="147"/>
      <c r="N614" s="16"/>
      <c r="O614" s="147"/>
      <c r="P614" s="16"/>
      <c r="Q614" s="147"/>
      <c r="R614" s="16"/>
      <c r="S614" s="147"/>
      <c r="T614" s="79"/>
      <c r="U614" s="36"/>
      <c r="V614" s="148"/>
      <c r="W614" s="84"/>
      <c r="X614" s="16"/>
    </row>
    <row r="615" spans="8:24" ht="20" customHeight="1" x14ac:dyDescent="0.25">
      <c r="H615" s="147"/>
      <c r="I615" s="16"/>
      <c r="J615" s="16"/>
      <c r="K615" s="16"/>
      <c r="L615" s="16"/>
      <c r="M615" s="147"/>
      <c r="N615" s="16"/>
      <c r="O615" s="147"/>
      <c r="P615" s="16"/>
      <c r="Q615" s="147"/>
      <c r="R615" s="16"/>
      <c r="S615" s="147"/>
      <c r="T615" s="79"/>
      <c r="U615" s="36"/>
      <c r="V615" s="148"/>
      <c r="W615" s="84"/>
      <c r="X615" s="16"/>
    </row>
    <row r="616" spans="8:24" ht="20" customHeight="1" x14ac:dyDescent="0.25">
      <c r="H616" s="147"/>
      <c r="I616" s="16"/>
      <c r="J616" s="16"/>
      <c r="K616" s="16"/>
      <c r="L616" s="16"/>
      <c r="M616" s="147"/>
      <c r="N616" s="16"/>
      <c r="O616" s="147"/>
      <c r="P616" s="16"/>
      <c r="Q616" s="147"/>
      <c r="R616" s="16"/>
      <c r="S616" s="147"/>
      <c r="T616" s="79"/>
      <c r="U616" s="36"/>
      <c r="V616" s="148"/>
      <c r="W616" s="84"/>
      <c r="X616" s="16"/>
    </row>
    <row r="617" spans="8:24" ht="20" customHeight="1" x14ac:dyDescent="0.25">
      <c r="H617" s="147"/>
      <c r="I617" s="16"/>
      <c r="J617" s="16"/>
      <c r="K617" s="16"/>
      <c r="L617" s="16"/>
      <c r="M617" s="147"/>
      <c r="N617" s="16"/>
      <c r="O617" s="147"/>
      <c r="P617" s="16"/>
      <c r="Q617" s="147"/>
      <c r="R617" s="16"/>
      <c r="S617" s="147"/>
      <c r="T617" s="79"/>
      <c r="U617" s="36"/>
      <c r="V617" s="148"/>
      <c r="W617" s="84"/>
      <c r="X617" s="16"/>
    </row>
    <row r="618" spans="8:24" ht="20" customHeight="1" x14ac:dyDescent="0.25">
      <c r="H618" s="147"/>
      <c r="I618" s="16"/>
      <c r="J618" s="16"/>
      <c r="K618" s="16"/>
      <c r="L618" s="16"/>
      <c r="M618" s="147"/>
      <c r="N618" s="16"/>
      <c r="O618" s="147"/>
      <c r="P618" s="16"/>
      <c r="Q618" s="147"/>
      <c r="R618" s="16"/>
      <c r="S618" s="147"/>
      <c r="T618" s="79"/>
      <c r="U618" s="36"/>
      <c r="V618" s="148"/>
      <c r="W618" s="84"/>
      <c r="X618" s="16"/>
    </row>
    <row r="619" spans="8:24" ht="20" customHeight="1" x14ac:dyDescent="0.25">
      <c r="H619" s="147"/>
      <c r="I619" s="16"/>
      <c r="J619" s="16"/>
      <c r="K619" s="16"/>
      <c r="L619" s="16"/>
      <c r="M619" s="147"/>
      <c r="N619" s="16"/>
      <c r="O619" s="147"/>
      <c r="P619" s="16"/>
      <c r="Q619" s="147"/>
      <c r="R619" s="16"/>
      <c r="S619" s="147"/>
      <c r="T619" s="79"/>
      <c r="U619" s="36"/>
      <c r="V619" s="148"/>
      <c r="W619" s="84"/>
      <c r="X619" s="16"/>
    </row>
    <row r="620" spans="8:24" ht="20" customHeight="1" x14ac:dyDescent="0.25">
      <c r="H620" s="147"/>
      <c r="I620" s="16"/>
      <c r="J620" s="16"/>
      <c r="K620" s="16"/>
      <c r="L620" s="16"/>
      <c r="M620" s="147"/>
      <c r="N620" s="16"/>
      <c r="O620" s="147"/>
      <c r="P620" s="16"/>
      <c r="Q620" s="147"/>
      <c r="R620" s="16"/>
      <c r="S620" s="147"/>
      <c r="T620" s="79"/>
      <c r="U620" s="36"/>
      <c r="V620" s="148"/>
      <c r="W620" s="84"/>
      <c r="X620" s="16"/>
    </row>
    <row r="621" spans="8:24" ht="20" customHeight="1" x14ac:dyDescent="0.25">
      <c r="H621" s="147"/>
      <c r="I621" s="16"/>
      <c r="J621" s="16"/>
      <c r="K621" s="16"/>
      <c r="L621" s="16"/>
      <c r="M621" s="147"/>
      <c r="N621" s="16"/>
      <c r="O621" s="147"/>
      <c r="P621" s="16"/>
      <c r="Q621" s="147"/>
      <c r="R621" s="16"/>
      <c r="S621" s="147"/>
      <c r="T621" s="79"/>
      <c r="U621" s="36"/>
      <c r="V621" s="148"/>
      <c r="W621" s="84"/>
      <c r="X621" s="16"/>
    </row>
    <row r="622" spans="8:24" ht="20" customHeight="1" x14ac:dyDescent="0.25">
      <c r="H622" s="147"/>
      <c r="I622" s="16"/>
      <c r="J622" s="16"/>
      <c r="K622" s="16"/>
      <c r="L622" s="16"/>
      <c r="M622" s="147"/>
      <c r="N622" s="16"/>
      <c r="O622" s="147"/>
      <c r="P622" s="16"/>
      <c r="Q622" s="147"/>
      <c r="R622" s="16"/>
      <c r="S622" s="147"/>
      <c r="T622" s="79"/>
      <c r="U622" s="36"/>
      <c r="V622" s="148"/>
      <c r="W622" s="84"/>
      <c r="X622" s="16"/>
    </row>
    <row r="623" spans="8:24" ht="20" customHeight="1" x14ac:dyDescent="0.25">
      <c r="H623" s="147"/>
      <c r="I623" s="16"/>
      <c r="J623" s="16"/>
      <c r="K623" s="16"/>
      <c r="L623" s="16"/>
      <c r="M623" s="147"/>
      <c r="N623" s="16"/>
      <c r="O623" s="147"/>
      <c r="P623" s="16"/>
      <c r="Q623" s="147"/>
      <c r="R623" s="16"/>
      <c r="S623" s="147"/>
      <c r="T623" s="79"/>
      <c r="U623" s="36"/>
      <c r="V623" s="148"/>
      <c r="W623" s="84"/>
      <c r="X623" s="16"/>
    </row>
    <row r="624" spans="8:24" ht="20" customHeight="1" x14ac:dyDescent="0.25">
      <c r="H624" s="147"/>
      <c r="I624" s="16"/>
      <c r="J624" s="16"/>
      <c r="K624" s="16"/>
      <c r="L624" s="16"/>
      <c r="M624" s="147"/>
      <c r="N624" s="16"/>
      <c r="O624" s="147"/>
      <c r="P624" s="16"/>
      <c r="Q624" s="147"/>
      <c r="R624" s="16"/>
      <c r="S624" s="147"/>
      <c r="T624" s="79"/>
      <c r="U624" s="36"/>
      <c r="V624" s="148"/>
      <c r="W624" s="84"/>
      <c r="X624" s="16"/>
    </row>
    <row r="625" spans="8:24" ht="20" customHeight="1" x14ac:dyDescent="0.25">
      <c r="H625" s="147"/>
      <c r="I625" s="16"/>
      <c r="J625" s="16"/>
      <c r="K625" s="16"/>
      <c r="L625" s="16"/>
      <c r="M625" s="147"/>
      <c r="N625" s="16"/>
      <c r="O625" s="147"/>
      <c r="P625" s="16"/>
      <c r="Q625" s="147"/>
      <c r="R625" s="16"/>
      <c r="S625" s="147"/>
      <c r="T625" s="79"/>
      <c r="U625" s="36"/>
      <c r="V625" s="148"/>
      <c r="W625" s="84"/>
      <c r="X625" s="16"/>
    </row>
    <row r="626" spans="8:24" ht="20" customHeight="1" x14ac:dyDescent="0.25">
      <c r="H626" s="147"/>
      <c r="I626" s="16"/>
      <c r="J626" s="16"/>
      <c r="K626" s="16"/>
      <c r="L626" s="16"/>
      <c r="M626" s="147"/>
      <c r="N626" s="16"/>
      <c r="O626" s="147"/>
      <c r="P626" s="16"/>
      <c r="Q626" s="147"/>
      <c r="R626" s="16"/>
      <c r="S626" s="147"/>
      <c r="T626" s="79"/>
      <c r="U626" s="36"/>
      <c r="V626" s="148"/>
      <c r="W626" s="84"/>
      <c r="X626" s="16"/>
    </row>
    <row r="627" spans="8:24" ht="20" customHeight="1" x14ac:dyDescent="0.25">
      <c r="H627" s="147"/>
      <c r="I627" s="16"/>
      <c r="J627" s="16"/>
      <c r="K627" s="16"/>
      <c r="L627" s="16"/>
      <c r="M627" s="147"/>
      <c r="N627" s="16"/>
      <c r="O627" s="147"/>
      <c r="P627" s="16"/>
      <c r="Q627" s="147"/>
      <c r="R627" s="16"/>
      <c r="S627" s="147"/>
      <c r="T627" s="79"/>
      <c r="U627" s="36"/>
      <c r="V627" s="148"/>
      <c r="W627" s="84"/>
      <c r="X627" s="16"/>
    </row>
    <row r="628" spans="8:24" ht="20" customHeight="1" x14ac:dyDescent="0.25">
      <c r="H628" s="147"/>
      <c r="I628" s="16"/>
      <c r="J628" s="16"/>
      <c r="K628" s="16"/>
      <c r="L628" s="16"/>
      <c r="M628" s="147"/>
      <c r="N628" s="16"/>
      <c r="O628" s="147"/>
      <c r="P628" s="16"/>
      <c r="Q628" s="147"/>
      <c r="R628" s="16"/>
      <c r="S628" s="147"/>
      <c r="T628" s="79"/>
      <c r="U628" s="36"/>
      <c r="V628" s="148"/>
      <c r="W628" s="84"/>
      <c r="X628" s="16"/>
    </row>
    <row r="629" spans="8:24" ht="20" customHeight="1" x14ac:dyDescent="0.25">
      <c r="H629" s="147"/>
      <c r="I629" s="16"/>
      <c r="J629" s="16"/>
      <c r="K629" s="16"/>
      <c r="L629" s="16"/>
      <c r="M629" s="147"/>
      <c r="N629" s="16"/>
      <c r="O629" s="147"/>
      <c r="P629" s="16"/>
      <c r="Q629" s="147"/>
      <c r="R629" s="16"/>
      <c r="S629" s="147"/>
      <c r="T629" s="79"/>
      <c r="U629" s="36"/>
      <c r="V629" s="148"/>
      <c r="W629" s="84"/>
      <c r="X629" s="16"/>
    </row>
    <row r="630" spans="8:24" ht="20" customHeight="1" x14ac:dyDescent="0.25">
      <c r="H630" s="147"/>
      <c r="I630" s="16"/>
      <c r="J630" s="16"/>
      <c r="K630" s="16"/>
      <c r="L630" s="16"/>
      <c r="M630" s="147"/>
      <c r="N630" s="16"/>
      <c r="O630" s="147"/>
      <c r="P630" s="16"/>
      <c r="Q630" s="147"/>
      <c r="R630" s="16"/>
      <c r="S630" s="147"/>
      <c r="T630" s="79"/>
      <c r="U630" s="36"/>
      <c r="V630" s="148"/>
      <c r="W630" s="84"/>
      <c r="X630" s="16"/>
    </row>
    <row r="631" spans="8:24" ht="20" customHeight="1" x14ac:dyDescent="0.25">
      <c r="H631" s="147"/>
      <c r="I631" s="16"/>
      <c r="J631" s="16"/>
      <c r="K631" s="16"/>
      <c r="L631" s="16"/>
      <c r="M631" s="147"/>
      <c r="N631" s="16"/>
      <c r="O631" s="147"/>
      <c r="P631" s="16"/>
      <c r="Q631" s="147"/>
      <c r="R631" s="16"/>
      <c r="S631" s="147"/>
      <c r="T631" s="79"/>
      <c r="U631" s="36"/>
      <c r="V631" s="148"/>
      <c r="W631" s="84"/>
      <c r="X631" s="16"/>
    </row>
    <row r="632" spans="8:24" ht="20" customHeight="1" x14ac:dyDescent="0.25">
      <c r="H632" s="147"/>
      <c r="I632" s="16"/>
      <c r="J632" s="16"/>
      <c r="K632" s="16"/>
      <c r="L632" s="16"/>
      <c r="M632" s="147"/>
      <c r="N632" s="16"/>
      <c r="O632" s="147"/>
      <c r="P632" s="16"/>
      <c r="Q632" s="147"/>
      <c r="R632" s="16"/>
      <c r="S632" s="147"/>
      <c r="T632" s="79"/>
      <c r="U632" s="36"/>
      <c r="V632" s="148"/>
      <c r="W632" s="84"/>
      <c r="X632" s="16"/>
    </row>
    <row r="633" spans="8:24" ht="20" customHeight="1" x14ac:dyDescent="0.25">
      <c r="H633" s="147"/>
      <c r="I633" s="16"/>
      <c r="J633" s="16"/>
      <c r="K633" s="16"/>
      <c r="L633" s="16"/>
      <c r="M633" s="147"/>
      <c r="N633" s="16"/>
      <c r="O633" s="147"/>
      <c r="P633" s="16"/>
      <c r="Q633" s="147"/>
      <c r="R633" s="16"/>
      <c r="S633" s="147"/>
      <c r="T633" s="79"/>
      <c r="U633" s="36"/>
      <c r="V633" s="148"/>
      <c r="W633" s="84"/>
      <c r="X633" s="16"/>
    </row>
    <row r="634" spans="8:24" ht="20" customHeight="1" x14ac:dyDescent="0.25">
      <c r="H634" s="147"/>
      <c r="I634" s="16"/>
      <c r="J634" s="16"/>
      <c r="K634" s="16"/>
      <c r="L634" s="16"/>
      <c r="M634" s="147"/>
      <c r="N634" s="16"/>
      <c r="O634" s="147"/>
      <c r="P634" s="16"/>
      <c r="Q634" s="147"/>
      <c r="R634" s="16"/>
      <c r="S634" s="147"/>
      <c r="T634" s="79"/>
      <c r="U634" s="36"/>
      <c r="V634" s="148"/>
      <c r="W634" s="84"/>
      <c r="X634" s="16"/>
    </row>
    <row r="635" spans="8:24" ht="20" customHeight="1" x14ac:dyDescent="0.25">
      <c r="H635" s="147"/>
      <c r="I635" s="16"/>
      <c r="J635" s="16"/>
      <c r="K635" s="16"/>
      <c r="L635" s="16"/>
      <c r="M635" s="147"/>
      <c r="N635" s="16"/>
      <c r="O635" s="147"/>
      <c r="P635" s="16"/>
      <c r="Q635" s="147"/>
      <c r="R635" s="16"/>
      <c r="S635" s="147"/>
      <c r="T635" s="79"/>
      <c r="U635" s="36"/>
      <c r="V635" s="148"/>
      <c r="W635" s="84"/>
      <c r="X635" s="16"/>
    </row>
    <row r="636" spans="8:24" ht="20" customHeight="1" x14ac:dyDescent="0.25">
      <c r="H636" s="147"/>
      <c r="I636" s="16"/>
      <c r="J636" s="16"/>
      <c r="K636" s="16"/>
      <c r="L636" s="16"/>
      <c r="M636" s="147"/>
      <c r="N636" s="16"/>
      <c r="O636" s="147"/>
      <c r="P636" s="16"/>
      <c r="Q636" s="147"/>
      <c r="R636" s="16"/>
      <c r="S636" s="147"/>
      <c r="T636" s="79"/>
      <c r="U636" s="36"/>
      <c r="V636" s="148"/>
      <c r="W636" s="84"/>
      <c r="X636" s="16"/>
    </row>
    <row r="637" spans="8:24" ht="20" customHeight="1" x14ac:dyDescent="0.25">
      <c r="H637" s="147"/>
      <c r="I637" s="16"/>
      <c r="J637" s="16"/>
      <c r="K637" s="16"/>
      <c r="L637" s="16"/>
      <c r="M637" s="147"/>
      <c r="N637" s="16"/>
      <c r="O637" s="147"/>
      <c r="P637" s="16"/>
      <c r="Q637" s="147"/>
      <c r="R637" s="16"/>
      <c r="S637" s="147"/>
      <c r="T637" s="79"/>
      <c r="U637" s="36"/>
      <c r="V637" s="148"/>
      <c r="W637" s="84"/>
      <c r="X637" s="16"/>
    </row>
    <row r="638" spans="8:24" ht="20" customHeight="1" x14ac:dyDescent="0.25">
      <c r="H638" s="147"/>
      <c r="I638" s="16"/>
      <c r="J638" s="16"/>
      <c r="K638" s="16"/>
      <c r="L638" s="16"/>
      <c r="M638" s="147"/>
      <c r="N638" s="16"/>
      <c r="O638" s="147"/>
      <c r="P638" s="16"/>
      <c r="Q638" s="147"/>
      <c r="R638" s="16"/>
      <c r="S638" s="147"/>
      <c r="T638" s="79"/>
      <c r="U638" s="36"/>
      <c r="V638" s="148"/>
      <c r="W638" s="84"/>
      <c r="X638" s="16"/>
    </row>
    <row r="639" spans="8:24" ht="20" customHeight="1" x14ac:dyDescent="0.25">
      <c r="H639" s="147"/>
      <c r="I639" s="16"/>
      <c r="J639" s="16"/>
      <c r="K639" s="16"/>
      <c r="L639" s="16"/>
      <c r="M639" s="147"/>
      <c r="N639" s="16"/>
      <c r="O639" s="147"/>
      <c r="P639" s="16"/>
      <c r="Q639" s="147"/>
      <c r="R639" s="16"/>
      <c r="S639" s="147"/>
      <c r="T639" s="79"/>
      <c r="U639" s="36"/>
      <c r="V639" s="148"/>
      <c r="W639" s="84"/>
      <c r="X639" s="16"/>
    </row>
    <row r="640" spans="8:24" ht="20" customHeight="1" x14ac:dyDescent="0.25">
      <c r="H640" s="147"/>
      <c r="I640" s="16"/>
      <c r="J640" s="16"/>
      <c r="K640" s="16"/>
      <c r="L640" s="16"/>
      <c r="M640" s="147"/>
      <c r="N640" s="16"/>
      <c r="O640" s="147"/>
      <c r="P640" s="16"/>
      <c r="Q640" s="147"/>
      <c r="R640" s="16"/>
      <c r="S640" s="147"/>
      <c r="T640" s="79"/>
      <c r="U640" s="36"/>
      <c r="V640" s="148"/>
      <c r="W640" s="84"/>
      <c r="X640" s="16"/>
    </row>
    <row r="641" spans="8:24" ht="20" customHeight="1" x14ac:dyDescent="0.25">
      <c r="H641" s="147"/>
      <c r="I641" s="16"/>
      <c r="J641" s="16"/>
      <c r="K641" s="16"/>
      <c r="L641" s="16"/>
      <c r="M641" s="147"/>
      <c r="N641" s="16"/>
      <c r="O641" s="147"/>
      <c r="P641" s="16"/>
      <c r="Q641" s="147"/>
      <c r="R641" s="16"/>
      <c r="S641" s="147"/>
      <c r="T641" s="79"/>
      <c r="U641" s="36"/>
      <c r="V641" s="148"/>
      <c r="W641" s="84"/>
      <c r="X641" s="16"/>
    </row>
    <row r="642" spans="8:24" ht="20" customHeight="1" x14ac:dyDescent="0.25">
      <c r="H642" s="147"/>
      <c r="I642" s="16"/>
      <c r="J642" s="16"/>
      <c r="K642" s="16"/>
      <c r="L642" s="16"/>
      <c r="M642" s="147"/>
      <c r="N642" s="16"/>
      <c r="O642" s="147"/>
      <c r="P642" s="16"/>
      <c r="Q642" s="147"/>
      <c r="R642" s="16"/>
      <c r="S642" s="147"/>
      <c r="T642" s="79"/>
      <c r="U642" s="36"/>
      <c r="V642" s="148"/>
      <c r="W642" s="84"/>
      <c r="X642" s="16"/>
    </row>
    <row r="643" spans="8:24" ht="20" customHeight="1" x14ac:dyDescent="0.25">
      <c r="H643" s="147"/>
      <c r="I643" s="16"/>
      <c r="J643" s="16"/>
      <c r="K643" s="16"/>
      <c r="L643" s="16"/>
      <c r="M643" s="147"/>
      <c r="N643" s="16"/>
      <c r="O643" s="147"/>
      <c r="P643" s="16"/>
      <c r="Q643" s="147"/>
      <c r="R643" s="16"/>
      <c r="S643" s="147"/>
      <c r="T643" s="79"/>
      <c r="U643" s="36"/>
      <c r="V643" s="148"/>
      <c r="W643" s="84"/>
      <c r="X643" s="16"/>
    </row>
    <row r="644" spans="8:24" ht="20" customHeight="1" x14ac:dyDescent="0.25">
      <c r="H644" s="147"/>
      <c r="I644" s="16"/>
      <c r="J644" s="16"/>
      <c r="K644" s="16"/>
      <c r="L644" s="16"/>
      <c r="M644" s="147"/>
      <c r="N644" s="16"/>
      <c r="O644" s="147"/>
      <c r="P644" s="16"/>
      <c r="Q644" s="147"/>
      <c r="R644" s="16"/>
      <c r="S644" s="147"/>
      <c r="T644" s="79"/>
      <c r="U644" s="36"/>
      <c r="V644" s="148"/>
      <c r="W644" s="84"/>
      <c r="X644" s="16"/>
    </row>
    <row r="645" spans="8:24" ht="20" customHeight="1" x14ac:dyDescent="0.25">
      <c r="H645" s="147"/>
      <c r="I645" s="16"/>
      <c r="J645" s="16"/>
      <c r="K645" s="16"/>
      <c r="L645" s="16"/>
      <c r="M645" s="147"/>
      <c r="N645" s="16"/>
      <c r="O645" s="147"/>
      <c r="P645" s="16"/>
      <c r="Q645" s="147"/>
      <c r="R645" s="16"/>
      <c r="S645" s="147"/>
      <c r="T645" s="79"/>
      <c r="U645" s="36"/>
      <c r="V645" s="148"/>
      <c r="W645" s="84"/>
      <c r="X645" s="16"/>
    </row>
    <row r="646" spans="8:24" ht="20" customHeight="1" x14ac:dyDescent="0.25">
      <c r="H646" s="147"/>
      <c r="I646" s="16"/>
      <c r="J646" s="16"/>
      <c r="K646" s="16"/>
      <c r="L646" s="16"/>
      <c r="M646" s="147"/>
      <c r="N646" s="16"/>
      <c r="O646" s="147"/>
      <c r="P646" s="16"/>
      <c r="Q646" s="147"/>
      <c r="R646" s="16"/>
      <c r="S646" s="147"/>
      <c r="T646" s="79"/>
      <c r="U646" s="36"/>
      <c r="V646" s="148"/>
      <c r="W646" s="84"/>
      <c r="X646" s="16"/>
    </row>
    <row r="647" spans="8:24" ht="20" customHeight="1" x14ac:dyDescent="0.25">
      <c r="H647" s="147"/>
      <c r="I647" s="16"/>
      <c r="J647" s="16"/>
      <c r="K647" s="16"/>
      <c r="L647" s="16"/>
      <c r="M647" s="147"/>
      <c r="N647" s="16"/>
      <c r="O647" s="147"/>
      <c r="P647" s="16"/>
      <c r="Q647" s="147"/>
      <c r="R647" s="16"/>
      <c r="S647" s="147"/>
      <c r="T647" s="79"/>
      <c r="U647" s="36"/>
      <c r="V647" s="148"/>
      <c r="W647" s="84"/>
      <c r="X647" s="16"/>
    </row>
    <row r="648" spans="8:24" ht="20" customHeight="1" x14ac:dyDescent="0.25">
      <c r="H648" s="147"/>
      <c r="I648" s="16"/>
      <c r="J648" s="16"/>
      <c r="K648" s="16"/>
      <c r="L648" s="16"/>
      <c r="M648" s="147"/>
      <c r="N648" s="16"/>
      <c r="O648" s="147"/>
      <c r="P648" s="16"/>
      <c r="Q648" s="147"/>
      <c r="R648" s="16"/>
      <c r="S648" s="147"/>
      <c r="T648" s="79"/>
      <c r="U648" s="36"/>
      <c r="V648" s="148"/>
      <c r="W648" s="84"/>
      <c r="X648" s="16"/>
    </row>
    <row r="649" spans="8:24" ht="20" customHeight="1" x14ac:dyDescent="0.25">
      <c r="H649" s="147"/>
      <c r="I649" s="16"/>
      <c r="J649" s="16"/>
      <c r="K649" s="16"/>
      <c r="L649" s="16"/>
      <c r="M649" s="147"/>
      <c r="N649" s="16"/>
      <c r="O649" s="147"/>
      <c r="P649" s="16"/>
      <c r="Q649" s="147"/>
      <c r="R649" s="16"/>
      <c r="S649" s="147"/>
      <c r="T649" s="79"/>
      <c r="U649" s="36"/>
      <c r="V649" s="148"/>
      <c r="W649" s="84"/>
      <c r="X649" s="16"/>
    </row>
    <row r="650" spans="8:24" ht="20" customHeight="1" x14ac:dyDescent="0.25">
      <c r="H650" s="147"/>
      <c r="I650" s="16"/>
      <c r="J650" s="16"/>
      <c r="K650" s="16"/>
      <c r="L650" s="16"/>
      <c r="M650" s="147"/>
      <c r="N650" s="16"/>
      <c r="O650" s="147"/>
      <c r="P650" s="16"/>
      <c r="Q650" s="147"/>
      <c r="R650" s="16"/>
      <c r="S650" s="147"/>
      <c r="T650" s="79"/>
      <c r="U650" s="36"/>
      <c r="V650" s="148"/>
      <c r="W650" s="84"/>
      <c r="X650" s="16"/>
    </row>
    <row r="651" spans="8:24" ht="20" customHeight="1" x14ac:dyDescent="0.25">
      <c r="H651" s="147"/>
      <c r="I651" s="16"/>
      <c r="J651" s="16"/>
      <c r="K651" s="16"/>
      <c r="L651" s="16"/>
      <c r="M651" s="147"/>
      <c r="N651" s="16"/>
      <c r="O651" s="147"/>
      <c r="P651" s="16"/>
      <c r="Q651" s="147"/>
      <c r="R651" s="16"/>
      <c r="S651" s="147"/>
      <c r="T651" s="79"/>
      <c r="U651" s="36"/>
      <c r="V651" s="148"/>
      <c r="W651" s="84"/>
      <c r="X651" s="16"/>
    </row>
    <row r="652" spans="8:24" ht="20" customHeight="1" x14ac:dyDescent="0.25">
      <c r="H652" s="147"/>
      <c r="I652" s="16"/>
      <c r="J652" s="16"/>
      <c r="K652" s="16"/>
      <c r="L652" s="16"/>
      <c r="M652" s="147"/>
      <c r="N652" s="16"/>
      <c r="O652" s="147"/>
      <c r="P652" s="16"/>
      <c r="Q652" s="147"/>
      <c r="R652" s="16"/>
      <c r="S652" s="147"/>
      <c r="T652" s="79"/>
      <c r="U652" s="36"/>
      <c r="V652" s="148"/>
      <c r="W652" s="84"/>
      <c r="X652" s="16"/>
    </row>
    <row r="653" spans="8:24" ht="20" customHeight="1" x14ac:dyDescent="0.25">
      <c r="H653" s="147"/>
      <c r="I653" s="16"/>
      <c r="J653" s="16"/>
      <c r="K653" s="16"/>
      <c r="L653" s="16"/>
      <c r="M653" s="147"/>
      <c r="N653" s="16"/>
      <c r="O653" s="147"/>
      <c r="P653" s="16"/>
      <c r="Q653" s="147"/>
      <c r="R653" s="16"/>
      <c r="S653" s="147"/>
      <c r="T653" s="79"/>
      <c r="U653" s="36"/>
      <c r="V653" s="148"/>
      <c r="W653" s="84"/>
      <c r="X653" s="16"/>
    </row>
    <row r="654" spans="8:24" ht="20" customHeight="1" x14ac:dyDescent="0.25">
      <c r="H654" s="147"/>
      <c r="I654" s="16"/>
      <c r="J654" s="16"/>
      <c r="K654" s="16"/>
      <c r="L654" s="16"/>
      <c r="M654" s="147"/>
      <c r="N654" s="16"/>
      <c r="O654" s="147"/>
      <c r="P654" s="16"/>
      <c r="Q654" s="147"/>
      <c r="R654" s="16"/>
      <c r="S654" s="147"/>
      <c r="T654" s="79"/>
      <c r="U654" s="36"/>
      <c r="V654" s="148"/>
      <c r="W654" s="84"/>
      <c r="X654" s="16"/>
    </row>
    <row r="655" spans="8:24" ht="20" customHeight="1" x14ac:dyDescent="0.25">
      <c r="H655" s="147"/>
      <c r="I655" s="16"/>
      <c r="J655" s="16"/>
      <c r="K655" s="16"/>
      <c r="L655" s="16"/>
      <c r="M655" s="147"/>
      <c r="N655" s="16"/>
      <c r="O655" s="147"/>
      <c r="P655" s="16"/>
      <c r="Q655" s="147"/>
      <c r="R655" s="16"/>
      <c r="S655" s="147"/>
      <c r="T655" s="79"/>
      <c r="U655" s="36"/>
      <c r="V655" s="148"/>
      <c r="W655" s="84"/>
      <c r="X655" s="16"/>
    </row>
    <row r="656" spans="8:24" ht="20" customHeight="1" x14ac:dyDescent="0.25">
      <c r="H656" s="147"/>
      <c r="I656" s="16"/>
      <c r="J656" s="16"/>
      <c r="K656" s="16"/>
      <c r="L656" s="16"/>
      <c r="M656" s="147"/>
      <c r="N656" s="16"/>
      <c r="O656" s="147"/>
      <c r="P656" s="16"/>
      <c r="Q656" s="147"/>
      <c r="R656" s="16"/>
      <c r="S656" s="147"/>
      <c r="T656" s="79"/>
      <c r="U656" s="36"/>
      <c r="V656" s="148"/>
      <c r="W656" s="84"/>
      <c r="X656" s="16"/>
    </row>
    <row r="657" spans="8:24" ht="20" customHeight="1" x14ac:dyDescent="0.25">
      <c r="H657" s="147"/>
      <c r="I657" s="16"/>
      <c r="J657" s="16"/>
      <c r="K657" s="16"/>
      <c r="L657" s="16"/>
      <c r="M657" s="147"/>
      <c r="N657" s="16"/>
      <c r="O657" s="147"/>
      <c r="P657" s="16"/>
      <c r="Q657" s="147"/>
      <c r="R657" s="16"/>
      <c r="S657" s="147"/>
      <c r="T657" s="79"/>
      <c r="U657" s="36"/>
      <c r="V657" s="148"/>
      <c r="W657" s="84"/>
      <c r="X657" s="16"/>
    </row>
    <row r="658" spans="8:24" ht="20" customHeight="1" x14ac:dyDescent="0.25">
      <c r="H658" s="147"/>
      <c r="I658" s="16"/>
      <c r="J658" s="16"/>
      <c r="K658" s="16"/>
      <c r="L658" s="16"/>
      <c r="M658" s="147"/>
      <c r="N658" s="16"/>
      <c r="O658" s="147"/>
      <c r="P658" s="16"/>
      <c r="Q658" s="147"/>
      <c r="R658" s="16"/>
      <c r="S658" s="147"/>
      <c r="T658" s="79"/>
      <c r="U658" s="36"/>
      <c r="V658" s="148"/>
      <c r="W658" s="84"/>
      <c r="X658" s="16"/>
    </row>
    <row r="659" spans="8:24" ht="20" customHeight="1" x14ac:dyDescent="0.25">
      <c r="H659" s="147"/>
      <c r="I659" s="16"/>
      <c r="J659" s="16"/>
      <c r="K659" s="16"/>
      <c r="L659" s="16"/>
      <c r="M659" s="147"/>
      <c r="N659" s="16"/>
      <c r="O659" s="147"/>
      <c r="P659" s="16"/>
      <c r="Q659" s="147"/>
      <c r="R659" s="16"/>
      <c r="S659" s="147"/>
      <c r="T659" s="79"/>
      <c r="U659" s="36"/>
      <c r="V659" s="148"/>
      <c r="W659" s="84"/>
      <c r="X659" s="16"/>
    </row>
    <row r="660" spans="8:24" ht="20" customHeight="1" x14ac:dyDescent="0.25">
      <c r="H660" s="147"/>
      <c r="I660" s="16"/>
      <c r="J660" s="16"/>
      <c r="K660" s="16"/>
      <c r="L660" s="16"/>
      <c r="M660" s="147"/>
      <c r="N660" s="16"/>
      <c r="O660" s="147"/>
      <c r="P660" s="16"/>
      <c r="Q660" s="147"/>
      <c r="R660" s="16"/>
      <c r="S660" s="147"/>
      <c r="T660" s="79"/>
      <c r="U660" s="36"/>
      <c r="V660" s="148"/>
      <c r="W660" s="84"/>
      <c r="X660" s="16"/>
    </row>
    <row r="661" spans="8:24" ht="20" customHeight="1" x14ac:dyDescent="0.25">
      <c r="H661" s="147"/>
      <c r="I661" s="16"/>
      <c r="J661" s="16"/>
      <c r="K661" s="16"/>
      <c r="L661" s="16"/>
      <c r="M661" s="147"/>
      <c r="N661" s="16"/>
      <c r="O661" s="147"/>
      <c r="P661" s="16"/>
      <c r="Q661" s="147"/>
      <c r="R661" s="16"/>
      <c r="S661" s="147"/>
      <c r="T661" s="79"/>
      <c r="U661" s="36"/>
      <c r="V661" s="148"/>
      <c r="W661" s="84"/>
      <c r="X661" s="16"/>
    </row>
    <row r="662" spans="8:24" ht="20" customHeight="1" x14ac:dyDescent="0.25">
      <c r="H662" s="147"/>
      <c r="I662" s="16"/>
      <c r="J662" s="16"/>
      <c r="K662" s="16"/>
      <c r="L662" s="16"/>
      <c r="M662" s="147"/>
      <c r="N662" s="16"/>
      <c r="O662" s="147"/>
      <c r="P662" s="16"/>
      <c r="Q662" s="147"/>
      <c r="R662" s="16"/>
      <c r="S662" s="147"/>
      <c r="T662" s="79"/>
      <c r="U662" s="36"/>
      <c r="V662" s="148"/>
      <c r="W662" s="84"/>
      <c r="X662" s="16"/>
    </row>
    <row r="663" spans="8:24" ht="20" customHeight="1" x14ac:dyDescent="0.25">
      <c r="H663" s="147"/>
      <c r="I663" s="16"/>
      <c r="J663" s="16"/>
      <c r="K663" s="16"/>
      <c r="L663" s="16"/>
      <c r="M663" s="147"/>
      <c r="N663" s="16"/>
      <c r="O663" s="147"/>
      <c r="P663" s="16"/>
      <c r="Q663" s="147"/>
      <c r="R663" s="16"/>
      <c r="S663" s="147"/>
      <c r="T663" s="79"/>
      <c r="U663" s="36"/>
      <c r="V663" s="148"/>
      <c r="W663" s="84"/>
      <c r="X663" s="16"/>
    </row>
    <row r="664" spans="8:24" ht="20" customHeight="1" x14ac:dyDescent="0.25">
      <c r="H664" s="147"/>
      <c r="I664" s="16"/>
      <c r="J664" s="16"/>
      <c r="K664" s="16"/>
      <c r="L664" s="16"/>
      <c r="M664" s="147"/>
      <c r="N664" s="16"/>
      <c r="O664" s="147"/>
      <c r="P664" s="16"/>
      <c r="Q664" s="147"/>
      <c r="R664" s="16"/>
      <c r="S664" s="147"/>
      <c r="T664" s="79"/>
      <c r="U664" s="36"/>
      <c r="V664" s="148"/>
      <c r="W664" s="84"/>
      <c r="X664" s="16"/>
    </row>
    <row r="665" spans="8:24" ht="20" customHeight="1" x14ac:dyDescent="0.25">
      <c r="H665" s="147"/>
      <c r="I665" s="16"/>
      <c r="J665" s="16"/>
      <c r="K665" s="16"/>
      <c r="L665" s="16"/>
      <c r="M665" s="147"/>
      <c r="N665" s="16"/>
      <c r="O665" s="147"/>
      <c r="P665" s="16"/>
      <c r="Q665" s="147"/>
      <c r="R665" s="16"/>
      <c r="S665" s="147"/>
      <c r="T665" s="79"/>
      <c r="U665" s="36"/>
      <c r="V665" s="148"/>
      <c r="W665" s="84"/>
      <c r="X665" s="16"/>
    </row>
    <row r="666" spans="8:24" ht="20" customHeight="1" x14ac:dyDescent="0.25">
      <c r="H666" s="147"/>
      <c r="I666" s="16"/>
      <c r="J666" s="16"/>
      <c r="K666" s="16"/>
      <c r="L666" s="16"/>
      <c r="M666" s="147"/>
      <c r="N666" s="16"/>
      <c r="O666" s="147"/>
      <c r="P666" s="16"/>
      <c r="Q666" s="147"/>
      <c r="R666" s="16"/>
      <c r="S666" s="147"/>
      <c r="T666" s="79"/>
      <c r="U666" s="36"/>
      <c r="V666" s="148"/>
      <c r="W666" s="84"/>
      <c r="X666" s="16"/>
    </row>
    <row r="667" spans="8:24" ht="20" customHeight="1" x14ac:dyDescent="0.25">
      <c r="H667" s="147"/>
      <c r="I667" s="16"/>
      <c r="J667" s="16"/>
      <c r="K667" s="16"/>
      <c r="L667" s="16"/>
      <c r="M667" s="147"/>
      <c r="N667" s="16"/>
      <c r="O667" s="147"/>
      <c r="P667" s="16"/>
      <c r="Q667" s="147"/>
      <c r="R667" s="16"/>
      <c r="S667" s="147"/>
      <c r="T667" s="79"/>
      <c r="U667" s="36"/>
      <c r="V667" s="148"/>
      <c r="W667" s="84"/>
      <c r="X667" s="16"/>
    </row>
    <row r="668" spans="8:24" ht="20" customHeight="1" x14ac:dyDescent="0.25">
      <c r="H668" s="147"/>
      <c r="I668" s="16"/>
      <c r="J668" s="16"/>
      <c r="K668" s="16"/>
      <c r="L668" s="16"/>
      <c r="M668" s="147"/>
      <c r="N668" s="16"/>
      <c r="O668" s="147"/>
      <c r="P668" s="16"/>
      <c r="Q668" s="147"/>
      <c r="R668" s="16"/>
      <c r="S668" s="147"/>
      <c r="T668" s="79"/>
      <c r="U668" s="36"/>
      <c r="V668" s="148"/>
      <c r="W668" s="84"/>
      <c r="X668" s="16"/>
    </row>
    <row r="669" spans="8:24" ht="20" customHeight="1" x14ac:dyDescent="0.25">
      <c r="H669" s="147"/>
      <c r="I669" s="16"/>
      <c r="J669" s="16"/>
      <c r="K669" s="16"/>
      <c r="L669" s="16"/>
      <c r="M669" s="147"/>
      <c r="N669" s="16"/>
      <c r="O669" s="147"/>
      <c r="P669" s="16"/>
      <c r="Q669" s="147"/>
      <c r="R669" s="16"/>
      <c r="S669" s="147"/>
      <c r="T669" s="79"/>
      <c r="U669" s="36"/>
      <c r="V669" s="148"/>
      <c r="W669" s="84"/>
      <c r="X669" s="16"/>
    </row>
    <row r="670" spans="8:24" ht="20" customHeight="1" x14ac:dyDescent="0.25">
      <c r="H670" s="147"/>
      <c r="I670" s="16"/>
      <c r="J670" s="16"/>
      <c r="K670" s="16"/>
      <c r="L670" s="16"/>
      <c r="M670" s="147"/>
      <c r="N670" s="16"/>
      <c r="O670" s="147"/>
      <c r="P670" s="16"/>
      <c r="Q670" s="147"/>
      <c r="R670" s="16"/>
      <c r="S670" s="147"/>
      <c r="T670" s="79"/>
      <c r="U670" s="36"/>
      <c r="V670" s="148"/>
      <c r="W670" s="84"/>
      <c r="X670" s="16"/>
    </row>
    <row r="671" spans="8:24" ht="20" customHeight="1" x14ac:dyDescent="0.25">
      <c r="H671" s="147"/>
      <c r="I671" s="16"/>
      <c r="J671" s="16"/>
      <c r="K671" s="16"/>
      <c r="L671" s="16"/>
      <c r="M671" s="147"/>
      <c r="N671" s="16"/>
      <c r="O671" s="147"/>
      <c r="P671" s="16"/>
      <c r="Q671" s="147"/>
      <c r="R671" s="16"/>
      <c r="S671" s="147"/>
      <c r="T671" s="79"/>
      <c r="U671" s="36"/>
      <c r="V671" s="148"/>
      <c r="W671" s="84"/>
      <c r="X671" s="16"/>
    </row>
    <row r="672" spans="8:24" ht="20" customHeight="1" x14ac:dyDescent="0.25">
      <c r="H672" s="147"/>
      <c r="I672" s="16"/>
      <c r="J672" s="16"/>
      <c r="K672" s="16"/>
      <c r="L672" s="16"/>
      <c r="M672" s="147"/>
      <c r="N672" s="16"/>
      <c r="O672" s="147"/>
      <c r="P672" s="16"/>
      <c r="Q672" s="147"/>
      <c r="R672" s="16"/>
      <c r="S672" s="147"/>
      <c r="T672" s="79"/>
      <c r="U672" s="36"/>
      <c r="V672" s="148"/>
      <c r="W672" s="84"/>
      <c r="X672" s="16"/>
    </row>
    <row r="673" spans="8:24" ht="20" customHeight="1" x14ac:dyDescent="0.25">
      <c r="H673" s="147"/>
      <c r="I673" s="16"/>
      <c r="J673" s="16"/>
      <c r="K673" s="16"/>
      <c r="L673" s="16"/>
      <c r="M673" s="147"/>
      <c r="N673" s="16"/>
      <c r="O673" s="147"/>
      <c r="P673" s="16"/>
      <c r="Q673" s="147"/>
      <c r="R673" s="16"/>
      <c r="S673" s="147"/>
      <c r="T673" s="79"/>
      <c r="U673" s="36"/>
      <c r="V673" s="148"/>
      <c r="W673" s="84"/>
      <c r="X673" s="16"/>
    </row>
    <row r="674" spans="8:24" ht="20" customHeight="1" x14ac:dyDescent="0.25">
      <c r="H674" s="147"/>
      <c r="I674" s="16"/>
      <c r="J674" s="16"/>
      <c r="K674" s="16"/>
      <c r="L674" s="16"/>
      <c r="M674" s="147"/>
      <c r="N674" s="16"/>
      <c r="O674" s="147"/>
      <c r="P674" s="16"/>
      <c r="Q674" s="147"/>
      <c r="R674" s="16"/>
      <c r="S674" s="147"/>
      <c r="T674" s="79"/>
      <c r="U674" s="36"/>
      <c r="V674" s="148"/>
      <c r="W674" s="84"/>
      <c r="X674" s="16"/>
    </row>
    <row r="675" spans="8:24" ht="20" customHeight="1" x14ac:dyDescent="0.25">
      <c r="H675" s="147"/>
      <c r="I675" s="16"/>
      <c r="J675" s="16"/>
      <c r="K675" s="16"/>
      <c r="L675" s="16"/>
      <c r="M675" s="147"/>
      <c r="N675" s="16"/>
      <c r="O675" s="147"/>
      <c r="P675" s="16"/>
      <c r="Q675" s="147"/>
      <c r="R675" s="16"/>
      <c r="S675" s="147"/>
      <c r="T675" s="79"/>
      <c r="U675" s="36"/>
      <c r="V675" s="148"/>
      <c r="W675" s="84"/>
      <c r="X675" s="16"/>
    </row>
    <row r="676" spans="8:24" ht="20" customHeight="1" x14ac:dyDescent="0.25">
      <c r="H676" s="147"/>
      <c r="I676" s="16"/>
      <c r="J676" s="16"/>
      <c r="K676" s="16"/>
      <c r="L676" s="16"/>
      <c r="M676" s="147"/>
      <c r="N676" s="16"/>
      <c r="O676" s="147"/>
      <c r="P676" s="16"/>
      <c r="Q676" s="147"/>
      <c r="R676" s="16"/>
      <c r="S676" s="147"/>
      <c r="T676" s="79"/>
      <c r="U676" s="36"/>
      <c r="V676" s="148"/>
      <c r="W676" s="84"/>
      <c r="X676" s="16"/>
    </row>
    <row r="677" spans="8:24" ht="20" customHeight="1" x14ac:dyDescent="0.25">
      <c r="H677" s="147"/>
      <c r="I677" s="16"/>
      <c r="J677" s="16"/>
      <c r="K677" s="16"/>
      <c r="L677" s="16"/>
      <c r="M677" s="147"/>
      <c r="N677" s="16"/>
      <c r="O677" s="147"/>
      <c r="P677" s="16"/>
      <c r="Q677" s="147"/>
      <c r="R677" s="16"/>
      <c r="S677" s="147"/>
      <c r="T677" s="79"/>
      <c r="U677" s="36"/>
      <c r="V677" s="148"/>
      <c r="W677" s="84"/>
      <c r="X677" s="16"/>
    </row>
    <row r="678" spans="8:24" ht="20" customHeight="1" x14ac:dyDescent="0.25">
      <c r="H678" s="147"/>
      <c r="I678" s="16"/>
      <c r="J678" s="16"/>
      <c r="K678" s="16"/>
      <c r="L678" s="16"/>
      <c r="M678" s="147"/>
      <c r="N678" s="16"/>
      <c r="O678" s="147"/>
      <c r="P678" s="16"/>
      <c r="Q678" s="147"/>
      <c r="R678" s="16"/>
      <c r="S678" s="147"/>
      <c r="T678" s="79"/>
      <c r="U678" s="36"/>
      <c r="V678" s="148"/>
      <c r="W678" s="84"/>
      <c r="X678" s="16"/>
    </row>
    <row r="679" spans="8:24" ht="20" customHeight="1" x14ac:dyDescent="0.25">
      <c r="H679" s="147"/>
      <c r="I679" s="16"/>
      <c r="J679" s="16"/>
      <c r="K679" s="16"/>
      <c r="L679" s="16"/>
      <c r="M679" s="147"/>
      <c r="N679" s="16"/>
      <c r="O679" s="147"/>
      <c r="P679" s="16"/>
      <c r="Q679" s="147"/>
      <c r="R679" s="16"/>
      <c r="S679" s="147"/>
      <c r="T679" s="79"/>
      <c r="U679" s="36"/>
      <c r="V679" s="148"/>
      <c r="W679" s="84"/>
      <c r="X679" s="16"/>
    </row>
    <row r="680" spans="8:24" ht="20" customHeight="1" x14ac:dyDescent="0.25">
      <c r="H680" s="147"/>
      <c r="I680" s="16"/>
      <c r="J680" s="16"/>
      <c r="K680" s="16"/>
      <c r="L680" s="16"/>
      <c r="M680" s="147"/>
      <c r="N680" s="16"/>
      <c r="O680" s="147"/>
      <c r="P680" s="16"/>
      <c r="Q680" s="147"/>
      <c r="R680" s="16"/>
      <c r="S680" s="147"/>
      <c r="T680" s="79"/>
      <c r="U680" s="36"/>
      <c r="V680" s="148"/>
      <c r="W680" s="84"/>
      <c r="X680" s="16"/>
    </row>
    <row r="681" spans="8:24" ht="20" customHeight="1" x14ac:dyDescent="0.25">
      <c r="H681" s="147"/>
      <c r="I681" s="16"/>
      <c r="J681" s="16"/>
      <c r="K681" s="16"/>
      <c r="L681" s="16"/>
      <c r="M681" s="147"/>
      <c r="N681" s="16"/>
      <c r="O681" s="147"/>
      <c r="P681" s="16"/>
      <c r="Q681" s="147"/>
      <c r="R681" s="16"/>
      <c r="S681" s="147"/>
      <c r="T681" s="79"/>
      <c r="U681" s="36"/>
      <c r="V681" s="148"/>
      <c r="W681" s="84"/>
      <c r="X681" s="16"/>
    </row>
    <row r="682" spans="8:24" ht="20" customHeight="1" x14ac:dyDescent="0.25">
      <c r="H682" s="147"/>
      <c r="I682" s="16"/>
      <c r="J682" s="16"/>
      <c r="K682" s="16"/>
      <c r="L682" s="16"/>
      <c r="M682" s="147"/>
      <c r="N682" s="16"/>
      <c r="O682" s="147"/>
      <c r="P682" s="16"/>
      <c r="Q682" s="147"/>
      <c r="R682" s="16"/>
      <c r="S682" s="147"/>
      <c r="T682" s="79"/>
      <c r="U682" s="36"/>
      <c r="V682" s="148"/>
      <c r="W682" s="84"/>
      <c r="X682" s="16"/>
    </row>
    <row r="683" spans="8:24" ht="20" customHeight="1" x14ac:dyDescent="0.25">
      <c r="H683" s="147"/>
      <c r="I683" s="16"/>
      <c r="J683" s="16"/>
      <c r="K683" s="16"/>
      <c r="L683" s="16"/>
      <c r="M683" s="147"/>
      <c r="N683" s="16"/>
      <c r="O683" s="147"/>
      <c r="P683" s="16"/>
      <c r="Q683" s="147"/>
      <c r="R683" s="16"/>
      <c r="S683" s="147"/>
      <c r="T683" s="79"/>
      <c r="U683" s="36"/>
      <c r="V683" s="148"/>
      <c r="W683" s="84"/>
      <c r="X683" s="16"/>
    </row>
    <row r="684" spans="8:24" ht="20" customHeight="1" x14ac:dyDescent="0.25">
      <c r="H684" s="147"/>
      <c r="I684" s="16"/>
      <c r="J684" s="16"/>
      <c r="K684" s="16"/>
      <c r="L684" s="16"/>
      <c r="M684" s="147"/>
      <c r="N684" s="16"/>
      <c r="O684" s="147"/>
      <c r="P684" s="16"/>
      <c r="Q684" s="147"/>
      <c r="R684" s="16"/>
      <c r="S684" s="147"/>
      <c r="T684" s="79"/>
      <c r="U684" s="36"/>
      <c r="V684" s="148"/>
      <c r="W684" s="84"/>
      <c r="X684" s="16"/>
    </row>
    <row r="685" spans="8:24" ht="20" customHeight="1" x14ac:dyDescent="0.25">
      <c r="H685" s="147"/>
      <c r="I685" s="16"/>
      <c r="J685" s="16"/>
      <c r="K685" s="16"/>
      <c r="L685" s="16"/>
      <c r="M685" s="147"/>
      <c r="N685" s="16"/>
      <c r="O685" s="147"/>
      <c r="P685" s="16"/>
      <c r="Q685" s="147"/>
      <c r="R685" s="16"/>
      <c r="S685" s="147"/>
      <c r="T685" s="79"/>
      <c r="U685" s="36"/>
      <c r="V685" s="148"/>
      <c r="W685" s="84"/>
      <c r="X685" s="16"/>
    </row>
    <row r="686" spans="8:24" ht="20" customHeight="1" x14ac:dyDescent="0.25">
      <c r="H686" s="147"/>
      <c r="I686" s="16"/>
      <c r="J686" s="16"/>
      <c r="K686" s="16"/>
      <c r="L686" s="16"/>
      <c r="M686" s="147"/>
      <c r="N686" s="16"/>
      <c r="O686" s="147"/>
      <c r="P686" s="16"/>
      <c r="Q686" s="147"/>
      <c r="R686" s="16"/>
      <c r="S686" s="147"/>
      <c r="T686" s="79"/>
      <c r="U686" s="36"/>
      <c r="V686" s="148"/>
      <c r="W686" s="84"/>
      <c r="X686" s="16"/>
    </row>
    <row r="687" spans="8:24" ht="20" customHeight="1" x14ac:dyDescent="0.25">
      <c r="H687" s="147"/>
      <c r="I687" s="16"/>
      <c r="J687" s="16"/>
      <c r="K687" s="16"/>
      <c r="L687" s="16"/>
      <c r="M687" s="147"/>
      <c r="N687" s="16"/>
      <c r="O687" s="147"/>
      <c r="P687" s="16"/>
      <c r="Q687" s="147"/>
      <c r="R687" s="16"/>
      <c r="S687" s="147"/>
      <c r="T687" s="79"/>
      <c r="U687" s="36"/>
      <c r="V687" s="148"/>
      <c r="W687" s="84"/>
      <c r="X687" s="16"/>
    </row>
    <row r="688" spans="8:24" ht="20" customHeight="1" x14ac:dyDescent="0.25">
      <c r="H688" s="147"/>
      <c r="I688" s="16"/>
      <c r="J688" s="16"/>
      <c r="K688" s="16"/>
      <c r="L688" s="16"/>
      <c r="M688" s="147"/>
      <c r="N688" s="16"/>
      <c r="O688" s="147"/>
      <c r="P688" s="16"/>
      <c r="Q688" s="147"/>
      <c r="R688" s="16"/>
      <c r="S688" s="147"/>
      <c r="T688" s="79"/>
      <c r="U688" s="36"/>
      <c r="V688" s="148"/>
      <c r="W688" s="84"/>
      <c r="X688" s="16"/>
    </row>
    <row r="689" spans="8:24" ht="20" customHeight="1" x14ac:dyDescent="0.25">
      <c r="H689" s="147"/>
      <c r="I689" s="16"/>
      <c r="J689" s="16"/>
      <c r="K689" s="16"/>
      <c r="L689" s="16"/>
      <c r="M689" s="147"/>
      <c r="N689" s="16"/>
      <c r="O689" s="147"/>
      <c r="P689" s="16"/>
      <c r="Q689" s="147"/>
      <c r="R689" s="16"/>
      <c r="S689" s="147"/>
      <c r="T689" s="79"/>
      <c r="U689" s="36"/>
      <c r="V689" s="148"/>
      <c r="W689" s="84"/>
      <c r="X689" s="16"/>
    </row>
    <row r="690" spans="8:24" ht="20" customHeight="1" x14ac:dyDescent="0.25">
      <c r="H690" s="147"/>
      <c r="I690" s="16"/>
      <c r="J690" s="16"/>
      <c r="K690" s="16"/>
      <c r="L690" s="16"/>
      <c r="M690" s="147"/>
      <c r="N690" s="16"/>
      <c r="O690" s="147"/>
      <c r="P690" s="16"/>
      <c r="Q690" s="147"/>
      <c r="R690" s="16"/>
      <c r="S690" s="147"/>
      <c r="T690" s="79"/>
      <c r="U690" s="36"/>
      <c r="V690" s="148"/>
      <c r="W690" s="84"/>
      <c r="X690" s="16"/>
    </row>
    <row r="691" spans="8:24" ht="20" customHeight="1" x14ac:dyDescent="0.25">
      <c r="H691" s="147"/>
      <c r="I691" s="16"/>
      <c r="J691" s="16"/>
      <c r="K691" s="16"/>
      <c r="L691" s="16"/>
      <c r="M691" s="147"/>
      <c r="N691" s="16"/>
      <c r="O691" s="147"/>
      <c r="P691" s="16"/>
      <c r="Q691" s="147"/>
      <c r="R691" s="16"/>
      <c r="S691" s="147"/>
      <c r="T691" s="79"/>
      <c r="U691" s="36"/>
      <c r="V691" s="148"/>
      <c r="W691" s="84"/>
      <c r="X691" s="16"/>
    </row>
    <row r="692" spans="8:24" ht="20" customHeight="1" x14ac:dyDescent="0.25">
      <c r="H692" s="147"/>
      <c r="I692" s="16"/>
      <c r="J692" s="16"/>
      <c r="K692" s="16"/>
      <c r="L692" s="16"/>
      <c r="M692" s="147"/>
      <c r="N692" s="16"/>
      <c r="O692" s="147"/>
      <c r="P692" s="16"/>
      <c r="Q692" s="147"/>
      <c r="R692" s="16"/>
      <c r="S692" s="147"/>
      <c r="T692" s="79"/>
      <c r="U692" s="36"/>
      <c r="V692" s="148"/>
      <c r="W692" s="84"/>
      <c r="X692" s="16"/>
    </row>
    <row r="693" spans="8:24" ht="20" customHeight="1" x14ac:dyDescent="0.25">
      <c r="H693" s="147"/>
      <c r="I693" s="16"/>
      <c r="J693" s="16"/>
      <c r="K693" s="16"/>
      <c r="L693" s="16"/>
      <c r="M693" s="147"/>
      <c r="N693" s="16"/>
      <c r="O693" s="147"/>
      <c r="P693" s="16"/>
      <c r="Q693" s="147"/>
      <c r="R693" s="16"/>
      <c r="S693" s="147"/>
      <c r="T693" s="79"/>
      <c r="U693" s="36"/>
      <c r="V693" s="148"/>
      <c r="W693" s="84"/>
      <c r="X693" s="16"/>
    </row>
    <row r="694" spans="8:24" ht="20" customHeight="1" x14ac:dyDescent="0.25">
      <c r="H694" s="147"/>
      <c r="I694" s="16"/>
      <c r="J694" s="16"/>
      <c r="K694" s="16"/>
      <c r="L694" s="16"/>
      <c r="M694" s="147"/>
      <c r="N694" s="16"/>
      <c r="O694" s="147"/>
      <c r="P694" s="16"/>
      <c r="Q694" s="147"/>
      <c r="R694" s="16"/>
      <c r="S694" s="147"/>
      <c r="T694" s="79"/>
      <c r="U694" s="36"/>
      <c r="V694" s="148"/>
      <c r="W694" s="84"/>
      <c r="X694" s="16"/>
    </row>
    <row r="695" spans="8:24" ht="20" customHeight="1" x14ac:dyDescent="0.25">
      <c r="H695" s="147"/>
      <c r="I695" s="16"/>
      <c r="J695" s="16"/>
      <c r="K695" s="16"/>
      <c r="L695" s="16"/>
      <c r="M695" s="147"/>
      <c r="N695" s="16"/>
      <c r="O695" s="147"/>
      <c r="P695" s="16"/>
      <c r="Q695" s="147"/>
      <c r="R695" s="16"/>
      <c r="S695" s="147"/>
      <c r="T695" s="79"/>
      <c r="U695" s="36"/>
      <c r="V695" s="148"/>
      <c r="W695" s="84"/>
      <c r="X695" s="16"/>
    </row>
    <row r="696" spans="8:24" ht="20" customHeight="1" x14ac:dyDescent="0.25">
      <c r="H696" s="147"/>
      <c r="I696" s="16"/>
      <c r="J696" s="16"/>
      <c r="K696" s="16"/>
      <c r="L696" s="16"/>
      <c r="M696" s="147"/>
      <c r="N696" s="16"/>
      <c r="O696" s="147"/>
      <c r="P696" s="16"/>
      <c r="Q696" s="147"/>
      <c r="R696" s="16"/>
      <c r="S696" s="147"/>
      <c r="T696" s="79"/>
      <c r="U696" s="36"/>
      <c r="V696" s="148"/>
      <c r="W696" s="84"/>
      <c r="X696" s="16"/>
    </row>
    <row r="697" spans="8:24" ht="20" customHeight="1" x14ac:dyDescent="0.25">
      <c r="H697" s="147"/>
      <c r="I697" s="16"/>
      <c r="J697" s="16"/>
      <c r="K697" s="16"/>
      <c r="L697" s="16"/>
      <c r="M697" s="147"/>
      <c r="N697" s="16"/>
      <c r="O697" s="147"/>
      <c r="P697" s="16"/>
      <c r="Q697" s="147"/>
      <c r="R697" s="16"/>
      <c r="S697" s="147"/>
      <c r="T697" s="79"/>
      <c r="U697" s="36"/>
      <c r="V697" s="148"/>
      <c r="W697" s="84"/>
      <c r="X697" s="16"/>
    </row>
    <row r="698" spans="8:24" ht="20" customHeight="1" x14ac:dyDescent="0.25">
      <c r="H698" s="147"/>
      <c r="I698" s="16"/>
      <c r="J698" s="16"/>
      <c r="K698" s="16"/>
      <c r="L698" s="16"/>
      <c r="M698" s="147"/>
      <c r="N698" s="16"/>
      <c r="O698" s="147"/>
      <c r="P698" s="16"/>
      <c r="Q698" s="147"/>
      <c r="R698" s="16"/>
      <c r="S698" s="147"/>
      <c r="T698" s="79"/>
      <c r="U698" s="36"/>
      <c r="V698" s="148"/>
      <c r="W698" s="84"/>
      <c r="X698" s="16"/>
    </row>
    <row r="699" spans="8:24" ht="20" customHeight="1" x14ac:dyDescent="0.25">
      <c r="H699" s="147"/>
      <c r="I699" s="16"/>
      <c r="J699" s="16"/>
      <c r="K699" s="16"/>
      <c r="L699" s="16"/>
      <c r="M699" s="147"/>
      <c r="N699" s="16"/>
      <c r="O699" s="147"/>
      <c r="P699" s="16"/>
      <c r="Q699" s="147"/>
      <c r="R699" s="16"/>
      <c r="S699" s="147"/>
      <c r="T699" s="79"/>
      <c r="U699" s="36"/>
      <c r="V699" s="148"/>
      <c r="W699" s="84"/>
      <c r="X699" s="16"/>
    </row>
    <row r="700" spans="8:24" ht="20" customHeight="1" x14ac:dyDescent="0.25">
      <c r="H700" s="147"/>
      <c r="I700" s="16"/>
      <c r="J700" s="16"/>
      <c r="K700" s="16"/>
      <c r="L700" s="16"/>
      <c r="M700" s="147"/>
      <c r="N700" s="16"/>
      <c r="O700" s="147"/>
      <c r="P700" s="16"/>
      <c r="Q700" s="147"/>
      <c r="R700" s="16"/>
      <c r="S700" s="147"/>
      <c r="T700" s="79"/>
      <c r="U700" s="36"/>
      <c r="V700" s="148"/>
      <c r="W700" s="84"/>
      <c r="X700" s="16"/>
    </row>
    <row r="701" spans="8:24" ht="20" customHeight="1" x14ac:dyDescent="0.25">
      <c r="H701" s="147"/>
      <c r="I701" s="16"/>
      <c r="J701" s="16"/>
      <c r="K701" s="16"/>
      <c r="L701" s="16"/>
      <c r="M701" s="147"/>
      <c r="N701" s="16"/>
      <c r="O701" s="147"/>
      <c r="P701" s="16"/>
      <c r="Q701" s="147"/>
      <c r="R701" s="16"/>
      <c r="S701" s="147"/>
      <c r="T701" s="79"/>
      <c r="U701" s="36"/>
      <c r="V701" s="148"/>
      <c r="W701" s="84"/>
      <c r="X701" s="16"/>
    </row>
    <row r="702" spans="8:24" ht="20" customHeight="1" x14ac:dyDescent="0.25">
      <c r="H702" s="147"/>
      <c r="I702" s="16"/>
      <c r="J702" s="16"/>
      <c r="K702" s="16"/>
      <c r="L702" s="16"/>
      <c r="M702" s="147"/>
      <c r="N702" s="16"/>
      <c r="O702" s="147"/>
      <c r="P702" s="16"/>
      <c r="Q702" s="147"/>
      <c r="R702" s="16"/>
      <c r="S702" s="147"/>
      <c r="T702" s="79"/>
      <c r="U702" s="36"/>
      <c r="V702" s="148"/>
      <c r="W702" s="84"/>
      <c r="X702" s="16"/>
    </row>
    <row r="703" spans="8:24" ht="20" customHeight="1" x14ac:dyDescent="0.25">
      <c r="H703" s="147"/>
      <c r="I703" s="16"/>
      <c r="J703" s="16"/>
      <c r="K703" s="16"/>
      <c r="L703" s="16"/>
      <c r="M703" s="147"/>
      <c r="N703" s="16"/>
      <c r="O703" s="147"/>
      <c r="P703" s="16"/>
      <c r="Q703" s="147"/>
      <c r="R703" s="16"/>
      <c r="S703" s="147"/>
      <c r="T703" s="79"/>
      <c r="U703" s="36"/>
      <c r="V703" s="148"/>
      <c r="W703" s="84"/>
      <c r="X703" s="16"/>
    </row>
    <row r="704" spans="8:24" ht="20" customHeight="1" x14ac:dyDescent="0.25">
      <c r="H704" s="147"/>
      <c r="I704" s="16"/>
      <c r="J704" s="16"/>
      <c r="K704" s="16"/>
      <c r="L704" s="16"/>
      <c r="M704" s="147"/>
      <c r="N704" s="16"/>
      <c r="O704" s="147"/>
      <c r="P704" s="16"/>
      <c r="Q704" s="147"/>
      <c r="R704" s="16"/>
      <c r="S704" s="147"/>
      <c r="T704" s="79"/>
      <c r="U704" s="36"/>
      <c r="V704" s="148"/>
      <c r="W704" s="84"/>
      <c r="X704" s="16"/>
    </row>
    <row r="705" spans="8:24" ht="20" customHeight="1" x14ac:dyDescent="0.25">
      <c r="H705" s="147"/>
      <c r="I705" s="16"/>
      <c r="J705" s="16"/>
      <c r="K705" s="16"/>
      <c r="L705" s="16"/>
      <c r="M705" s="147"/>
      <c r="N705" s="16"/>
      <c r="O705" s="147"/>
      <c r="P705" s="16"/>
      <c r="Q705" s="147"/>
      <c r="R705" s="16"/>
      <c r="S705" s="147"/>
      <c r="T705" s="79"/>
      <c r="U705" s="36"/>
      <c r="V705" s="148"/>
      <c r="W705" s="84"/>
      <c r="X705" s="16"/>
    </row>
    <row r="706" spans="8:24" ht="20" customHeight="1" x14ac:dyDescent="0.25">
      <c r="H706" s="147"/>
      <c r="I706" s="16"/>
      <c r="J706" s="16"/>
      <c r="K706" s="16"/>
      <c r="L706" s="16"/>
      <c r="M706" s="147"/>
      <c r="N706" s="16"/>
      <c r="O706" s="147"/>
      <c r="P706" s="16"/>
      <c r="Q706" s="147"/>
      <c r="R706" s="16"/>
      <c r="S706" s="147"/>
      <c r="T706" s="79"/>
      <c r="U706" s="36"/>
      <c r="V706" s="148"/>
      <c r="W706" s="84"/>
      <c r="X706" s="16"/>
    </row>
    <row r="707" spans="8:24" ht="20" customHeight="1" x14ac:dyDescent="0.25">
      <c r="H707" s="147"/>
      <c r="I707" s="16"/>
      <c r="J707" s="16"/>
      <c r="K707" s="16"/>
      <c r="L707" s="16"/>
      <c r="M707" s="147"/>
      <c r="N707" s="16"/>
      <c r="O707" s="147"/>
      <c r="P707" s="16"/>
      <c r="Q707" s="147"/>
      <c r="R707" s="16"/>
      <c r="S707" s="147"/>
      <c r="T707" s="79"/>
      <c r="U707" s="36"/>
      <c r="V707" s="148"/>
      <c r="W707" s="84"/>
      <c r="X707" s="16"/>
    </row>
    <row r="708" spans="8:24" ht="20" customHeight="1" x14ac:dyDescent="0.25">
      <c r="H708" s="147"/>
      <c r="I708" s="16"/>
      <c r="J708" s="16"/>
      <c r="K708" s="16"/>
      <c r="L708" s="16"/>
      <c r="M708" s="147"/>
      <c r="N708" s="16"/>
      <c r="O708" s="147"/>
      <c r="P708" s="16"/>
      <c r="Q708" s="147"/>
      <c r="R708" s="16"/>
      <c r="S708" s="147"/>
      <c r="T708" s="79"/>
      <c r="U708" s="36"/>
      <c r="V708" s="148"/>
      <c r="W708" s="84"/>
      <c r="X708" s="16"/>
    </row>
    <row r="709" spans="8:24" ht="20" customHeight="1" x14ac:dyDescent="0.25">
      <c r="H709" s="147"/>
      <c r="I709" s="16"/>
      <c r="J709" s="16"/>
      <c r="K709" s="16"/>
      <c r="L709" s="16"/>
      <c r="M709" s="147"/>
      <c r="N709" s="16"/>
      <c r="O709" s="147"/>
      <c r="P709" s="16"/>
      <c r="Q709" s="147"/>
      <c r="R709" s="16"/>
      <c r="S709" s="147"/>
      <c r="T709" s="79"/>
      <c r="U709" s="36"/>
      <c r="V709" s="148"/>
      <c r="W709" s="84"/>
      <c r="X709" s="16"/>
    </row>
    <row r="710" spans="8:24" ht="20" customHeight="1" x14ac:dyDescent="0.25">
      <c r="H710" s="147"/>
      <c r="I710" s="16"/>
      <c r="J710" s="16"/>
      <c r="K710" s="16"/>
      <c r="L710" s="16"/>
      <c r="M710" s="147"/>
      <c r="N710" s="16"/>
      <c r="O710" s="147"/>
      <c r="P710" s="16"/>
      <c r="Q710" s="147"/>
      <c r="R710" s="16"/>
      <c r="S710" s="147"/>
      <c r="T710" s="79"/>
      <c r="U710" s="36"/>
      <c r="V710" s="148"/>
      <c r="W710" s="84"/>
      <c r="X710" s="16"/>
    </row>
    <row r="711" spans="8:24" ht="20" customHeight="1" x14ac:dyDescent="0.25">
      <c r="H711" s="147"/>
      <c r="I711" s="16"/>
      <c r="J711" s="16"/>
      <c r="K711" s="16"/>
      <c r="L711" s="16"/>
      <c r="M711" s="147"/>
      <c r="N711" s="16"/>
      <c r="O711" s="147"/>
      <c r="P711" s="16"/>
      <c r="Q711" s="147"/>
      <c r="R711" s="16"/>
      <c r="S711" s="147"/>
      <c r="T711" s="79"/>
      <c r="U711" s="36"/>
      <c r="V711" s="148"/>
      <c r="W711" s="84"/>
      <c r="X711" s="16"/>
    </row>
    <row r="712" spans="8:24" ht="20" customHeight="1" x14ac:dyDescent="0.25">
      <c r="H712" s="147"/>
      <c r="I712" s="16"/>
      <c r="J712" s="16"/>
      <c r="K712" s="16"/>
      <c r="L712" s="16"/>
      <c r="M712" s="147"/>
      <c r="N712" s="16"/>
      <c r="O712" s="147"/>
      <c r="P712" s="16"/>
      <c r="Q712" s="147"/>
      <c r="R712" s="16"/>
      <c r="S712" s="147"/>
      <c r="T712" s="79"/>
      <c r="U712" s="36"/>
      <c r="V712" s="148"/>
      <c r="W712" s="84"/>
      <c r="X712" s="16"/>
    </row>
    <row r="713" spans="8:24" ht="20" customHeight="1" x14ac:dyDescent="0.25">
      <c r="H713" s="147"/>
      <c r="I713" s="16"/>
      <c r="J713" s="16"/>
      <c r="K713" s="16"/>
      <c r="L713" s="16"/>
      <c r="M713" s="147"/>
      <c r="N713" s="16"/>
      <c r="O713" s="147"/>
      <c r="P713" s="16"/>
      <c r="Q713" s="147"/>
      <c r="R713" s="16"/>
      <c r="S713" s="147"/>
      <c r="T713" s="79"/>
      <c r="U713" s="36"/>
      <c r="V713" s="148"/>
      <c r="W713" s="84"/>
      <c r="X713" s="16"/>
    </row>
    <row r="714" spans="8:24" ht="20" customHeight="1" x14ac:dyDescent="0.25">
      <c r="H714" s="147"/>
      <c r="I714" s="16"/>
      <c r="J714" s="16"/>
      <c r="K714" s="16"/>
      <c r="L714" s="16"/>
      <c r="M714" s="147"/>
      <c r="N714" s="16"/>
      <c r="O714" s="147"/>
      <c r="P714" s="16"/>
      <c r="Q714" s="147"/>
      <c r="R714" s="16"/>
      <c r="S714" s="147"/>
      <c r="T714" s="79"/>
      <c r="U714" s="36"/>
      <c r="V714" s="148"/>
      <c r="W714" s="84"/>
      <c r="X714" s="16"/>
    </row>
    <row r="715" spans="8:24" ht="20" customHeight="1" x14ac:dyDescent="0.25">
      <c r="H715" s="147"/>
      <c r="I715" s="16"/>
      <c r="J715" s="16"/>
      <c r="K715" s="16"/>
      <c r="L715" s="16"/>
      <c r="M715" s="147"/>
      <c r="N715" s="16"/>
      <c r="O715" s="147"/>
      <c r="P715" s="16"/>
      <c r="Q715" s="147"/>
      <c r="R715" s="16"/>
      <c r="S715" s="147"/>
      <c r="T715" s="79"/>
      <c r="U715" s="36"/>
      <c r="V715" s="148"/>
      <c r="W715" s="84"/>
      <c r="X715" s="16"/>
    </row>
    <row r="716" spans="8:24" ht="20" customHeight="1" x14ac:dyDescent="0.25">
      <c r="H716" s="147"/>
      <c r="I716" s="16"/>
      <c r="J716" s="16"/>
      <c r="K716" s="16"/>
      <c r="L716" s="16"/>
      <c r="M716" s="147"/>
      <c r="N716" s="16"/>
      <c r="O716" s="147"/>
      <c r="P716" s="16"/>
      <c r="Q716" s="147"/>
      <c r="R716" s="16"/>
      <c r="S716" s="147"/>
      <c r="T716" s="79"/>
      <c r="U716" s="36"/>
      <c r="V716" s="148"/>
      <c r="W716" s="84"/>
      <c r="X716" s="16"/>
    </row>
    <row r="717" spans="8:24" ht="20" customHeight="1" x14ac:dyDescent="0.25">
      <c r="H717" s="147"/>
      <c r="I717" s="16"/>
      <c r="J717" s="16"/>
      <c r="K717" s="16"/>
      <c r="L717" s="16"/>
      <c r="M717" s="147"/>
      <c r="N717" s="16"/>
      <c r="O717" s="147"/>
      <c r="P717" s="16"/>
      <c r="Q717" s="147"/>
      <c r="R717" s="16"/>
      <c r="S717" s="147"/>
      <c r="T717" s="79"/>
      <c r="U717" s="36"/>
      <c r="V717" s="148"/>
      <c r="W717" s="84"/>
      <c r="X717" s="16"/>
    </row>
    <row r="718" spans="8:24" ht="20" customHeight="1" x14ac:dyDescent="0.25">
      <c r="H718" s="147"/>
      <c r="I718" s="16"/>
      <c r="J718" s="16"/>
      <c r="K718" s="16"/>
      <c r="L718" s="16"/>
      <c r="M718" s="147"/>
      <c r="N718" s="16"/>
      <c r="O718" s="147"/>
      <c r="P718" s="16"/>
      <c r="Q718" s="147"/>
      <c r="R718" s="16"/>
      <c r="S718" s="147"/>
      <c r="T718" s="79"/>
      <c r="U718" s="36"/>
      <c r="V718" s="148"/>
      <c r="W718" s="84"/>
      <c r="X718" s="16"/>
    </row>
    <row r="719" spans="8:24" ht="20" customHeight="1" x14ac:dyDescent="0.25">
      <c r="H719" s="147"/>
      <c r="I719" s="16"/>
      <c r="J719" s="16"/>
      <c r="K719" s="16"/>
      <c r="L719" s="16"/>
      <c r="M719" s="147"/>
      <c r="N719" s="16"/>
      <c r="O719" s="147"/>
      <c r="P719" s="16"/>
      <c r="Q719" s="147"/>
      <c r="R719" s="16"/>
      <c r="S719" s="147"/>
      <c r="T719" s="79"/>
      <c r="U719" s="36"/>
      <c r="V719" s="148"/>
      <c r="W719" s="84"/>
      <c r="X719" s="16"/>
    </row>
    <row r="720" spans="8:24" ht="20" customHeight="1" x14ac:dyDescent="0.25">
      <c r="H720" s="147"/>
      <c r="I720" s="16"/>
      <c r="J720" s="16"/>
      <c r="K720" s="16"/>
      <c r="L720" s="16"/>
      <c r="M720" s="147"/>
      <c r="N720" s="16"/>
      <c r="O720" s="147"/>
      <c r="P720" s="16"/>
      <c r="Q720" s="147"/>
      <c r="R720" s="16"/>
      <c r="S720" s="147"/>
      <c r="T720" s="79"/>
      <c r="U720" s="36"/>
      <c r="V720" s="148"/>
      <c r="W720" s="84"/>
      <c r="X720" s="16"/>
    </row>
    <row r="721" spans="8:24" ht="20" customHeight="1" x14ac:dyDescent="0.25">
      <c r="H721" s="147"/>
      <c r="I721" s="16"/>
      <c r="J721" s="16"/>
      <c r="K721" s="16"/>
      <c r="L721" s="16"/>
      <c r="M721" s="147"/>
      <c r="N721" s="16"/>
      <c r="O721" s="147"/>
      <c r="P721" s="16"/>
      <c r="Q721" s="147"/>
      <c r="R721" s="16"/>
      <c r="S721" s="147"/>
      <c r="T721" s="79"/>
      <c r="U721" s="36"/>
      <c r="V721" s="148"/>
      <c r="W721" s="84"/>
      <c r="X721" s="16"/>
    </row>
    <row r="722" spans="8:24" ht="20" customHeight="1" x14ac:dyDescent="0.25">
      <c r="H722" s="147"/>
      <c r="I722" s="16"/>
      <c r="J722" s="16"/>
      <c r="K722" s="16"/>
      <c r="L722" s="16"/>
      <c r="M722" s="147"/>
      <c r="N722" s="16"/>
      <c r="O722" s="147"/>
      <c r="P722" s="16"/>
      <c r="Q722" s="147"/>
      <c r="R722" s="16"/>
      <c r="S722" s="147"/>
      <c r="T722" s="79"/>
      <c r="U722" s="36"/>
      <c r="V722" s="148"/>
      <c r="W722" s="84"/>
      <c r="X722" s="16"/>
    </row>
    <row r="723" spans="8:24" ht="20" customHeight="1" x14ac:dyDescent="0.25">
      <c r="H723" s="147"/>
      <c r="I723" s="16"/>
      <c r="J723" s="16"/>
      <c r="K723" s="16"/>
      <c r="L723" s="16"/>
      <c r="M723" s="147"/>
      <c r="N723" s="16"/>
      <c r="O723" s="147"/>
      <c r="P723" s="16"/>
      <c r="Q723" s="147"/>
      <c r="R723" s="16"/>
      <c r="S723" s="147"/>
      <c r="T723" s="79"/>
      <c r="U723" s="36"/>
      <c r="V723" s="148"/>
      <c r="W723" s="84"/>
      <c r="X723" s="16"/>
    </row>
    <row r="724" spans="8:24" ht="20" customHeight="1" x14ac:dyDescent="0.25">
      <c r="H724" s="147"/>
      <c r="I724" s="16"/>
      <c r="J724" s="16"/>
      <c r="K724" s="16"/>
      <c r="L724" s="16"/>
      <c r="M724" s="147"/>
      <c r="N724" s="16"/>
      <c r="O724" s="147"/>
      <c r="P724" s="16"/>
      <c r="Q724" s="147"/>
      <c r="R724" s="16"/>
      <c r="S724" s="147"/>
      <c r="T724" s="79"/>
      <c r="U724" s="36"/>
      <c r="V724" s="148"/>
      <c r="W724" s="84"/>
      <c r="X724" s="16"/>
    </row>
    <row r="725" spans="8:24" ht="20" customHeight="1" x14ac:dyDescent="0.25">
      <c r="H725" s="147"/>
      <c r="I725" s="16"/>
      <c r="J725" s="16"/>
      <c r="K725" s="16"/>
      <c r="L725" s="16"/>
      <c r="M725" s="147"/>
      <c r="N725" s="16"/>
      <c r="O725" s="147"/>
      <c r="P725" s="16"/>
      <c r="Q725" s="147"/>
      <c r="R725" s="16"/>
      <c r="S725" s="147"/>
      <c r="T725" s="79"/>
      <c r="U725" s="36"/>
      <c r="V725" s="148"/>
      <c r="W725" s="84"/>
      <c r="X725" s="16"/>
    </row>
    <row r="726" spans="8:24" ht="20" customHeight="1" x14ac:dyDescent="0.25">
      <c r="H726" s="147"/>
      <c r="I726" s="16"/>
      <c r="J726" s="16"/>
      <c r="K726" s="16"/>
      <c r="L726" s="16"/>
      <c r="M726" s="147"/>
      <c r="N726" s="16"/>
      <c r="O726" s="147"/>
      <c r="P726" s="16"/>
      <c r="Q726" s="147"/>
      <c r="R726" s="16"/>
      <c r="S726" s="147"/>
      <c r="T726" s="79"/>
      <c r="U726" s="36"/>
      <c r="V726" s="148"/>
      <c r="W726" s="84"/>
      <c r="X726" s="16"/>
    </row>
    <row r="727" spans="8:24" ht="20" customHeight="1" x14ac:dyDescent="0.25">
      <c r="H727" s="147"/>
      <c r="I727" s="16"/>
      <c r="J727" s="16"/>
      <c r="K727" s="16"/>
      <c r="L727" s="16"/>
      <c r="M727" s="147"/>
      <c r="N727" s="16"/>
      <c r="O727" s="147"/>
      <c r="P727" s="16"/>
      <c r="Q727" s="147"/>
      <c r="R727" s="16"/>
      <c r="S727" s="147"/>
      <c r="T727" s="79"/>
      <c r="U727" s="36"/>
      <c r="V727" s="148"/>
      <c r="W727" s="84"/>
      <c r="X727" s="16"/>
    </row>
    <row r="728" spans="8:24" ht="20" customHeight="1" x14ac:dyDescent="0.25">
      <c r="H728" s="147"/>
      <c r="I728" s="16"/>
      <c r="J728" s="16"/>
      <c r="K728" s="16"/>
      <c r="L728" s="16"/>
      <c r="M728" s="147"/>
      <c r="N728" s="16"/>
      <c r="O728" s="147"/>
      <c r="P728" s="16"/>
      <c r="Q728" s="147"/>
      <c r="R728" s="16"/>
      <c r="S728" s="147"/>
      <c r="T728" s="79"/>
      <c r="U728" s="36"/>
      <c r="V728" s="148"/>
      <c r="W728" s="84"/>
      <c r="X728" s="16"/>
    </row>
    <row r="729" spans="8:24" ht="20" customHeight="1" x14ac:dyDescent="0.25">
      <c r="H729" s="147"/>
      <c r="I729" s="16"/>
      <c r="J729" s="16"/>
      <c r="K729" s="16"/>
      <c r="L729" s="16"/>
      <c r="M729" s="147"/>
      <c r="N729" s="16"/>
      <c r="O729" s="147"/>
      <c r="P729" s="16"/>
      <c r="Q729" s="147"/>
      <c r="R729" s="16"/>
      <c r="S729" s="147"/>
      <c r="T729" s="79"/>
      <c r="U729" s="36"/>
      <c r="V729" s="148"/>
      <c r="W729" s="84"/>
      <c r="X729" s="16"/>
    </row>
    <row r="730" spans="8:24" ht="20" customHeight="1" x14ac:dyDescent="0.25">
      <c r="H730" s="147"/>
      <c r="I730" s="16"/>
      <c r="J730" s="16"/>
      <c r="K730" s="16"/>
      <c r="L730" s="16"/>
      <c r="M730" s="147"/>
      <c r="N730" s="16"/>
      <c r="O730" s="147"/>
      <c r="P730" s="16"/>
      <c r="Q730" s="147"/>
      <c r="R730" s="16"/>
      <c r="S730" s="147"/>
      <c r="T730" s="79"/>
      <c r="U730" s="36"/>
      <c r="V730" s="148"/>
      <c r="W730" s="84"/>
      <c r="X730" s="16"/>
    </row>
    <row r="731" spans="8:24" ht="20" customHeight="1" x14ac:dyDescent="0.25">
      <c r="H731" s="147"/>
      <c r="I731" s="16"/>
      <c r="J731" s="16"/>
      <c r="K731" s="16"/>
      <c r="L731" s="16"/>
      <c r="M731" s="147"/>
      <c r="N731" s="16"/>
      <c r="O731" s="147"/>
      <c r="P731" s="16"/>
      <c r="Q731" s="147"/>
      <c r="R731" s="16"/>
      <c r="S731" s="147"/>
      <c r="T731" s="79"/>
      <c r="U731" s="36"/>
      <c r="V731" s="148"/>
      <c r="W731" s="84"/>
      <c r="X731" s="16"/>
    </row>
    <row r="732" spans="8:24" ht="20" customHeight="1" x14ac:dyDescent="0.25">
      <c r="H732" s="147"/>
      <c r="I732" s="16"/>
      <c r="J732" s="16"/>
      <c r="K732" s="16"/>
      <c r="L732" s="16"/>
      <c r="M732" s="147"/>
      <c r="N732" s="16"/>
      <c r="O732" s="147"/>
      <c r="P732" s="16"/>
      <c r="Q732" s="147"/>
      <c r="R732" s="16"/>
      <c r="S732" s="147"/>
      <c r="T732" s="79"/>
      <c r="U732" s="36"/>
      <c r="V732" s="148"/>
      <c r="W732" s="84"/>
      <c r="X732" s="16"/>
    </row>
    <row r="733" spans="8:24" ht="20" customHeight="1" x14ac:dyDescent="0.25">
      <c r="H733" s="147"/>
      <c r="I733" s="16"/>
      <c r="J733" s="16"/>
      <c r="K733" s="16"/>
      <c r="L733" s="16"/>
      <c r="M733" s="147"/>
      <c r="N733" s="16"/>
      <c r="O733" s="147"/>
      <c r="P733" s="16"/>
      <c r="Q733" s="147"/>
      <c r="R733" s="16"/>
      <c r="S733" s="147"/>
      <c r="T733" s="79"/>
      <c r="U733" s="36"/>
      <c r="V733" s="148"/>
      <c r="W733" s="84"/>
      <c r="X733" s="16"/>
    </row>
    <row r="734" spans="8:24" ht="20" customHeight="1" x14ac:dyDescent="0.25">
      <c r="H734" s="147"/>
      <c r="I734" s="16"/>
      <c r="J734" s="16"/>
      <c r="K734" s="16"/>
      <c r="L734" s="16"/>
      <c r="M734" s="147"/>
      <c r="N734" s="16"/>
      <c r="O734" s="147"/>
      <c r="P734" s="16"/>
      <c r="Q734" s="147"/>
      <c r="R734" s="16"/>
      <c r="S734" s="147"/>
      <c r="T734" s="79"/>
      <c r="U734" s="36"/>
      <c r="V734" s="148"/>
      <c r="W734" s="84"/>
      <c r="X734" s="16"/>
    </row>
    <row r="735" spans="8:24" ht="20" customHeight="1" x14ac:dyDescent="0.25">
      <c r="H735" s="147"/>
      <c r="I735" s="16"/>
      <c r="J735" s="16"/>
      <c r="K735" s="16"/>
      <c r="L735" s="16"/>
      <c r="M735" s="147"/>
      <c r="N735" s="16"/>
      <c r="O735" s="147"/>
      <c r="P735" s="16"/>
      <c r="Q735" s="147"/>
      <c r="R735" s="16"/>
      <c r="S735" s="147"/>
      <c r="T735" s="79"/>
      <c r="U735" s="36"/>
      <c r="V735" s="148"/>
      <c r="W735" s="84"/>
      <c r="X735" s="16"/>
    </row>
    <row r="736" spans="8:24" ht="20" customHeight="1" x14ac:dyDescent="0.25">
      <c r="H736" s="147"/>
      <c r="I736" s="16"/>
      <c r="J736" s="16"/>
      <c r="K736" s="16"/>
      <c r="L736" s="16"/>
      <c r="M736" s="147"/>
      <c r="N736" s="16"/>
      <c r="O736" s="147"/>
      <c r="P736" s="16"/>
      <c r="Q736" s="147"/>
      <c r="R736" s="16"/>
      <c r="S736" s="147"/>
      <c r="T736" s="79"/>
      <c r="U736" s="36"/>
      <c r="V736" s="148"/>
      <c r="W736" s="84"/>
      <c r="X736" s="16"/>
    </row>
    <row r="737" spans="8:24" ht="20" customHeight="1" x14ac:dyDescent="0.25">
      <c r="H737" s="147"/>
      <c r="I737" s="16"/>
      <c r="J737" s="16"/>
      <c r="K737" s="16"/>
      <c r="L737" s="16"/>
      <c r="M737" s="147"/>
      <c r="N737" s="16"/>
      <c r="O737" s="147"/>
      <c r="P737" s="16"/>
      <c r="Q737" s="147"/>
      <c r="R737" s="16"/>
      <c r="S737" s="147"/>
      <c r="T737" s="79"/>
      <c r="U737" s="36"/>
      <c r="V737" s="148"/>
      <c r="W737" s="84"/>
      <c r="X737" s="16"/>
    </row>
    <row r="738" spans="8:24" ht="20" customHeight="1" x14ac:dyDescent="0.25">
      <c r="H738" s="147"/>
      <c r="I738" s="16"/>
      <c r="J738" s="16"/>
      <c r="K738" s="16"/>
      <c r="L738" s="16"/>
      <c r="M738" s="147"/>
      <c r="N738" s="16"/>
      <c r="O738" s="147"/>
      <c r="P738" s="16"/>
      <c r="Q738" s="147"/>
      <c r="R738" s="16"/>
      <c r="S738" s="147"/>
      <c r="T738" s="79"/>
      <c r="U738" s="36"/>
      <c r="V738" s="148"/>
      <c r="W738" s="84"/>
      <c r="X738" s="16"/>
    </row>
    <row r="739" spans="8:24" ht="20" customHeight="1" x14ac:dyDescent="0.25">
      <c r="H739" s="147"/>
      <c r="I739" s="16"/>
      <c r="J739" s="16"/>
      <c r="K739" s="16"/>
      <c r="L739" s="16"/>
      <c r="M739" s="147"/>
      <c r="N739" s="16"/>
      <c r="O739" s="147"/>
      <c r="P739" s="16"/>
      <c r="Q739" s="147"/>
      <c r="R739" s="16"/>
      <c r="S739" s="147"/>
      <c r="T739" s="79"/>
      <c r="U739" s="36"/>
      <c r="V739" s="148"/>
      <c r="W739" s="84"/>
      <c r="X739" s="16"/>
    </row>
    <row r="740" spans="8:24" ht="20" customHeight="1" x14ac:dyDescent="0.25">
      <c r="H740" s="147"/>
      <c r="I740" s="16"/>
      <c r="J740" s="16"/>
      <c r="K740" s="16"/>
      <c r="L740" s="16"/>
      <c r="M740" s="147"/>
      <c r="N740" s="16"/>
      <c r="O740" s="147"/>
      <c r="P740" s="16"/>
      <c r="Q740" s="147"/>
      <c r="R740" s="16"/>
      <c r="S740" s="147"/>
      <c r="T740" s="79"/>
      <c r="U740" s="36"/>
      <c r="V740" s="148"/>
      <c r="W740" s="84"/>
      <c r="X740" s="16"/>
    </row>
    <row r="741" spans="8:24" ht="20" customHeight="1" x14ac:dyDescent="0.25">
      <c r="H741" s="147"/>
      <c r="I741" s="16"/>
      <c r="J741" s="16"/>
      <c r="K741" s="16"/>
      <c r="L741" s="16"/>
      <c r="M741" s="147"/>
      <c r="N741" s="16"/>
      <c r="O741" s="147"/>
      <c r="P741" s="16"/>
      <c r="Q741" s="147"/>
      <c r="R741" s="16"/>
      <c r="S741" s="147"/>
      <c r="T741" s="79"/>
      <c r="U741" s="36"/>
      <c r="V741" s="148"/>
      <c r="W741" s="84"/>
      <c r="X741" s="16"/>
    </row>
    <row r="742" spans="8:24" ht="20" customHeight="1" x14ac:dyDescent="0.25">
      <c r="H742" s="147"/>
      <c r="I742" s="16"/>
      <c r="J742" s="16"/>
      <c r="K742" s="16"/>
      <c r="L742" s="16"/>
      <c r="M742" s="147"/>
      <c r="N742" s="16"/>
      <c r="O742" s="147"/>
      <c r="P742" s="16"/>
      <c r="Q742" s="147"/>
      <c r="R742" s="16"/>
      <c r="S742" s="147"/>
      <c r="T742" s="79"/>
      <c r="U742" s="36"/>
      <c r="V742" s="148"/>
      <c r="W742" s="84"/>
      <c r="X742" s="16"/>
    </row>
    <row r="743" spans="8:24" ht="20" customHeight="1" x14ac:dyDescent="0.25">
      <c r="H743" s="147"/>
      <c r="I743" s="16"/>
      <c r="J743" s="16"/>
      <c r="K743" s="16"/>
      <c r="L743" s="16"/>
      <c r="M743" s="147"/>
      <c r="N743" s="16"/>
      <c r="O743" s="147"/>
      <c r="P743" s="16"/>
      <c r="Q743" s="147"/>
      <c r="R743" s="16"/>
      <c r="S743" s="147"/>
      <c r="T743" s="79"/>
      <c r="U743" s="36"/>
      <c r="V743" s="148"/>
      <c r="W743" s="84"/>
      <c r="X743" s="16"/>
    </row>
    <row r="744" spans="8:24" ht="20" customHeight="1" x14ac:dyDescent="0.25">
      <c r="H744" s="147"/>
      <c r="I744" s="16"/>
      <c r="J744" s="16"/>
      <c r="K744" s="16"/>
      <c r="L744" s="16"/>
      <c r="M744" s="147"/>
      <c r="N744" s="16"/>
      <c r="O744" s="147"/>
      <c r="P744" s="16"/>
      <c r="Q744" s="147"/>
      <c r="R744" s="16"/>
      <c r="S744" s="147"/>
      <c r="T744" s="79"/>
      <c r="U744" s="36"/>
      <c r="V744" s="148"/>
      <c r="W744" s="84"/>
      <c r="X744" s="16"/>
    </row>
    <row r="745" spans="8:24" ht="20" customHeight="1" x14ac:dyDescent="0.25">
      <c r="H745" s="147"/>
      <c r="I745" s="16"/>
      <c r="J745" s="16"/>
      <c r="K745" s="16"/>
      <c r="L745" s="16"/>
      <c r="M745" s="147"/>
      <c r="N745" s="16"/>
      <c r="O745" s="147"/>
      <c r="P745" s="16"/>
      <c r="Q745" s="147"/>
      <c r="R745" s="16"/>
      <c r="S745" s="147"/>
      <c r="T745" s="79"/>
      <c r="U745" s="36"/>
      <c r="V745" s="148"/>
      <c r="W745" s="84"/>
      <c r="X745" s="16"/>
    </row>
    <row r="746" spans="8:24" ht="20" customHeight="1" x14ac:dyDescent="0.25">
      <c r="H746" s="147"/>
      <c r="I746" s="16"/>
      <c r="J746" s="16"/>
      <c r="K746" s="16"/>
      <c r="L746" s="16"/>
      <c r="M746" s="147"/>
      <c r="N746" s="16"/>
      <c r="O746" s="147"/>
      <c r="P746" s="16"/>
      <c r="Q746" s="147"/>
      <c r="R746" s="16"/>
      <c r="S746" s="147"/>
      <c r="T746" s="79"/>
      <c r="U746" s="36"/>
      <c r="V746" s="148"/>
      <c r="W746" s="84"/>
      <c r="X746" s="16"/>
    </row>
    <row r="747" spans="8:24" ht="20" customHeight="1" x14ac:dyDescent="0.25">
      <c r="H747" s="147"/>
      <c r="I747" s="16"/>
      <c r="J747" s="16"/>
      <c r="K747" s="16"/>
      <c r="L747" s="16"/>
      <c r="M747" s="147"/>
      <c r="N747" s="16"/>
      <c r="O747" s="147"/>
      <c r="P747" s="16"/>
      <c r="Q747" s="147"/>
      <c r="R747" s="16"/>
      <c r="S747" s="147"/>
      <c r="T747" s="79"/>
      <c r="U747" s="36"/>
      <c r="V747" s="148"/>
      <c r="W747" s="84"/>
      <c r="X747" s="16"/>
    </row>
    <row r="748" spans="8:24" ht="20" customHeight="1" x14ac:dyDescent="0.25">
      <c r="H748" s="147"/>
      <c r="I748" s="16"/>
      <c r="J748" s="16"/>
      <c r="K748" s="16"/>
      <c r="L748" s="16"/>
      <c r="M748" s="147"/>
      <c r="N748" s="16"/>
      <c r="O748" s="147"/>
      <c r="P748" s="16"/>
      <c r="Q748" s="147"/>
      <c r="R748" s="16"/>
      <c r="S748" s="147"/>
      <c r="T748" s="79"/>
      <c r="U748" s="36"/>
      <c r="V748" s="148"/>
      <c r="W748" s="84"/>
      <c r="X748" s="16"/>
    </row>
    <row r="749" spans="8:24" ht="20" customHeight="1" x14ac:dyDescent="0.25">
      <c r="H749" s="147"/>
      <c r="I749" s="16"/>
      <c r="J749" s="16"/>
      <c r="K749" s="16"/>
      <c r="L749" s="16"/>
      <c r="M749" s="147"/>
      <c r="N749" s="16"/>
      <c r="O749" s="147"/>
      <c r="P749" s="16"/>
      <c r="Q749" s="147"/>
      <c r="R749" s="16"/>
      <c r="S749" s="147"/>
      <c r="T749" s="79"/>
      <c r="U749" s="36"/>
      <c r="V749" s="148"/>
      <c r="W749" s="84"/>
      <c r="X749" s="16"/>
    </row>
    <row r="750" spans="8:24" ht="20" customHeight="1" x14ac:dyDescent="0.25">
      <c r="H750" s="147"/>
      <c r="I750" s="16"/>
      <c r="J750" s="16"/>
      <c r="K750" s="16"/>
      <c r="L750" s="16"/>
      <c r="M750" s="147"/>
      <c r="N750" s="16"/>
      <c r="O750" s="147"/>
      <c r="P750" s="16"/>
      <c r="Q750" s="147"/>
      <c r="R750" s="16"/>
      <c r="S750" s="147"/>
      <c r="T750" s="79"/>
      <c r="U750" s="36"/>
      <c r="V750" s="148"/>
      <c r="W750" s="84"/>
      <c r="X750" s="16"/>
    </row>
    <row r="751" spans="8:24" ht="20" customHeight="1" x14ac:dyDescent="0.25">
      <c r="H751" s="147"/>
      <c r="I751" s="16"/>
      <c r="J751" s="16"/>
      <c r="K751" s="16"/>
      <c r="L751" s="16"/>
      <c r="M751" s="147"/>
      <c r="N751" s="16"/>
      <c r="O751" s="147"/>
      <c r="P751" s="16"/>
      <c r="Q751" s="147"/>
      <c r="R751" s="16"/>
      <c r="S751" s="147"/>
      <c r="T751" s="79"/>
      <c r="U751" s="36"/>
      <c r="V751" s="148"/>
      <c r="W751" s="84"/>
      <c r="X751" s="16"/>
    </row>
    <row r="752" spans="8:24" ht="20" customHeight="1" x14ac:dyDescent="0.25">
      <c r="H752" s="147"/>
      <c r="I752" s="16"/>
      <c r="J752" s="16"/>
      <c r="K752" s="16"/>
      <c r="L752" s="16"/>
      <c r="M752" s="147"/>
      <c r="N752" s="16"/>
      <c r="O752" s="147"/>
      <c r="P752" s="16"/>
      <c r="Q752" s="147"/>
      <c r="R752" s="16"/>
      <c r="S752" s="147"/>
      <c r="T752" s="79"/>
      <c r="U752" s="36"/>
      <c r="V752" s="148"/>
      <c r="W752" s="84"/>
      <c r="X752" s="16"/>
    </row>
    <row r="753" spans="8:24" ht="20" customHeight="1" x14ac:dyDescent="0.25">
      <c r="H753" s="147"/>
      <c r="I753" s="16"/>
      <c r="J753" s="16"/>
      <c r="K753" s="16"/>
      <c r="L753" s="16"/>
      <c r="M753" s="147"/>
      <c r="N753" s="16"/>
      <c r="O753" s="147"/>
      <c r="P753" s="16"/>
      <c r="Q753" s="147"/>
      <c r="R753" s="16"/>
      <c r="S753" s="147"/>
      <c r="T753" s="79"/>
      <c r="U753" s="36"/>
      <c r="V753" s="148"/>
      <c r="W753" s="84"/>
      <c r="X753" s="16"/>
    </row>
    <row r="754" spans="8:24" ht="20" customHeight="1" x14ac:dyDescent="0.25">
      <c r="H754" s="147"/>
      <c r="I754" s="16"/>
      <c r="J754" s="16"/>
      <c r="K754" s="16"/>
      <c r="L754" s="16"/>
      <c r="M754" s="147"/>
      <c r="N754" s="16"/>
      <c r="O754" s="147"/>
      <c r="P754" s="16"/>
      <c r="Q754" s="147"/>
      <c r="R754" s="16"/>
      <c r="S754" s="147"/>
      <c r="T754" s="79"/>
      <c r="U754" s="36"/>
      <c r="V754" s="148"/>
      <c r="W754" s="84"/>
      <c r="X754" s="16"/>
    </row>
    <row r="755" spans="8:24" ht="20" customHeight="1" x14ac:dyDescent="0.25">
      <c r="H755" s="147"/>
      <c r="I755" s="16"/>
      <c r="J755" s="16"/>
      <c r="K755" s="16"/>
      <c r="L755" s="16"/>
      <c r="M755" s="147"/>
      <c r="N755" s="16"/>
      <c r="O755" s="147"/>
      <c r="P755" s="16"/>
      <c r="Q755" s="147"/>
      <c r="R755" s="16"/>
      <c r="S755" s="147"/>
      <c r="T755" s="79"/>
      <c r="U755" s="36"/>
      <c r="V755" s="148"/>
      <c r="W755" s="84"/>
      <c r="X755" s="16"/>
    </row>
    <row r="756" spans="8:24" ht="20" customHeight="1" x14ac:dyDescent="0.25">
      <c r="H756" s="147"/>
      <c r="I756" s="16"/>
      <c r="J756" s="16"/>
      <c r="K756" s="16"/>
      <c r="L756" s="16"/>
      <c r="M756" s="147"/>
      <c r="N756" s="16"/>
      <c r="O756" s="147"/>
      <c r="P756" s="16"/>
      <c r="Q756" s="147"/>
      <c r="R756" s="16"/>
      <c r="S756" s="147"/>
      <c r="T756" s="79"/>
      <c r="U756" s="36"/>
      <c r="V756" s="148"/>
      <c r="W756" s="84"/>
      <c r="X756" s="16"/>
    </row>
    <row r="757" spans="8:24" ht="20" customHeight="1" x14ac:dyDescent="0.25">
      <c r="H757" s="147"/>
      <c r="I757" s="16"/>
      <c r="J757" s="16"/>
      <c r="K757" s="16"/>
      <c r="L757" s="16"/>
      <c r="M757" s="147"/>
      <c r="N757" s="16"/>
      <c r="O757" s="147"/>
      <c r="P757" s="16"/>
      <c r="Q757" s="147"/>
      <c r="R757" s="16"/>
      <c r="S757" s="147"/>
      <c r="T757" s="79"/>
      <c r="U757" s="36"/>
      <c r="V757" s="148"/>
      <c r="W757" s="84"/>
      <c r="X757" s="16"/>
    </row>
    <row r="758" spans="8:24" ht="20" customHeight="1" x14ac:dyDescent="0.25">
      <c r="H758" s="147"/>
      <c r="I758" s="16"/>
      <c r="J758" s="16"/>
      <c r="K758" s="16"/>
      <c r="L758" s="16"/>
      <c r="M758" s="147"/>
      <c r="N758" s="16"/>
      <c r="O758" s="147"/>
      <c r="P758" s="16"/>
      <c r="Q758" s="147"/>
      <c r="R758" s="16"/>
      <c r="S758" s="147"/>
      <c r="T758" s="79"/>
      <c r="U758" s="36"/>
      <c r="V758" s="148"/>
      <c r="W758" s="84"/>
      <c r="X758" s="16"/>
    </row>
    <row r="759" spans="8:24" ht="20" customHeight="1" x14ac:dyDescent="0.25">
      <c r="H759" s="147"/>
      <c r="I759" s="16"/>
      <c r="J759" s="16"/>
      <c r="K759" s="16"/>
      <c r="L759" s="16"/>
      <c r="M759" s="147"/>
      <c r="N759" s="16"/>
      <c r="O759" s="147"/>
      <c r="P759" s="16"/>
      <c r="Q759" s="147"/>
      <c r="R759" s="16"/>
      <c r="S759" s="147"/>
      <c r="T759" s="79"/>
      <c r="U759" s="36"/>
      <c r="V759" s="148"/>
      <c r="W759" s="84"/>
      <c r="X759" s="16"/>
    </row>
    <row r="760" spans="8:24" ht="20" customHeight="1" x14ac:dyDescent="0.25">
      <c r="H760" s="147"/>
      <c r="I760" s="16"/>
      <c r="J760" s="16"/>
      <c r="K760" s="16"/>
      <c r="L760" s="16"/>
      <c r="M760" s="147"/>
      <c r="N760" s="16"/>
      <c r="O760" s="147"/>
      <c r="P760" s="16"/>
      <c r="Q760" s="147"/>
      <c r="R760" s="16"/>
      <c r="S760" s="147"/>
      <c r="T760" s="79"/>
      <c r="U760" s="36"/>
      <c r="V760" s="148"/>
      <c r="W760" s="84"/>
      <c r="X760" s="16"/>
    </row>
    <row r="761" spans="8:24" ht="20" customHeight="1" x14ac:dyDescent="0.25">
      <c r="H761" s="147"/>
      <c r="I761" s="16"/>
      <c r="J761" s="16"/>
      <c r="K761" s="16"/>
      <c r="L761" s="16"/>
      <c r="M761" s="147"/>
      <c r="N761" s="16"/>
      <c r="O761" s="147"/>
      <c r="P761" s="16"/>
      <c r="Q761" s="147"/>
      <c r="R761" s="16"/>
      <c r="S761" s="147"/>
      <c r="T761" s="79"/>
      <c r="U761" s="36"/>
      <c r="V761" s="148"/>
      <c r="W761" s="84"/>
      <c r="X761" s="16"/>
    </row>
    <row r="762" spans="8:24" ht="20" customHeight="1" x14ac:dyDescent="0.25">
      <c r="H762" s="147"/>
      <c r="I762" s="16"/>
      <c r="J762" s="16"/>
      <c r="K762" s="16"/>
      <c r="L762" s="16"/>
      <c r="M762" s="147"/>
      <c r="N762" s="16"/>
      <c r="O762" s="147"/>
      <c r="P762" s="16"/>
      <c r="Q762" s="147"/>
      <c r="R762" s="16"/>
      <c r="S762" s="147"/>
      <c r="T762" s="79"/>
      <c r="U762" s="36"/>
      <c r="V762" s="148"/>
      <c r="W762" s="84"/>
      <c r="X762" s="16"/>
    </row>
    <row r="763" spans="8:24" ht="20" customHeight="1" x14ac:dyDescent="0.25">
      <c r="H763" s="147"/>
      <c r="I763" s="16"/>
      <c r="J763" s="16"/>
      <c r="K763" s="16"/>
      <c r="L763" s="16"/>
      <c r="M763" s="147"/>
      <c r="N763" s="16"/>
      <c r="O763" s="147"/>
      <c r="P763" s="16"/>
      <c r="Q763" s="147"/>
      <c r="R763" s="16"/>
      <c r="S763" s="147"/>
      <c r="T763" s="79"/>
      <c r="U763" s="36"/>
      <c r="V763" s="148"/>
      <c r="W763" s="84"/>
      <c r="X763" s="16"/>
    </row>
    <row r="764" spans="8:24" ht="20" customHeight="1" x14ac:dyDescent="0.25">
      <c r="H764" s="147"/>
      <c r="I764" s="16"/>
      <c r="J764" s="16"/>
      <c r="K764" s="16"/>
      <c r="L764" s="16"/>
      <c r="M764" s="147"/>
      <c r="N764" s="16"/>
      <c r="O764" s="147"/>
      <c r="P764" s="16"/>
      <c r="Q764" s="147"/>
      <c r="R764" s="16"/>
      <c r="S764" s="147"/>
      <c r="T764" s="79"/>
      <c r="U764" s="36"/>
      <c r="V764" s="148"/>
      <c r="W764" s="84"/>
      <c r="X764" s="16"/>
    </row>
    <row r="765" spans="8:24" ht="20" customHeight="1" x14ac:dyDescent="0.25">
      <c r="H765" s="147"/>
      <c r="I765" s="16"/>
      <c r="J765" s="16"/>
      <c r="K765" s="16"/>
      <c r="L765" s="16"/>
      <c r="M765" s="147"/>
      <c r="N765" s="16"/>
      <c r="O765" s="147"/>
      <c r="P765" s="16"/>
      <c r="Q765" s="147"/>
      <c r="R765" s="16"/>
      <c r="S765" s="147"/>
      <c r="T765" s="79"/>
      <c r="U765" s="36"/>
      <c r="V765" s="148"/>
      <c r="W765" s="84"/>
      <c r="X765" s="16"/>
    </row>
    <row r="766" spans="8:24" ht="20" customHeight="1" x14ac:dyDescent="0.25">
      <c r="H766" s="147"/>
      <c r="I766" s="16"/>
      <c r="J766" s="16"/>
      <c r="K766" s="16"/>
      <c r="L766" s="16"/>
      <c r="M766" s="147"/>
      <c r="N766" s="16"/>
      <c r="O766" s="147"/>
      <c r="P766" s="16"/>
      <c r="Q766" s="147"/>
      <c r="R766" s="16"/>
      <c r="S766" s="147"/>
      <c r="T766" s="79"/>
      <c r="U766" s="36"/>
      <c r="V766" s="148"/>
      <c r="W766" s="84"/>
      <c r="X766" s="16"/>
    </row>
    <row r="767" spans="8:24" ht="20" customHeight="1" x14ac:dyDescent="0.25">
      <c r="H767" s="147"/>
      <c r="I767" s="16"/>
      <c r="J767" s="16"/>
      <c r="K767" s="16"/>
      <c r="L767" s="16"/>
      <c r="M767" s="147"/>
      <c r="N767" s="16"/>
      <c r="O767" s="147"/>
      <c r="P767" s="16"/>
      <c r="Q767" s="147"/>
      <c r="R767" s="16"/>
      <c r="S767" s="147"/>
      <c r="T767" s="79"/>
      <c r="U767" s="36"/>
      <c r="V767" s="148"/>
      <c r="W767" s="84"/>
      <c r="X767" s="16"/>
    </row>
    <row r="768" spans="8:24" ht="20" customHeight="1" x14ac:dyDescent="0.25">
      <c r="H768" s="147"/>
      <c r="I768" s="16"/>
      <c r="J768" s="16"/>
      <c r="K768" s="16"/>
      <c r="L768" s="16"/>
      <c r="M768" s="147"/>
      <c r="N768" s="16"/>
      <c r="O768" s="147"/>
      <c r="P768" s="16"/>
      <c r="Q768" s="147"/>
      <c r="R768" s="16"/>
      <c r="S768" s="147"/>
      <c r="T768" s="79"/>
      <c r="U768" s="36"/>
      <c r="V768" s="148"/>
      <c r="W768" s="84"/>
      <c r="X768" s="16"/>
    </row>
    <row r="769" spans="8:24" ht="20" customHeight="1" x14ac:dyDescent="0.25">
      <c r="H769" s="147"/>
      <c r="I769" s="16"/>
      <c r="J769" s="16"/>
      <c r="K769" s="16"/>
      <c r="L769" s="16"/>
      <c r="M769" s="147"/>
      <c r="N769" s="16"/>
      <c r="O769" s="147"/>
      <c r="P769" s="16"/>
      <c r="Q769" s="147"/>
      <c r="R769" s="16"/>
      <c r="S769" s="147"/>
      <c r="T769" s="79"/>
      <c r="U769" s="36"/>
      <c r="V769" s="148"/>
      <c r="W769" s="84"/>
      <c r="X769" s="16"/>
    </row>
    <row r="770" spans="8:24" ht="20" customHeight="1" x14ac:dyDescent="0.25">
      <c r="H770" s="147"/>
      <c r="I770" s="16"/>
      <c r="J770" s="16"/>
      <c r="K770" s="16"/>
      <c r="L770" s="16"/>
      <c r="M770" s="147"/>
      <c r="N770" s="16"/>
      <c r="O770" s="147"/>
      <c r="P770" s="16"/>
      <c r="Q770" s="147"/>
      <c r="R770" s="16"/>
      <c r="S770" s="147"/>
      <c r="T770" s="79"/>
      <c r="U770" s="36"/>
      <c r="V770" s="148"/>
      <c r="W770" s="84"/>
      <c r="X770" s="16"/>
    </row>
    <row r="771" spans="8:24" ht="20" customHeight="1" x14ac:dyDescent="0.25">
      <c r="H771" s="147"/>
      <c r="I771" s="16"/>
      <c r="J771" s="16"/>
      <c r="K771" s="16"/>
      <c r="L771" s="16"/>
      <c r="M771" s="147"/>
      <c r="N771" s="16"/>
      <c r="O771" s="147"/>
      <c r="P771" s="16"/>
      <c r="Q771" s="147"/>
      <c r="R771" s="16"/>
      <c r="S771" s="147"/>
      <c r="T771" s="79"/>
      <c r="U771" s="36"/>
      <c r="V771" s="148"/>
      <c r="W771" s="84"/>
      <c r="X771" s="16"/>
    </row>
    <row r="772" spans="8:24" ht="20" customHeight="1" x14ac:dyDescent="0.25">
      <c r="H772" s="147"/>
      <c r="I772" s="16"/>
      <c r="J772" s="16"/>
      <c r="K772" s="16"/>
      <c r="L772" s="16"/>
      <c r="M772" s="147"/>
      <c r="N772" s="16"/>
      <c r="O772" s="147"/>
      <c r="P772" s="16"/>
      <c r="Q772" s="147"/>
      <c r="R772" s="16"/>
      <c r="S772" s="147"/>
      <c r="T772" s="79"/>
      <c r="U772" s="36"/>
      <c r="V772" s="148"/>
      <c r="W772" s="84"/>
      <c r="X772" s="16"/>
    </row>
    <row r="773" spans="8:24" ht="20" customHeight="1" x14ac:dyDescent="0.25">
      <c r="H773" s="147"/>
      <c r="I773" s="16"/>
      <c r="J773" s="16"/>
      <c r="K773" s="16"/>
      <c r="L773" s="16"/>
      <c r="M773" s="147"/>
      <c r="N773" s="16"/>
      <c r="O773" s="147"/>
      <c r="P773" s="16"/>
      <c r="Q773" s="147"/>
      <c r="R773" s="16"/>
      <c r="S773" s="147"/>
      <c r="T773" s="79"/>
      <c r="U773" s="36"/>
      <c r="V773" s="148"/>
      <c r="W773" s="84"/>
      <c r="X773" s="16"/>
    </row>
    <row r="774" spans="8:24" ht="20" customHeight="1" x14ac:dyDescent="0.25">
      <c r="H774" s="147"/>
      <c r="I774" s="16"/>
      <c r="J774" s="16"/>
      <c r="K774" s="16"/>
      <c r="L774" s="16"/>
      <c r="M774" s="147"/>
      <c r="N774" s="16"/>
      <c r="O774" s="147"/>
      <c r="P774" s="16"/>
      <c r="Q774" s="147"/>
      <c r="R774" s="16"/>
      <c r="S774" s="147"/>
      <c r="T774" s="79"/>
      <c r="U774" s="36"/>
      <c r="V774" s="148"/>
      <c r="W774" s="84"/>
      <c r="X774" s="16"/>
    </row>
    <row r="775" spans="8:24" ht="20" customHeight="1" x14ac:dyDescent="0.25">
      <c r="H775" s="147"/>
      <c r="I775" s="16"/>
      <c r="J775" s="16"/>
      <c r="K775" s="16"/>
      <c r="L775" s="16"/>
      <c r="M775" s="147"/>
      <c r="N775" s="16"/>
      <c r="O775" s="147"/>
      <c r="P775" s="16"/>
      <c r="Q775" s="147"/>
      <c r="R775" s="16"/>
      <c r="S775" s="147"/>
      <c r="T775" s="79"/>
      <c r="U775" s="36"/>
      <c r="V775" s="148"/>
      <c r="W775" s="84"/>
      <c r="X775" s="16"/>
    </row>
    <row r="776" spans="8:24" ht="20" customHeight="1" x14ac:dyDescent="0.25">
      <c r="H776" s="147"/>
      <c r="I776" s="16"/>
      <c r="J776" s="16"/>
      <c r="K776" s="16"/>
      <c r="L776" s="16"/>
      <c r="M776" s="147"/>
      <c r="N776" s="16"/>
      <c r="O776" s="147"/>
      <c r="P776" s="16"/>
      <c r="Q776" s="147"/>
      <c r="R776" s="16"/>
      <c r="S776" s="147"/>
      <c r="T776" s="79"/>
      <c r="U776" s="36"/>
      <c r="V776" s="148"/>
      <c r="W776" s="84"/>
      <c r="X776" s="16"/>
    </row>
    <row r="777" spans="8:24" ht="20" customHeight="1" x14ac:dyDescent="0.25">
      <c r="H777" s="147"/>
      <c r="I777" s="16"/>
      <c r="J777" s="16"/>
      <c r="K777" s="16"/>
      <c r="L777" s="16"/>
      <c r="M777" s="147"/>
      <c r="N777" s="16"/>
      <c r="O777" s="147"/>
      <c r="P777" s="16"/>
      <c r="Q777" s="147"/>
      <c r="R777" s="16"/>
      <c r="S777" s="147"/>
      <c r="T777" s="79"/>
      <c r="U777" s="36"/>
      <c r="V777" s="148"/>
      <c r="W777" s="84"/>
      <c r="X777" s="16"/>
    </row>
    <row r="778" spans="8:24" ht="20" customHeight="1" x14ac:dyDescent="0.25">
      <c r="H778" s="147"/>
      <c r="I778" s="16"/>
      <c r="J778" s="16"/>
      <c r="K778" s="16"/>
      <c r="L778" s="16"/>
      <c r="M778" s="147"/>
      <c r="N778" s="16"/>
      <c r="O778" s="147"/>
      <c r="P778" s="16"/>
      <c r="Q778" s="147"/>
      <c r="R778" s="16"/>
      <c r="S778" s="147"/>
      <c r="T778" s="79"/>
      <c r="U778" s="36"/>
      <c r="V778" s="148"/>
      <c r="W778" s="84"/>
      <c r="X778" s="16"/>
    </row>
    <row r="779" spans="8:24" ht="20" customHeight="1" x14ac:dyDescent="0.25">
      <c r="H779" s="147"/>
      <c r="I779" s="16"/>
      <c r="J779" s="16"/>
      <c r="K779" s="16"/>
      <c r="L779" s="16"/>
      <c r="M779" s="147"/>
      <c r="N779" s="16"/>
      <c r="O779" s="147"/>
      <c r="P779" s="16"/>
      <c r="Q779" s="147"/>
      <c r="R779" s="16"/>
      <c r="S779" s="147"/>
      <c r="T779" s="79"/>
      <c r="U779" s="36"/>
      <c r="V779" s="148"/>
      <c r="W779" s="84"/>
      <c r="X779" s="16"/>
    </row>
    <row r="780" spans="8:24" ht="20" customHeight="1" x14ac:dyDescent="0.25">
      <c r="H780" s="147"/>
      <c r="I780" s="16"/>
      <c r="J780" s="16"/>
      <c r="K780" s="16"/>
      <c r="L780" s="16"/>
      <c r="M780" s="147"/>
      <c r="N780" s="16"/>
      <c r="O780" s="147"/>
      <c r="P780" s="16"/>
      <c r="Q780" s="147"/>
      <c r="R780" s="16"/>
      <c r="S780" s="147"/>
      <c r="T780" s="79"/>
      <c r="U780" s="36"/>
      <c r="V780" s="148"/>
      <c r="W780" s="84"/>
      <c r="X780" s="16"/>
    </row>
    <row r="781" spans="8:24" ht="20" customHeight="1" x14ac:dyDescent="0.25">
      <c r="H781" s="147"/>
      <c r="I781" s="16"/>
      <c r="J781" s="16"/>
      <c r="K781" s="16"/>
      <c r="L781" s="16"/>
      <c r="M781" s="147"/>
      <c r="N781" s="16"/>
      <c r="O781" s="147"/>
      <c r="P781" s="16"/>
      <c r="Q781" s="147"/>
      <c r="R781" s="16"/>
      <c r="S781" s="147"/>
      <c r="T781" s="79"/>
      <c r="U781" s="36"/>
      <c r="V781" s="148"/>
      <c r="W781" s="84"/>
      <c r="X781" s="16"/>
    </row>
    <row r="782" spans="8:24" ht="20" customHeight="1" x14ac:dyDescent="0.25">
      <c r="H782" s="147"/>
      <c r="I782" s="16"/>
      <c r="J782" s="16"/>
      <c r="K782" s="16"/>
      <c r="L782" s="16"/>
      <c r="M782" s="147"/>
      <c r="N782" s="16"/>
      <c r="O782" s="147"/>
      <c r="P782" s="16"/>
      <c r="Q782" s="147"/>
      <c r="R782" s="16"/>
      <c r="S782" s="147"/>
      <c r="T782" s="79"/>
      <c r="U782" s="36"/>
      <c r="V782" s="148"/>
      <c r="W782" s="84"/>
      <c r="X782" s="16"/>
    </row>
    <row r="783" spans="8:24" ht="20" customHeight="1" x14ac:dyDescent="0.25">
      <c r="H783" s="147"/>
      <c r="I783" s="16"/>
      <c r="J783" s="16"/>
      <c r="K783" s="16"/>
      <c r="L783" s="16"/>
      <c r="M783" s="147"/>
      <c r="N783" s="16"/>
      <c r="O783" s="147"/>
      <c r="P783" s="16"/>
      <c r="Q783" s="147"/>
      <c r="R783" s="16"/>
      <c r="S783" s="147"/>
      <c r="T783" s="79"/>
      <c r="U783" s="36"/>
      <c r="V783" s="148"/>
      <c r="W783" s="84"/>
      <c r="X783" s="16"/>
    </row>
    <row r="784" spans="8:24" ht="20" customHeight="1" x14ac:dyDescent="0.25">
      <c r="H784" s="147"/>
      <c r="I784" s="16"/>
      <c r="J784" s="16"/>
      <c r="K784" s="16"/>
      <c r="L784" s="16"/>
      <c r="M784" s="147"/>
      <c r="N784" s="16"/>
      <c r="O784" s="147"/>
      <c r="P784" s="16"/>
      <c r="Q784" s="147"/>
      <c r="R784" s="16"/>
      <c r="S784" s="147"/>
      <c r="T784" s="79"/>
      <c r="U784" s="36"/>
      <c r="V784" s="148"/>
      <c r="W784" s="84"/>
      <c r="X784" s="16"/>
    </row>
    <row r="785" spans="8:24" ht="20" customHeight="1" x14ac:dyDescent="0.25">
      <c r="H785" s="147"/>
      <c r="I785" s="16"/>
      <c r="J785" s="16"/>
      <c r="K785" s="16"/>
      <c r="L785" s="16"/>
      <c r="M785" s="147"/>
      <c r="N785" s="16"/>
      <c r="O785" s="147"/>
      <c r="P785" s="16"/>
      <c r="Q785" s="147"/>
      <c r="R785" s="16"/>
      <c r="S785" s="147"/>
      <c r="T785" s="79"/>
      <c r="U785" s="36"/>
      <c r="V785" s="148"/>
      <c r="W785" s="84"/>
      <c r="X785" s="16"/>
    </row>
    <row r="786" spans="8:24" ht="20" customHeight="1" x14ac:dyDescent="0.25">
      <c r="H786" s="147"/>
      <c r="I786" s="16"/>
      <c r="J786" s="16"/>
      <c r="K786" s="16"/>
      <c r="L786" s="16"/>
      <c r="M786" s="147"/>
      <c r="N786" s="16"/>
      <c r="O786" s="147"/>
      <c r="P786" s="16"/>
      <c r="Q786" s="147"/>
      <c r="R786" s="16"/>
      <c r="S786" s="147"/>
      <c r="T786" s="79"/>
      <c r="U786" s="36"/>
      <c r="V786" s="148"/>
      <c r="W786" s="84"/>
      <c r="X786" s="16"/>
    </row>
    <row r="787" spans="8:24" ht="20" customHeight="1" x14ac:dyDescent="0.25">
      <c r="H787" s="147"/>
      <c r="I787" s="16"/>
      <c r="J787" s="16"/>
      <c r="K787" s="16"/>
      <c r="L787" s="16"/>
      <c r="M787" s="147"/>
      <c r="N787" s="16"/>
      <c r="O787" s="147"/>
      <c r="P787" s="16"/>
      <c r="Q787" s="147"/>
      <c r="R787" s="16"/>
      <c r="S787" s="147"/>
      <c r="T787" s="79"/>
      <c r="U787" s="36"/>
      <c r="V787" s="148"/>
      <c r="W787" s="84"/>
      <c r="X787" s="16"/>
    </row>
    <row r="788" spans="8:24" ht="20" customHeight="1" x14ac:dyDescent="0.25">
      <c r="H788" s="147"/>
      <c r="I788" s="16"/>
      <c r="J788" s="16"/>
      <c r="K788" s="16"/>
      <c r="L788" s="16"/>
      <c r="M788" s="147"/>
      <c r="N788" s="16"/>
      <c r="O788" s="147"/>
      <c r="P788" s="16"/>
      <c r="Q788" s="147"/>
      <c r="R788" s="16"/>
      <c r="S788" s="147"/>
      <c r="T788" s="79"/>
      <c r="U788" s="36"/>
      <c r="V788" s="148"/>
      <c r="W788" s="84"/>
      <c r="X788" s="16"/>
    </row>
    <row r="789" spans="8:24" ht="20" customHeight="1" x14ac:dyDescent="0.25">
      <c r="H789" s="147"/>
      <c r="I789" s="16"/>
      <c r="J789" s="16"/>
      <c r="K789" s="16"/>
      <c r="L789" s="16"/>
      <c r="M789" s="147"/>
      <c r="N789" s="16"/>
      <c r="O789" s="147"/>
      <c r="P789" s="16"/>
      <c r="Q789" s="147"/>
      <c r="R789" s="16"/>
      <c r="S789" s="147"/>
      <c r="T789" s="79"/>
      <c r="U789" s="36"/>
      <c r="V789" s="148"/>
      <c r="W789" s="84"/>
      <c r="X789" s="16"/>
    </row>
    <row r="790" spans="8:24" ht="20" customHeight="1" x14ac:dyDescent="0.25">
      <c r="H790" s="147"/>
      <c r="I790" s="16"/>
      <c r="J790" s="16"/>
      <c r="K790" s="16"/>
      <c r="L790" s="16"/>
      <c r="M790" s="147"/>
      <c r="N790" s="16"/>
      <c r="O790" s="147"/>
      <c r="P790" s="16"/>
      <c r="Q790" s="147"/>
      <c r="R790" s="16"/>
      <c r="S790" s="147"/>
      <c r="T790" s="79"/>
      <c r="U790" s="36"/>
      <c r="V790" s="148"/>
      <c r="W790" s="84"/>
      <c r="X790" s="16"/>
    </row>
    <row r="791" spans="8:24" ht="20" customHeight="1" x14ac:dyDescent="0.25">
      <c r="H791" s="147"/>
      <c r="I791" s="16"/>
      <c r="J791" s="16"/>
      <c r="K791" s="16"/>
      <c r="L791" s="16"/>
      <c r="M791" s="147"/>
      <c r="N791" s="16"/>
      <c r="O791" s="147"/>
      <c r="P791" s="16"/>
      <c r="Q791" s="147"/>
      <c r="R791" s="16"/>
      <c r="S791" s="147"/>
      <c r="T791" s="79"/>
      <c r="U791" s="36"/>
      <c r="V791" s="148"/>
      <c r="W791" s="84"/>
      <c r="X791" s="16"/>
    </row>
    <row r="792" spans="8:24" ht="20" customHeight="1" x14ac:dyDescent="0.25">
      <c r="H792" s="147"/>
      <c r="I792" s="16"/>
      <c r="J792" s="16"/>
      <c r="K792" s="16"/>
      <c r="L792" s="16"/>
      <c r="M792" s="147"/>
      <c r="N792" s="16"/>
      <c r="O792" s="147"/>
      <c r="P792" s="16"/>
      <c r="Q792" s="147"/>
      <c r="R792" s="16"/>
      <c r="S792" s="147"/>
      <c r="T792" s="79"/>
      <c r="U792" s="36"/>
      <c r="V792" s="148"/>
      <c r="W792" s="84"/>
      <c r="X792" s="16"/>
    </row>
    <row r="793" spans="8:24" ht="20" customHeight="1" x14ac:dyDescent="0.25">
      <c r="H793" s="147"/>
      <c r="I793" s="16"/>
      <c r="J793" s="16"/>
      <c r="K793" s="16"/>
      <c r="L793" s="16"/>
      <c r="M793" s="147"/>
      <c r="N793" s="16"/>
      <c r="O793" s="147"/>
      <c r="P793" s="16"/>
      <c r="Q793" s="147"/>
      <c r="R793" s="16"/>
      <c r="S793" s="147"/>
      <c r="T793" s="79"/>
      <c r="U793" s="36"/>
      <c r="V793" s="148"/>
      <c r="W793" s="84"/>
      <c r="X793" s="16"/>
    </row>
    <row r="794" spans="8:24" ht="20" customHeight="1" x14ac:dyDescent="0.25">
      <c r="H794" s="147"/>
      <c r="I794" s="16"/>
      <c r="J794" s="16"/>
      <c r="K794" s="16"/>
      <c r="L794" s="16"/>
      <c r="M794" s="147"/>
      <c r="N794" s="16"/>
      <c r="O794" s="147"/>
      <c r="P794" s="16"/>
      <c r="Q794" s="147"/>
      <c r="R794" s="16"/>
      <c r="S794" s="147"/>
      <c r="T794" s="79"/>
      <c r="U794" s="36"/>
      <c r="V794" s="148"/>
      <c r="W794" s="84"/>
      <c r="X794" s="16"/>
    </row>
    <row r="795" spans="8:24" ht="20" customHeight="1" x14ac:dyDescent="0.25">
      <c r="H795" s="147"/>
      <c r="I795" s="16"/>
      <c r="J795" s="16"/>
      <c r="K795" s="16"/>
      <c r="L795" s="16"/>
      <c r="M795" s="147"/>
      <c r="N795" s="16"/>
      <c r="O795" s="147"/>
      <c r="P795" s="16"/>
      <c r="Q795" s="147"/>
      <c r="R795" s="16"/>
      <c r="S795" s="147"/>
      <c r="T795" s="79"/>
      <c r="U795" s="36"/>
      <c r="V795" s="148"/>
      <c r="W795" s="84"/>
      <c r="X795" s="16"/>
    </row>
    <row r="796" spans="8:24" ht="20" customHeight="1" x14ac:dyDescent="0.25">
      <c r="H796" s="147"/>
      <c r="I796" s="16"/>
      <c r="J796" s="16"/>
      <c r="K796" s="16"/>
      <c r="L796" s="16"/>
      <c r="M796" s="147"/>
      <c r="N796" s="16"/>
      <c r="O796" s="147"/>
      <c r="P796" s="16"/>
      <c r="Q796" s="147"/>
      <c r="R796" s="16"/>
      <c r="S796" s="147"/>
      <c r="T796" s="79"/>
      <c r="U796" s="36"/>
      <c r="V796" s="148"/>
      <c r="W796" s="84"/>
      <c r="X796" s="16"/>
    </row>
    <row r="797" spans="8:24" ht="20" customHeight="1" x14ac:dyDescent="0.25">
      <c r="H797" s="147"/>
      <c r="I797" s="16"/>
      <c r="J797" s="16"/>
      <c r="K797" s="16"/>
      <c r="L797" s="16"/>
      <c r="M797" s="147"/>
      <c r="N797" s="16"/>
      <c r="O797" s="147"/>
      <c r="P797" s="16"/>
      <c r="Q797" s="147"/>
      <c r="R797" s="16"/>
      <c r="S797" s="147"/>
      <c r="T797" s="79"/>
      <c r="U797" s="36"/>
      <c r="V797" s="148"/>
      <c r="W797" s="84"/>
      <c r="X797" s="16"/>
    </row>
    <row r="798" spans="8:24" ht="20" customHeight="1" x14ac:dyDescent="0.25">
      <c r="H798" s="147"/>
      <c r="I798" s="16"/>
      <c r="J798" s="16"/>
      <c r="K798" s="16"/>
      <c r="L798" s="16"/>
      <c r="M798" s="147"/>
      <c r="N798" s="16"/>
      <c r="O798" s="147"/>
      <c r="P798" s="16"/>
      <c r="Q798" s="147"/>
      <c r="R798" s="16"/>
      <c r="S798" s="147"/>
      <c r="T798" s="79"/>
      <c r="U798" s="36"/>
      <c r="V798" s="148"/>
      <c r="W798" s="84"/>
      <c r="X798" s="16"/>
    </row>
    <row r="799" spans="8:24" ht="20" customHeight="1" x14ac:dyDescent="0.25">
      <c r="H799" s="147"/>
      <c r="I799" s="16"/>
      <c r="J799" s="16"/>
      <c r="K799" s="16"/>
      <c r="L799" s="16"/>
      <c r="M799" s="147"/>
      <c r="N799" s="16"/>
      <c r="O799" s="147"/>
      <c r="P799" s="16"/>
      <c r="Q799" s="147"/>
      <c r="R799" s="16"/>
      <c r="S799" s="147"/>
      <c r="T799" s="79"/>
      <c r="U799" s="36"/>
      <c r="V799" s="148"/>
      <c r="W799" s="84"/>
      <c r="X799" s="16"/>
    </row>
    <row r="800" spans="8:24" ht="20" customHeight="1" x14ac:dyDescent="0.25">
      <c r="H800" s="147"/>
      <c r="I800" s="16"/>
      <c r="J800" s="16"/>
      <c r="K800" s="16"/>
      <c r="L800" s="16"/>
      <c r="M800" s="147"/>
      <c r="N800" s="16"/>
      <c r="O800" s="147"/>
      <c r="P800" s="16"/>
      <c r="Q800" s="147"/>
      <c r="R800" s="16"/>
      <c r="S800" s="147"/>
      <c r="T800" s="79"/>
      <c r="U800" s="36"/>
      <c r="V800" s="148"/>
      <c r="W800" s="84"/>
      <c r="X800" s="16"/>
    </row>
    <row r="801" spans="8:24" ht="20" customHeight="1" x14ac:dyDescent="0.25">
      <c r="H801" s="147"/>
      <c r="I801" s="16"/>
      <c r="J801" s="16"/>
      <c r="K801" s="16"/>
      <c r="L801" s="16"/>
      <c r="M801" s="147"/>
      <c r="N801" s="16"/>
      <c r="O801" s="147"/>
      <c r="P801" s="16"/>
      <c r="Q801" s="147"/>
      <c r="R801" s="16"/>
      <c r="S801" s="147"/>
      <c r="T801" s="79"/>
      <c r="U801" s="36"/>
      <c r="V801" s="148"/>
      <c r="W801" s="84"/>
      <c r="X801" s="16"/>
    </row>
    <row r="802" spans="8:24" ht="20" customHeight="1" x14ac:dyDescent="0.25">
      <c r="H802" s="147"/>
      <c r="I802" s="16"/>
      <c r="J802" s="16"/>
      <c r="K802" s="16"/>
      <c r="L802" s="16"/>
      <c r="M802" s="147"/>
      <c r="N802" s="16"/>
      <c r="O802" s="147"/>
      <c r="P802" s="16"/>
      <c r="Q802" s="147"/>
      <c r="R802" s="16"/>
      <c r="S802" s="147"/>
      <c r="T802" s="79"/>
      <c r="U802" s="36"/>
      <c r="V802" s="148"/>
      <c r="W802" s="84"/>
      <c r="X802" s="16"/>
    </row>
    <row r="803" spans="8:24" ht="20" customHeight="1" x14ac:dyDescent="0.25">
      <c r="H803" s="147"/>
      <c r="I803" s="16"/>
      <c r="J803" s="16"/>
      <c r="K803" s="16"/>
      <c r="L803" s="16"/>
      <c r="M803" s="147"/>
      <c r="N803" s="16"/>
      <c r="O803" s="147"/>
      <c r="P803" s="16"/>
      <c r="Q803" s="147"/>
      <c r="R803" s="16"/>
      <c r="S803" s="147"/>
      <c r="T803" s="79"/>
      <c r="U803" s="36"/>
      <c r="V803" s="148"/>
      <c r="W803" s="84"/>
      <c r="X803" s="16"/>
    </row>
    <row r="804" spans="8:24" ht="20" customHeight="1" x14ac:dyDescent="0.25">
      <c r="H804" s="147"/>
      <c r="I804" s="16"/>
      <c r="J804" s="16"/>
      <c r="K804" s="16"/>
      <c r="L804" s="16"/>
      <c r="M804" s="147"/>
      <c r="N804" s="16"/>
      <c r="O804" s="147"/>
      <c r="P804" s="16"/>
      <c r="Q804" s="147"/>
      <c r="R804" s="16"/>
      <c r="S804" s="147"/>
      <c r="T804" s="79"/>
      <c r="U804" s="36"/>
      <c r="V804" s="148"/>
      <c r="W804" s="84"/>
      <c r="X804" s="16"/>
    </row>
    <row r="805" spans="8:24" ht="20" customHeight="1" x14ac:dyDescent="0.25">
      <c r="H805" s="147"/>
      <c r="I805" s="16"/>
      <c r="J805" s="16"/>
      <c r="K805" s="16"/>
      <c r="L805" s="16"/>
      <c r="M805" s="147"/>
      <c r="N805" s="16"/>
      <c r="O805" s="147"/>
      <c r="P805" s="16"/>
      <c r="Q805" s="147"/>
      <c r="R805" s="16"/>
      <c r="S805" s="147"/>
      <c r="T805" s="79"/>
      <c r="U805" s="36"/>
      <c r="V805" s="148"/>
      <c r="W805" s="84"/>
      <c r="X805" s="16"/>
    </row>
    <row r="806" spans="8:24" ht="20" customHeight="1" x14ac:dyDescent="0.25">
      <c r="H806" s="147"/>
      <c r="I806" s="16"/>
      <c r="J806" s="16"/>
      <c r="K806" s="16"/>
      <c r="L806" s="16"/>
      <c r="M806" s="147"/>
      <c r="N806" s="16"/>
      <c r="O806" s="147"/>
      <c r="P806" s="16"/>
      <c r="Q806" s="147"/>
      <c r="R806" s="16"/>
      <c r="S806" s="147"/>
      <c r="T806" s="79"/>
      <c r="U806" s="36"/>
      <c r="V806" s="148"/>
      <c r="W806" s="84"/>
      <c r="X806" s="16"/>
    </row>
    <row r="807" spans="8:24" ht="20" customHeight="1" x14ac:dyDescent="0.25">
      <c r="H807" s="147"/>
      <c r="I807" s="16"/>
      <c r="J807" s="16"/>
      <c r="K807" s="16"/>
      <c r="L807" s="16"/>
      <c r="M807" s="147"/>
      <c r="N807" s="16"/>
      <c r="O807" s="147"/>
      <c r="P807" s="16"/>
      <c r="Q807" s="147"/>
      <c r="R807" s="16"/>
      <c r="S807" s="147"/>
      <c r="T807" s="79"/>
      <c r="U807" s="36"/>
      <c r="V807" s="148"/>
      <c r="W807" s="84"/>
      <c r="X807" s="16"/>
    </row>
    <row r="808" spans="8:24" ht="20" customHeight="1" x14ac:dyDescent="0.25">
      <c r="H808" s="147"/>
      <c r="I808" s="16"/>
      <c r="J808" s="16"/>
      <c r="K808" s="16"/>
      <c r="L808" s="16"/>
      <c r="M808" s="147"/>
      <c r="N808" s="16"/>
      <c r="O808" s="147"/>
      <c r="P808" s="16"/>
      <c r="Q808" s="147"/>
      <c r="R808" s="16"/>
      <c r="S808" s="147"/>
      <c r="T808" s="79"/>
      <c r="U808" s="36"/>
      <c r="V808" s="148"/>
      <c r="W808" s="84"/>
      <c r="X808" s="16"/>
    </row>
    <row r="809" spans="8:24" ht="20" customHeight="1" x14ac:dyDescent="0.25">
      <c r="H809" s="147"/>
      <c r="I809" s="16"/>
      <c r="J809" s="16"/>
      <c r="K809" s="16"/>
      <c r="L809" s="16"/>
      <c r="M809" s="147"/>
      <c r="N809" s="16"/>
      <c r="O809" s="147"/>
      <c r="P809" s="16"/>
      <c r="Q809" s="147"/>
      <c r="R809" s="16"/>
      <c r="S809" s="147"/>
      <c r="T809" s="79"/>
      <c r="U809" s="36"/>
      <c r="V809" s="148"/>
      <c r="W809" s="84"/>
      <c r="X809" s="16"/>
    </row>
    <row r="810" spans="8:24" ht="20" customHeight="1" x14ac:dyDescent="0.25">
      <c r="H810" s="147"/>
      <c r="I810" s="16"/>
      <c r="J810" s="16"/>
      <c r="K810" s="16"/>
      <c r="L810" s="16"/>
      <c r="M810" s="147"/>
      <c r="N810" s="16"/>
      <c r="O810" s="147"/>
      <c r="P810" s="16"/>
      <c r="Q810" s="147"/>
      <c r="R810" s="16"/>
      <c r="S810" s="147"/>
      <c r="T810" s="79"/>
      <c r="U810" s="36"/>
      <c r="V810" s="148"/>
      <c r="W810" s="84"/>
      <c r="X810" s="16"/>
    </row>
    <row r="811" spans="8:24" ht="20" customHeight="1" x14ac:dyDescent="0.25">
      <c r="H811" s="147"/>
      <c r="I811" s="16"/>
      <c r="J811" s="16"/>
      <c r="K811" s="16"/>
      <c r="L811" s="16"/>
      <c r="M811" s="147"/>
      <c r="N811" s="16"/>
      <c r="O811" s="147"/>
      <c r="P811" s="16"/>
      <c r="Q811" s="147"/>
      <c r="R811" s="16"/>
      <c r="S811" s="147"/>
      <c r="T811" s="79"/>
      <c r="U811" s="36"/>
      <c r="V811" s="148"/>
      <c r="W811" s="84"/>
      <c r="X811" s="16"/>
    </row>
    <row r="812" spans="8:24" ht="20" customHeight="1" x14ac:dyDescent="0.25">
      <c r="H812" s="147"/>
      <c r="I812" s="16"/>
      <c r="J812" s="16"/>
      <c r="K812" s="16"/>
      <c r="L812" s="16"/>
      <c r="M812" s="147"/>
      <c r="N812" s="16"/>
      <c r="O812" s="147"/>
      <c r="P812" s="16"/>
      <c r="Q812" s="147"/>
      <c r="R812" s="16"/>
      <c r="S812" s="147"/>
      <c r="T812" s="79"/>
      <c r="U812" s="36"/>
      <c r="V812" s="148"/>
      <c r="W812" s="84"/>
      <c r="X812" s="16"/>
    </row>
    <row r="813" spans="8:24" ht="20" customHeight="1" x14ac:dyDescent="0.25">
      <c r="H813" s="147"/>
      <c r="I813" s="16"/>
      <c r="J813" s="16"/>
      <c r="K813" s="16"/>
      <c r="L813" s="16"/>
      <c r="M813" s="147"/>
      <c r="N813" s="16"/>
      <c r="O813" s="147"/>
      <c r="P813" s="16"/>
      <c r="Q813" s="147"/>
      <c r="R813" s="16"/>
      <c r="S813" s="147"/>
      <c r="T813" s="79"/>
      <c r="U813" s="36"/>
      <c r="V813" s="148"/>
      <c r="W813" s="84"/>
      <c r="X813" s="16"/>
    </row>
    <row r="814" spans="8:24" ht="20" customHeight="1" x14ac:dyDescent="0.25">
      <c r="H814" s="147"/>
      <c r="I814" s="16"/>
      <c r="J814" s="16"/>
      <c r="K814" s="16"/>
      <c r="L814" s="16"/>
      <c r="M814" s="147"/>
      <c r="N814" s="16"/>
      <c r="O814" s="147"/>
      <c r="P814" s="16"/>
      <c r="Q814" s="147"/>
      <c r="R814" s="16"/>
      <c r="S814" s="147"/>
      <c r="T814" s="79"/>
      <c r="U814" s="36"/>
      <c r="V814" s="148"/>
      <c r="W814" s="84"/>
      <c r="X814" s="16"/>
    </row>
    <row r="815" spans="8:24" ht="20" customHeight="1" x14ac:dyDescent="0.25">
      <c r="H815" s="147"/>
      <c r="I815" s="16"/>
      <c r="J815" s="16"/>
      <c r="K815" s="16"/>
      <c r="L815" s="16"/>
      <c r="M815" s="147"/>
      <c r="N815" s="16"/>
      <c r="O815" s="147"/>
      <c r="P815" s="16"/>
      <c r="Q815" s="147"/>
      <c r="R815" s="16"/>
      <c r="S815" s="147"/>
      <c r="T815" s="79"/>
      <c r="U815" s="36"/>
      <c r="V815" s="148"/>
      <c r="W815" s="84"/>
      <c r="X815" s="16"/>
    </row>
    <row r="816" spans="8:24" ht="20" customHeight="1" x14ac:dyDescent="0.25">
      <c r="H816" s="147"/>
      <c r="I816" s="16"/>
      <c r="J816" s="16"/>
      <c r="K816" s="16"/>
      <c r="L816" s="16"/>
      <c r="M816" s="147"/>
      <c r="N816" s="16"/>
      <c r="O816" s="147"/>
      <c r="P816" s="16"/>
      <c r="Q816" s="147"/>
      <c r="R816" s="16"/>
      <c r="S816" s="147"/>
      <c r="T816" s="79"/>
      <c r="U816" s="36"/>
      <c r="V816" s="148"/>
      <c r="W816" s="84"/>
      <c r="X816" s="16"/>
    </row>
    <row r="817" spans="8:24" ht="20" customHeight="1" x14ac:dyDescent="0.25">
      <c r="H817" s="147"/>
      <c r="I817" s="16"/>
      <c r="J817" s="16"/>
      <c r="K817" s="16"/>
      <c r="L817" s="16"/>
      <c r="M817" s="147"/>
      <c r="N817" s="16"/>
      <c r="O817" s="147"/>
      <c r="P817" s="16"/>
      <c r="Q817" s="147"/>
      <c r="R817" s="16"/>
      <c r="S817" s="147"/>
      <c r="T817" s="79"/>
      <c r="U817" s="36"/>
      <c r="V817" s="148"/>
      <c r="W817" s="84"/>
      <c r="X817" s="16"/>
    </row>
    <row r="818" spans="8:24" ht="20" customHeight="1" x14ac:dyDescent="0.25">
      <c r="H818" s="147"/>
      <c r="I818" s="16"/>
      <c r="J818" s="16"/>
      <c r="K818" s="16"/>
      <c r="L818" s="16"/>
      <c r="M818" s="147"/>
      <c r="N818" s="16"/>
      <c r="O818" s="147"/>
      <c r="P818" s="16"/>
      <c r="Q818" s="147"/>
      <c r="R818" s="16"/>
      <c r="S818" s="147"/>
      <c r="T818" s="79"/>
      <c r="U818" s="36"/>
      <c r="V818" s="148"/>
      <c r="W818" s="84"/>
      <c r="X818" s="16"/>
    </row>
    <row r="819" spans="8:24" ht="20" customHeight="1" x14ac:dyDescent="0.25">
      <c r="H819" s="147"/>
      <c r="I819" s="16"/>
      <c r="J819" s="16"/>
      <c r="K819" s="16"/>
      <c r="L819" s="16"/>
      <c r="M819" s="147"/>
      <c r="N819" s="16"/>
      <c r="O819" s="147"/>
      <c r="P819" s="16"/>
      <c r="Q819" s="147"/>
      <c r="R819" s="16"/>
      <c r="S819" s="147"/>
      <c r="T819" s="79"/>
      <c r="U819" s="36"/>
      <c r="V819" s="148"/>
      <c r="W819" s="84"/>
      <c r="X819" s="16"/>
    </row>
    <row r="820" spans="8:24" ht="20" customHeight="1" x14ac:dyDescent="0.25">
      <c r="H820" s="147"/>
      <c r="I820" s="16"/>
      <c r="J820" s="16"/>
      <c r="K820" s="16"/>
      <c r="L820" s="16"/>
      <c r="M820" s="147"/>
      <c r="N820" s="16"/>
      <c r="O820" s="147"/>
      <c r="P820" s="16"/>
      <c r="Q820" s="147"/>
      <c r="R820" s="16"/>
      <c r="S820" s="147"/>
      <c r="T820" s="79"/>
      <c r="U820" s="36"/>
      <c r="V820" s="148"/>
      <c r="W820" s="84"/>
      <c r="X820" s="16"/>
    </row>
    <row r="821" spans="8:24" ht="20" customHeight="1" x14ac:dyDescent="0.25">
      <c r="H821" s="147"/>
      <c r="I821" s="16"/>
      <c r="J821" s="16"/>
      <c r="K821" s="16"/>
      <c r="L821" s="16"/>
      <c r="M821" s="147"/>
      <c r="N821" s="16"/>
      <c r="O821" s="147"/>
      <c r="P821" s="16"/>
      <c r="Q821" s="147"/>
      <c r="R821" s="16"/>
      <c r="S821" s="147"/>
      <c r="T821" s="79"/>
      <c r="U821" s="36"/>
      <c r="V821" s="148"/>
      <c r="W821" s="84"/>
      <c r="X821" s="16"/>
    </row>
    <row r="822" spans="8:24" ht="20" customHeight="1" x14ac:dyDescent="0.25">
      <c r="H822" s="147"/>
      <c r="I822" s="16"/>
      <c r="J822" s="16"/>
      <c r="K822" s="16"/>
      <c r="L822" s="16"/>
      <c r="M822" s="147"/>
      <c r="N822" s="16"/>
      <c r="O822" s="147"/>
      <c r="P822" s="16"/>
      <c r="Q822" s="147"/>
      <c r="R822" s="16"/>
      <c r="S822" s="147"/>
      <c r="T822" s="79"/>
      <c r="U822" s="36"/>
      <c r="V822" s="148"/>
      <c r="W822" s="84"/>
      <c r="X822" s="16"/>
    </row>
    <row r="823" spans="8:24" ht="20" customHeight="1" x14ac:dyDescent="0.25">
      <c r="H823" s="147"/>
      <c r="I823" s="16"/>
      <c r="J823" s="16"/>
      <c r="K823" s="16"/>
      <c r="L823" s="16"/>
      <c r="M823" s="147"/>
      <c r="N823" s="16"/>
      <c r="O823" s="147"/>
      <c r="P823" s="16"/>
      <c r="Q823" s="147"/>
      <c r="R823" s="16"/>
      <c r="S823" s="147"/>
      <c r="T823" s="79"/>
      <c r="U823" s="36"/>
      <c r="V823" s="148"/>
      <c r="W823" s="84"/>
      <c r="X823" s="16"/>
    </row>
    <row r="824" spans="8:24" ht="20" customHeight="1" x14ac:dyDescent="0.25">
      <c r="H824" s="147"/>
      <c r="I824" s="16"/>
      <c r="J824" s="16"/>
      <c r="K824" s="16"/>
      <c r="L824" s="16"/>
      <c r="M824" s="147"/>
      <c r="N824" s="16"/>
      <c r="O824" s="147"/>
      <c r="P824" s="16"/>
      <c r="Q824" s="147"/>
      <c r="R824" s="16"/>
      <c r="S824" s="147"/>
      <c r="T824" s="79"/>
      <c r="U824" s="36"/>
      <c r="V824" s="148"/>
      <c r="W824" s="84"/>
      <c r="X824" s="16"/>
    </row>
    <row r="825" spans="8:24" ht="20" customHeight="1" x14ac:dyDescent="0.25">
      <c r="H825" s="147"/>
      <c r="I825" s="16"/>
      <c r="J825" s="16"/>
      <c r="K825" s="16"/>
      <c r="L825" s="16"/>
      <c r="M825" s="147"/>
      <c r="N825" s="16"/>
      <c r="O825" s="147"/>
      <c r="P825" s="16"/>
      <c r="Q825" s="147"/>
      <c r="R825" s="16"/>
      <c r="S825" s="147"/>
      <c r="T825" s="79"/>
      <c r="U825" s="36"/>
      <c r="V825" s="148"/>
      <c r="W825" s="84"/>
      <c r="X825" s="16"/>
    </row>
    <row r="826" spans="8:24" ht="20" customHeight="1" x14ac:dyDescent="0.25">
      <c r="H826" s="147"/>
      <c r="I826" s="16"/>
      <c r="J826" s="16"/>
      <c r="K826" s="16"/>
      <c r="L826" s="16"/>
      <c r="M826" s="147"/>
      <c r="N826" s="16"/>
      <c r="O826" s="147"/>
      <c r="P826" s="16"/>
      <c r="Q826" s="147"/>
      <c r="R826" s="16"/>
      <c r="S826" s="147"/>
      <c r="T826" s="79"/>
      <c r="U826" s="36"/>
      <c r="V826" s="148"/>
      <c r="W826" s="84"/>
      <c r="X826" s="16"/>
    </row>
    <row r="827" spans="8:24" ht="20" customHeight="1" x14ac:dyDescent="0.25">
      <c r="H827" s="147"/>
      <c r="I827" s="16"/>
      <c r="J827" s="16"/>
      <c r="K827" s="16"/>
      <c r="L827" s="16"/>
      <c r="M827" s="147"/>
      <c r="N827" s="16"/>
      <c r="O827" s="147"/>
      <c r="P827" s="16"/>
      <c r="Q827" s="147"/>
      <c r="R827" s="16"/>
      <c r="S827" s="147"/>
      <c r="T827" s="79"/>
      <c r="U827" s="36"/>
      <c r="V827" s="148"/>
      <c r="W827" s="84"/>
      <c r="X827" s="16"/>
    </row>
    <row r="828" spans="8:24" ht="20" customHeight="1" x14ac:dyDescent="0.25">
      <c r="H828" s="147"/>
      <c r="I828" s="16"/>
      <c r="J828" s="16"/>
      <c r="K828" s="16"/>
      <c r="L828" s="16"/>
      <c r="M828" s="147"/>
      <c r="N828" s="16"/>
      <c r="O828" s="147"/>
      <c r="P828" s="16"/>
      <c r="Q828" s="147"/>
      <c r="R828" s="16"/>
      <c r="S828" s="147"/>
      <c r="T828" s="79"/>
      <c r="U828" s="36"/>
      <c r="V828" s="148"/>
      <c r="W828" s="84"/>
      <c r="X828" s="16"/>
    </row>
    <row r="829" spans="8:24" ht="20" customHeight="1" x14ac:dyDescent="0.25">
      <c r="H829" s="147"/>
      <c r="I829" s="16"/>
      <c r="J829" s="16"/>
      <c r="K829" s="16"/>
      <c r="L829" s="16"/>
      <c r="M829" s="147"/>
      <c r="N829" s="16"/>
      <c r="O829" s="147"/>
      <c r="P829" s="16"/>
      <c r="Q829" s="147"/>
      <c r="R829" s="16"/>
      <c r="S829" s="147"/>
      <c r="T829" s="79"/>
      <c r="U829" s="36"/>
      <c r="V829" s="148"/>
      <c r="W829" s="84"/>
      <c r="X829" s="16"/>
    </row>
    <row r="830" spans="8:24" ht="20" customHeight="1" x14ac:dyDescent="0.25">
      <c r="H830" s="147"/>
      <c r="I830" s="16"/>
      <c r="J830" s="16"/>
      <c r="K830" s="16"/>
      <c r="L830" s="16"/>
      <c r="M830" s="147"/>
      <c r="N830" s="16"/>
      <c r="O830" s="147"/>
      <c r="P830" s="16"/>
      <c r="Q830" s="147"/>
      <c r="R830" s="16"/>
      <c r="S830" s="147"/>
      <c r="T830" s="79"/>
      <c r="U830" s="36"/>
      <c r="V830" s="148"/>
      <c r="W830" s="84"/>
      <c r="X830" s="16"/>
    </row>
    <row r="831" spans="8:24" ht="20" customHeight="1" x14ac:dyDescent="0.25">
      <c r="H831" s="147"/>
      <c r="I831" s="16"/>
      <c r="J831" s="16"/>
      <c r="K831" s="16"/>
      <c r="L831" s="16"/>
      <c r="M831" s="147"/>
      <c r="N831" s="16"/>
      <c r="O831" s="147"/>
      <c r="P831" s="16"/>
      <c r="Q831" s="147"/>
      <c r="R831" s="16"/>
      <c r="S831" s="147"/>
      <c r="T831" s="79"/>
      <c r="U831" s="36"/>
      <c r="V831" s="148"/>
      <c r="W831" s="84"/>
      <c r="X831" s="16"/>
    </row>
    <row r="832" spans="8:24" ht="20" customHeight="1" x14ac:dyDescent="0.25">
      <c r="H832" s="147"/>
      <c r="I832" s="16"/>
      <c r="J832" s="16"/>
      <c r="K832" s="16"/>
      <c r="L832" s="16"/>
      <c r="M832" s="147"/>
      <c r="N832" s="16"/>
      <c r="O832" s="147"/>
      <c r="P832" s="16"/>
      <c r="Q832" s="147"/>
      <c r="R832" s="16"/>
      <c r="S832" s="147"/>
      <c r="T832" s="79"/>
      <c r="U832" s="36"/>
      <c r="V832" s="148"/>
      <c r="W832" s="84"/>
      <c r="X832" s="16"/>
    </row>
  </sheetData>
  <mergeCells count="17">
    <mergeCell ref="B13:C13"/>
    <mergeCell ref="B14:C14"/>
    <mergeCell ref="B15:C15"/>
    <mergeCell ref="B16:C16"/>
    <mergeCell ref="B18:C18"/>
    <mergeCell ref="A1:C1"/>
    <mergeCell ref="A2:C2"/>
    <mergeCell ref="B3:C3"/>
    <mergeCell ref="B4:C4"/>
    <mergeCell ref="B5:C5"/>
    <mergeCell ref="B11:C11"/>
    <mergeCell ref="B12:C12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255" priority="10" operator="equal">
      <formula>"Buyer PO"</formula>
    </cfRule>
    <cfRule type="cellIs" dxfId="254" priority="11" operator="equal">
      <formula>"Commit PO"</formula>
    </cfRule>
  </conditionalFormatting>
  <conditionalFormatting sqref="E8">
    <cfRule type="containsBlanks" dxfId="253" priority="9">
      <formula>LEN(TRIM(E8))=0</formula>
    </cfRule>
  </conditionalFormatting>
  <conditionalFormatting sqref="I3:I832">
    <cfRule type="cellIs" dxfId="252" priority="1" operator="equal">
      <formula>"DELETED"</formula>
    </cfRule>
    <cfRule type="cellIs" dxfId="251" priority="2" operator="equal">
      <formula>"삭제"</formula>
    </cfRule>
    <cfRule type="cellIs" dxfId="250" priority="3" operator="equal">
      <formula>"수정"</formula>
    </cfRule>
    <cfRule type="cellIs" dxfId="249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18:C18" r:id="rId1" display="대시보드" xr:uid="{62BB1592-E7B7-4F50-AAF9-98C4831A9966}"/>
    <hyperlink ref="B3:C3" location="인덴트관리!A1" display="1. 인덴트 관리" xr:uid="{3043EF73-65DD-4C60-ACD1-676A0AB1CA2D}"/>
    <hyperlink ref="B4:C4" location="PO관리!A1" display="2. PO 관리" xr:uid="{97241937-4545-4414-80BE-E127D5A25F4E}"/>
    <hyperlink ref="B6:C6" location="지출계획!A1" display="3. 지출계획" xr:uid="{A5A54A96-D5DF-4DC8-A161-DC410E2BF195}"/>
    <hyperlink ref="B7:C7" location="매출채권!A1" display="4. 매출채권" xr:uid="{C535028B-7976-4CE4-BF85-92E35FF0F2EA}"/>
    <hyperlink ref="B8:C8" location="체크리스트!A1" display="5. 체크리스트" xr:uid="{D744FB7F-67D2-4C45-BA7C-E9795CF854BD}"/>
    <hyperlink ref="B9:C9" location="발주서!A1" display="6. 발주서" xr:uid="{466EBA5D-5F5C-4A86-96E2-771D5D5F94FF}"/>
    <hyperlink ref="B12:C12" location="Tracking!A1" display="Tracking" xr:uid="{FDEFA049-F0E0-4ED0-8567-E5E5AB4062D9}"/>
    <hyperlink ref="B5:C5" location="PO관리툴!A1" display="PO 관리" xr:uid="{5019A585-E3A5-4D3F-8999-A149AC626005}"/>
    <hyperlink ref="B11:C11" location="선적수량!A1" display="선적수량" xr:uid="{9E820BF4-E399-45E1-9375-F4A1E72ACD9B}"/>
    <hyperlink ref="B10:C10" location="견적서!A1" display="견적서" xr:uid="{E159D560-59F5-43A6-B1E9-EF000437DAF3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89FA179B-94CA-403C-A4BE-5BF9867BA80D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C0645E61-92A4-406F-8E2A-365BE1A06D65}">
          <x14:formula1>
            <xm:f>validation!$L$2:$L$326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78B578C3-89FD-4767-B43B-8E557FAC1245}">
          <x14:formula1>
            <xm:f>validation!$M$2:$M$535</xm:f>
          </x14:formula1>
          <xm:sqref>P3:P832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69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1529</v>
      </c>
      <c r="C1" t="s">
        <v>4235</v>
      </c>
    </row>
    <row r="2" spans="1:3" x14ac:dyDescent="0.25">
      <c r="A2" t="s">
        <v>1530</v>
      </c>
      <c r="C2" t="s">
        <v>4274</v>
      </c>
    </row>
    <row r="3" spans="1:3" x14ac:dyDescent="0.25">
      <c r="A3" t="s">
        <v>1531</v>
      </c>
      <c r="C3" t="s">
        <v>4285</v>
      </c>
    </row>
    <row r="4" spans="1:3" x14ac:dyDescent="0.25">
      <c r="A4" t="s">
        <v>1532</v>
      </c>
      <c r="C4" t="s">
        <v>4259</v>
      </c>
    </row>
    <row r="5" spans="1:3" x14ac:dyDescent="0.25">
      <c r="A5" t="s">
        <v>1533</v>
      </c>
      <c r="C5" t="s">
        <v>4256</v>
      </c>
    </row>
    <row r="6" spans="1:3" x14ac:dyDescent="0.25">
      <c r="A6" t="s">
        <v>1534</v>
      </c>
      <c r="C6" t="s">
        <v>4294</v>
      </c>
    </row>
    <row r="7" spans="1:3" x14ac:dyDescent="0.25">
      <c r="A7" t="s">
        <v>1535</v>
      </c>
      <c r="C7" t="s">
        <v>4237</v>
      </c>
    </row>
    <row r="8" spans="1:3" x14ac:dyDescent="0.25">
      <c r="A8" t="s">
        <v>1536</v>
      </c>
      <c r="C8" t="s">
        <v>4233</v>
      </c>
    </row>
    <row r="9" spans="1:3" x14ac:dyDescent="0.25">
      <c r="A9" t="s">
        <v>1537</v>
      </c>
      <c r="C9" t="s">
        <v>4232</v>
      </c>
    </row>
    <row r="10" spans="1:3" x14ac:dyDescent="0.25">
      <c r="A10" t="s">
        <v>1538</v>
      </c>
      <c r="C10" t="s">
        <v>4229</v>
      </c>
    </row>
    <row r="11" spans="1:3" x14ac:dyDescent="0.25">
      <c r="A11" t="s">
        <v>1539</v>
      </c>
      <c r="C11" t="s">
        <v>4230</v>
      </c>
    </row>
    <row r="12" spans="1:3" x14ac:dyDescent="0.25">
      <c r="A12" t="s">
        <v>1540</v>
      </c>
      <c r="C12" t="s">
        <v>4231</v>
      </c>
    </row>
    <row r="13" spans="1:3" x14ac:dyDescent="0.25">
      <c r="A13" t="s">
        <v>1541</v>
      </c>
      <c r="C13" t="s">
        <v>4245</v>
      </c>
    </row>
    <row r="14" spans="1:3" x14ac:dyDescent="0.25">
      <c r="A14" t="s">
        <v>1542</v>
      </c>
    </row>
    <row r="15" spans="1:3" x14ac:dyDescent="0.25">
      <c r="A15" t="s">
        <v>1543</v>
      </c>
    </row>
    <row r="16" spans="1:3" x14ac:dyDescent="0.25">
      <c r="A16" t="s">
        <v>1544</v>
      </c>
    </row>
    <row r="17" spans="1:1" x14ac:dyDescent="0.25">
      <c r="A17" t="s">
        <v>1545</v>
      </c>
    </row>
    <row r="18" spans="1:1" x14ac:dyDescent="0.25">
      <c r="A18" t="s">
        <v>1546</v>
      </c>
    </row>
    <row r="19" spans="1:1" x14ac:dyDescent="0.25">
      <c r="A19" t="s">
        <v>1547</v>
      </c>
    </row>
    <row r="20" spans="1:1" x14ac:dyDescent="0.25">
      <c r="A20" t="s">
        <v>1548</v>
      </c>
    </row>
    <row r="21" spans="1:1" x14ac:dyDescent="0.25">
      <c r="A21" t="s">
        <v>1549</v>
      </c>
    </row>
    <row r="22" spans="1:1" x14ac:dyDescent="0.25">
      <c r="A22" t="s">
        <v>1550</v>
      </c>
    </row>
    <row r="23" spans="1:1" x14ac:dyDescent="0.25">
      <c r="A23" t="s">
        <v>1551</v>
      </c>
    </row>
    <row r="24" spans="1:1" x14ac:dyDescent="0.25">
      <c r="A24" t="s">
        <v>1552</v>
      </c>
    </row>
    <row r="25" spans="1:1" x14ac:dyDescent="0.25">
      <c r="A25" t="s">
        <v>1553</v>
      </c>
    </row>
    <row r="26" spans="1:1" x14ac:dyDescent="0.25">
      <c r="A26" t="s">
        <v>1554</v>
      </c>
    </row>
    <row r="27" spans="1:1" x14ac:dyDescent="0.25">
      <c r="A27" t="s">
        <v>1555</v>
      </c>
    </row>
    <row r="28" spans="1:1" x14ac:dyDescent="0.25">
      <c r="A28" t="s">
        <v>1556</v>
      </c>
    </row>
    <row r="29" spans="1:1" x14ac:dyDescent="0.25">
      <c r="A29" t="s">
        <v>1557</v>
      </c>
    </row>
    <row r="30" spans="1:1" x14ac:dyDescent="0.25">
      <c r="A30" t="s">
        <v>1558</v>
      </c>
    </row>
    <row r="31" spans="1:1" x14ac:dyDescent="0.25">
      <c r="A31" t="s">
        <v>1559</v>
      </c>
    </row>
    <row r="32" spans="1:1" x14ac:dyDescent="0.25">
      <c r="A32" t="s">
        <v>1560</v>
      </c>
    </row>
    <row r="33" spans="1:1" x14ac:dyDescent="0.25">
      <c r="A33" t="s">
        <v>1561</v>
      </c>
    </row>
    <row r="34" spans="1:1" x14ac:dyDescent="0.25">
      <c r="A34" t="s">
        <v>1562</v>
      </c>
    </row>
    <row r="35" spans="1:1" x14ac:dyDescent="0.25">
      <c r="A35" t="s">
        <v>1563</v>
      </c>
    </row>
    <row r="36" spans="1:1" x14ac:dyDescent="0.25">
      <c r="A36" t="s">
        <v>1564</v>
      </c>
    </row>
    <row r="37" spans="1:1" x14ac:dyDescent="0.25">
      <c r="A37" t="s">
        <v>1565</v>
      </c>
    </row>
    <row r="38" spans="1:1" x14ac:dyDescent="0.25">
      <c r="A38" t="s">
        <v>1566</v>
      </c>
    </row>
    <row r="39" spans="1:1" x14ac:dyDescent="0.25">
      <c r="A39" t="s">
        <v>1567</v>
      </c>
    </row>
    <row r="40" spans="1:1" x14ac:dyDescent="0.25">
      <c r="A40" t="s">
        <v>1568</v>
      </c>
    </row>
    <row r="41" spans="1:1" x14ac:dyDescent="0.25">
      <c r="A41" t="s">
        <v>1569</v>
      </c>
    </row>
    <row r="42" spans="1:1" x14ac:dyDescent="0.25">
      <c r="A42" t="s">
        <v>1570</v>
      </c>
    </row>
    <row r="43" spans="1:1" x14ac:dyDescent="0.25">
      <c r="A43" t="s">
        <v>1571</v>
      </c>
    </row>
    <row r="44" spans="1:1" x14ac:dyDescent="0.25">
      <c r="A44" t="s">
        <v>1572</v>
      </c>
    </row>
    <row r="45" spans="1:1" x14ac:dyDescent="0.25">
      <c r="A45" t="s">
        <v>1573</v>
      </c>
    </row>
    <row r="46" spans="1:1" x14ac:dyDescent="0.25">
      <c r="A46" t="s">
        <v>1574</v>
      </c>
    </row>
    <row r="47" spans="1:1" x14ac:dyDescent="0.25">
      <c r="A47" t="s">
        <v>1575</v>
      </c>
    </row>
    <row r="48" spans="1:1" x14ac:dyDescent="0.25">
      <c r="A48" t="s">
        <v>1576</v>
      </c>
    </row>
    <row r="49" spans="1:1" x14ac:dyDescent="0.25">
      <c r="A49" t="s">
        <v>1577</v>
      </c>
    </row>
    <row r="50" spans="1:1" x14ac:dyDescent="0.25">
      <c r="A50" t="s">
        <v>1578</v>
      </c>
    </row>
    <row r="51" spans="1:1" x14ac:dyDescent="0.25">
      <c r="A51" t="s">
        <v>1579</v>
      </c>
    </row>
    <row r="52" spans="1:1" x14ac:dyDescent="0.25">
      <c r="A52" t="s">
        <v>1580</v>
      </c>
    </row>
    <row r="53" spans="1:1" x14ac:dyDescent="0.25">
      <c r="A53" t="s">
        <v>1581</v>
      </c>
    </row>
    <row r="54" spans="1:1" x14ac:dyDescent="0.25">
      <c r="A54" t="s">
        <v>1582</v>
      </c>
    </row>
    <row r="55" spans="1:1" x14ac:dyDescent="0.25">
      <c r="A55" t="s">
        <v>1583</v>
      </c>
    </row>
    <row r="56" spans="1:1" x14ac:dyDescent="0.25">
      <c r="A56" t="s">
        <v>1584</v>
      </c>
    </row>
    <row r="57" spans="1:1" x14ac:dyDescent="0.25">
      <c r="A57" t="s">
        <v>1585</v>
      </c>
    </row>
    <row r="58" spans="1:1" x14ac:dyDescent="0.25">
      <c r="A58" t="s">
        <v>1586</v>
      </c>
    </row>
    <row r="59" spans="1:1" x14ac:dyDescent="0.25">
      <c r="A59" t="s">
        <v>1587</v>
      </c>
    </row>
    <row r="60" spans="1:1" x14ac:dyDescent="0.25">
      <c r="A60" t="s">
        <v>1588</v>
      </c>
    </row>
    <row r="61" spans="1:1" x14ac:dyDescent="0.25">
      <c r="A61" t="s">
        <v>1589</v>
      </c>
    </row>
    <row r="62" spans="1:1" x14ac:dyDescent="0.25">
      <c r="A62" t="s">
        <v>1590</v>
      </c>
    </row>
    <row r="63" spans="1:1" x14ac:dyDescent="0.25">
      <c r="A63" t="s">
        <v>1591</v>
      </c>
    </row>
    <row r="64" spans="1:1" x14ac:dyDescent="0.25">
      <c r="A64" t="s">
        <v>1592</v>
      </c>
    </row>
    <row r="65" spans="1:1" x14ac:dyDescent="0.25">
      <c r="A65" t="s">
        <v>1593</v>
      </c>
    </row>
    <row r="66" spans="1:1" x14ac:dyDescent="0.25">
      <c r="A66" t="s">
        <v>1594</v>
      </c>
    </row>
    <row r="67" spans="1:1" x14ac:dyDescent="0.25">
      <c r="A67" t="s">
        <v>1595</v>
      </c>
    </row>
    <row r="68" spans="1:1" x14ac:dyDescent="0.25">
      <c r="A68" t="s">
        <v>1596</v>
      </c>
    </row>
    <row r="69" spans="1:1" x14ac:dyDescent="0.25">
      <c r="A69" t="s">
        <v>1597</v>
      </c>
    </row>
    <row r="70" spans="1:1" x14ac:dyDescent="0.25">
      <c r="A70" t="s">
        <v>1598</v>
      </c>
    </row>
    <row r="71" spans="1:1" x14ac:dyDescent="0.25">
      <c r="A71" t="s">
        <v>1599</v>
      </c>
    </row>
    <row r="72" spans="1:1" x14ac:dyDescent="0.25">
      <c r="A72" t="s">
        <v>1600</v>
      </c>
    </row>
    <row r="73" spans="1:1" x14ac:dyDescent="0.25">
      <c r="A73" t="s">
        <v>1601</v>
      </c>
    </row>
    <row r="74" spans="1:1" x14ac:dyDescent="0.25">
      <c r="A74" t="s">
        <v>1602</v>
      </c>
    </row>
    <row r="75" spans="1:1" x14ac:dyDescent="0.25">
      <c r="A75" t="s">
        <v>1603</v>
      </c>
    </row>
    <row r="76" spans="1:1" x14ac:dyDescent="0.25">
      <c r="A76" t="s">
        <v>1604</v>
      </c>
    </row>
    <row r="77" spans="1:1" x14ac:dyDescent="0.25">
      <c r="A77" t="s">
        <v>1605</v>
      </c>
    </row>
    <row r="78" spans="1:1" x14ac:dyDescent="0.25">
      <c r="A78" t="s">
        <v>1606</v>
      </c>
    </row>
    <row r="79" spans="1:1" x14ac:dyDescent="0.25">
      <c r="A79" t="s">
        <v>1607</v>
      </c>
    </row>
    <row r="80" spans="1:1" x14ac:dyDescent="0.25">
      <c r="A80" t="s">
        <v>1608</v>
      </c>
    </row>
    <row r="81" spans="1:1" x14ac:dyDescent="0.25">
      <c r="A81" t="s">
        <v>1609</v>
      </c>
    </row>
    <row r="82" spans="1:1" x14ac:dyDescent="0.25">
      <c r="A82" t="s">
        <v>1610</v>
      </c>
    </row>
    <row r="83" spans="1:1" x14ac:dyDescent="0.25">
      <c r="A83" t="s">
        <v>1611</v>
      </c>
    </row>
    <row r="84" spans="1:1" x14ac:dyDescent="0.25">
      <c r="A84" t="s">
        <v>1612</v>
      </c>
    </row>
    <row r="85" spans="1:1" x14ac:dyDescent="0.25">
      <c r="A85" t="s">
        <v>1613</v>
      </c>
    </row>
    <row r="86" spans="1:1" x14ac:dyDescent="0.25">
      <c r="A86" t="s">
        <v>1614</v>
      </c>
    </row>
    <row r="87" spans="1:1" x14ac:dyDescent="0.25">
      <c r="A87" t="s">
        <v>1615</v>
      </c>
    </row>
    <row r="88" spans="1:1" x14ac:dyDescent="0.25">
      <c r="A88" t="s">
        <v>1616</v>
      </c>
    </row>
    <row r="89" spans="1:1" x14ac:dyDescent="0.25">
      <c r="A89" t="s">
        <v>1617</v>
      </c>
    </row>
    <row r="90" spans="1:1" x14ac:dyDescent="0.25">
      <c r="A90" t="s">
        <v>1618</v>
      </c>
    </row>
    <row r="91" spans="1:1" x14ac:dyDescent="0.25">
      <c r="A91" t="s">
        <v>1619</v>
      </c>
    </row>
    <row r="92" spans="1:1" x14ac:dyDescent="0.25">
      <c r="A92" t="s">
        <v>1620</v>
      </c>
    </row>
    <row r="93" spans="1:1" x14ac:dyDescent="0.25">
      <c r="A93" t="s">
        <v>1621</v>
      </c>
    </row>
    <row r="94" spans="1:1" x14ac:dyDescent="0.25">
      <c r="A94" t="s">
        <v>1622</v>
      </c>
    </row>
    <row r="95" spans="1:1" x14ac:dyDescent="0.25">
      <c r="A95" t="s">
        <v>1623</v>
      </c>
    </row>
    <row r="96" spans="1:1" x14ac:dyDescent="0.25">
      <c r="A96" t="s">
        <v>1624</v>
      </c>
    </row>
    <row r="97" spans="1:1" x14ac:dyDescent="0.25">
      <c r="A97" t="s">
        <v>1625</v>
      </c>
    </row>
    <row r="98" spans="1:1" x14ac:dyDescent="0.25">
      <c r="A98" t="s">
        <v>1626</v>
      </c>
    </row>
    <row r="99" spans="1:1" x14ac:dyDescent="0.25">
      <c r="A99" t="s">
        <v>1627</v>
      </c>
    </row>
    <row r="100" spans="1:1" x14ac:dyDescent="0.25">
      <c r="A100" t="s">
        <v>1628</v>
      </c>
    </row>
    <row r="101" spans="1:1" x14ac:dyDescent="0.25">
      <c r="A101" t="s">
        <v>1629</v>
      </c>
    </row>
    <row r="102" spans="1:1" x14ac:dyDescent="0.25">
      <c r="A102" t="s">
        <v>1630</v>
      </c>
    </row>
    <row r="103" spans="1:1" x14ac:dyDescent="0.25">
      <c r="A103" t="s">
        <v>1631</v>
      </c>
    </row>
    <row r="104" spans="1:1" x14ac:dyDescent="0.25">
      <c r="A104" t="s">
        <v>1632</v>
      </c>
    </row>
    <row r="105" spans="1:1" x14ac:dyDescent="0.25">
      <c r="A105" t="s">
        <v>1633</v>
      </c>
    </row>
    <row r="106" spans="1:1" x14ac:dyDescent="0.25">
      <c r="A106" t="s">
        <v>1634</v>
      </c>
    </row>
    <row r="107" spans="1:1" x14ac:dyDescent="0.25">
      <c r="A107" t="s">
        <v>1635</v>
      </c>
    </row>
    <row r="108" spans="1:1" x14ac:dyDescent="0.25">
      <c r="A108" t="s">
        <v>1636</v>
      </c>
    </row>
    <row r="109" spans="1:1" x14ac:dyDescent="0.25">
      <c r="A109" t="s">
        <v>1637</v>
      </c>
    </row>
    <row r="110" spans="1:1" x14ac:dyDescent="0.25">
      <c r="A110" t="s">
        <v>1638</v>
      </c>
    </row>
    <row r="111" spans="1:1" x14ac:dyDescent="0.25">
      <c r="A111" t="s">
        <v>1639</v>
      </c>
    </row>
    <row r="112" spans="1:1" x14ac:dyDescent="0.25">
      <c r="A112" t="s">
        <v>1640</v>
      </c>
    </row>
    <row r="113" spans="1:1" x14ac:dyDescent="0.25">
      <c r="A113" t="s">
        <v>1641</v>
      </c>
    </row>
    <row r="114" spans="1:1" x14ac:dyDescent="0.25">
      <c r="A114" t="s">
        <v>1642</v>
      </c>
    </row>
    <row r="115" spans="1:1" x14ac:dyDescent="0.25">
      <c r="A115" t="s">
        <v>1643</v>
      </c>
    </row>
    <row r="116" spans="1:1" x14ac:dyDescent="0.25">
      <c r="A116" t="s">
        <v>1644</v>
      </c>
    </row>
    <row r="117" spans="1:1" x14ac:dyDescent="0.25">
      <c r="A117" t="s">
        <v>1645</v>
      </c>
    </row>
    <row r="118" spans="1:1" x14ac:dyDescent="0.25">
      <c r="A118" t="s">
        <v>1646</v>
      </c>
    </row>
    <row r="119" spans="1:1" x14ac:dyDescent="0.25">
      <c r="A119" t="s">
        <v>1647</v>
      </c>
    </row>
    <row r="120" spans="1:1" x14ac:dyDescent="0.25">
      <c r="A120" t="s">
        <v>1648</v>
      </c>
    </row>
    <row r="121" spans="1:1" x14ac:dyDescent="0.25">
      <c r="A121" t="s">
        <v>1649</v>
      </c>
    </row>
    <row r="122" spans="1:1" x14ac:dyDescent="0.25">
      <c r="A122" t="s">
        <v>1650</v>
      </c>
    </row>
    <row r="123" spans="1:1" x14ac:dyDescent="0.25">
      <c r="A123" t="s">
        <v>1651</v>
      </c>
    </row>
    <row r="124" spans="1:1" x14ac:dyDescent="0.25">
      <c r="A124" t="s">
        <v>1652</v>
      </c>
    </row>
    <row r="125" spans="1:1" x14ac:dyDescent="0.25">
      <c r="A125" t="s">
        <v>1653</v>
      </c>
    </row>
    <row r="126" spans="1:1" x14ac:dyDescent="0.25">
      <c r="A126" t="s">
        <v>1654</v>
      </c>
    </row>
    <row r="127" spans="1:1" x14ac:dyDescent="0.25">
      <c r="A127" t="s">
        <v>1655</v>
      </c>
    </row>
    <row r="128" spans="1:1" x14ac:dyDescent="0.25">
      <c r="A128" t="s">
        <v>1656</v>
      </c>
    </row>
    <row r="129" spans="1:1" x14ac:dyDescent="0.25">
      <c r="A129" t="s">
        <v>1657</v>
      </c>
    </row>
    <row r="130" spans="1:1" x14ac:dyDescent="0.25">
      <c r="A130" t="s">
        <v>1658</v>
      </c>
    </row>
    <row r="131" spans="1:1" x14ac:dyDescent="0.25">
      <c r="A131" t="s">
        <v>1659</v>
      </c>
    </row>
    <row r="132" spans="1:1" x14ac:dyDescent="0.25">
      <c r="A132" t="s">
        <v>1660</v>
      </c>
    </row>
    <row r="133" spans="1:1" x14ac:dyDescent="0.25">
      <c r="A133" t="s">
        <v>1661</v>
      </c>
    </row>
    <row r="134" spans="1:1" x14ac:dyDescent="0.25">
      <c r="A134" t="s">
        <v>1662</v>
      </c>
    </row>
    <row r="135" spans="1:1" x14ac:dyDescent="0.25">
      <c r="A135" t="s">
        <v>1663</v>
      </c>
    </row>
    <row r="136" spans="1:1" x14ac:dyDescent="0.25">
      <c r="A136" t="s">
        <v>1664</v>
      </c>
    </row>
    <row r="137" spans="1:1" x14ac:dyDescent="0.25">
      <c r="A137" t="s">
        <v>1665</v>
      </c>
    </row>
    <row r="138" spans="1:1" x14ac:dyDescent="0.25">
      <c r="A138" t="s">
        <v>1666</v>
      </c>
    </row>
    <row r="139" spans="1:1" x14ac:dyDescent="0.25">
      <c r="A139" t="s">
        <v>1667</v>
      </c>
    </row>
    <row r="140" spans="1:1" x14ac:dyDescent="0.25">
      <c r="A140" t="s">
        <v>1668</v>
      </c>
    </row>
    <row r="141" spans="1:1" x14ac:dyDescent="0.25">
      <c r="A141" t="s">
        <v>1669</v>
      </c>
    </row>
    <row r="142" spans="1:1" x14ac:dyDescent="0.25">
      <c r="A142" t="s">
        <v>1670</v>
      </c>
    </row>
    <row r="143" spans="1:1" x14ac:dyDescent="0.25">
      <c r="A143" t="s">
        <v>1671</v>
      </c>
    </row>
    <row r="144" spans="1:1" x14ac:dyDescent="0.25">
      <c r="A144" t="s">
        <v>1672</v>
      </c>
    </row>
    <row r="145" spans="1:1" x14ac:dyDescent="0.25">
      <c r="A145" t="s">
        <v>1673</v>
      </c>
    </row>
    <row r="146" spans="1:1" x14ac:dyDescent="0.25">
      <c r="A146" t="s">
        <v>1674</v>
      </c>
    </row>
    <row r="147" spans="1:1" x14ac:dyDescent="0.25">
      <c r="A147" t="s">
        <v>1675</v>
      </c>
    </row>
    <row r="148" spans="1:1" x14ac:dyDescent="0.25">
      <c r="A148" t="s">
        <v>1676</v>
      </c>
    </row>
    <row r="149" spans="1:1" x14ac:dyDescent="0.25">
      <c r="A149" t="s">
        <v>1677</v>
      </c>
    </row>
    <row r="150" spans="1:1" x14ac:dyDescent="0.25">
      <c r="A150" t="s">
        <v>1678</v>
      </c>
    </row>
    <row r="151" spans="1:1" x14ac:dyDescent="0.25">
      <c r="A151" t="s">
        <v>1679</v>
      </c>
    </row>
    <row r="152" spans="1:1" x14ac:dyDescent="0.25">
      <c r="A152" t="s">
        <v>1680</v>
      </c>
    </row>
    <row r="153" spans="1:1" x14ac:dyDescent="0.25">
      <c r="A153" t="s">
        <v>1681</v>
      </c>
    </row>
    <row r="154" spans="1:1" x14ac:dyDescent="0.25">
      <c r="A154" t="s">
        <v>1682</v>
      </c>
    </row>
    <row r="155" spans="1:1" x14ac:dyDescent="0.25">
      <c r="A155" t="s">
        <v>1683</v>
      </c>
    </row>
    <row r="156" spans="1:1" x14ac:dyDescent="0.25">
      <c r="A156" t="s">
        <v>1684</v>
      </c>
    </row>
    <row r="157" spans="1:1" x14ac:dyDescent="0.25">
      <c r="A157" t="s">
        <v>1685</v>
      </c>
    </row>
    <row r="158" spans="1:1" x14ac:dyDescent="0.25">
      <c r="A158" t="s">
        <v>1686</v>
      </c>
    </row>
    <row r="159" spans="1:1" x14ac:dyDescent="0.25">
      <c r="A159" t="s">
        <v>1687</v>
      </c>
    </row>
    <row r="160" spans="1:1" x14ac:dyDescent="0.25">
      <c r="A160" t="s">
        <v>1688</v>
      </c>
    </row>
    <row r="161" spans="1:1" x14ac:dyDescent="0.25">
      <c r="A161" t="s">
        <v>1689</v>
      </c>
    </row>
    <row r="162" spans="1:1" x14ac:dyDescent="0.25">
      <c r="A162" t="s">
        <v>1690</v>
      </c>
    </row>
    <row r="163" spans="1:1" x14ac:dyDescent="0.25">
      <c r="A163" t="s">
        <v>1691</v>
      </c>
    </row>
    <row r="164" spans="1:1" x14ac:dyDescent="0.25">
      <c r="A164" t="s">
        <v>1692</v>
      </c>
    </row>
    <row r="165" spans="1:1" x14ac:dyDescent="0.25">
      <c r="A165" t="s">
        <v>1693</v>
      </c>
    </row>
    <row r="166" spans="1:1" x14ac:dyDescent="0.25">
      <c r="A166" t="s">
        <v>1694</v>
      </c>
    </row>
    <row r="167" spans="1:1" x14ac:dyDescent="0.25">
      <c r="A167" t="s">
        <v>1695</v>
      </c>
    </row>
    <row r="168" spans="1:1" x14ac:dyDescent="0.25">
      <c r="A168" t="s">
        <v>1696</v>
      </c>
    </row>
    <row r="169" spans="1:1" x14ac:dyDescent="0.25">
      <c r="A169" t="s">
        <v>1697</v>
      </c>
    </row>
    <row r="170" spans="1:1" x14ac:dyDescent="0.25">
      <c r="A170" t="s">
        <v>1698</v>
      </c>
    </row>
    <row r="171" spans="1:1" x14ac:dyDescent="0.25">
      <c r="A171" t="s">
        <v>1699</v>
      </c>
    </row>
    <row r="172" spans="1:1" x14ac:dyDescent="0.25">
      <c r="A172" t="s">
        <v>1700</v>
      </c>
    </row>
    <row r="173" spans="1:1" x14ac:dyDescent="0.25">
      <c r="A173" t="s">
        <v>1701</v>
      </c>
    </row>
    <row r="174" spans="1:1" x14ac:dyDescent="0.25">
      <c r="A174" t="s">
        <v>1702</v>
      </c>
    </row>
    <row r="175" spans="1:1" x14ac:dyDescent="0.25">
      <c r="A175" t="s">
        <v>1703</v>
      </c>
    </row>
    <row r="176" spans="1:1" x14ac:dyDescent="0.25">
      <c r="A176" t="s">
        <v>1704</v>
      </c>
    </row>
    <row r="177" spans="1:1" x14ac:dyDescent="0.25">
      <c r="A177" t="s">
        <v>1705</v>
      </c>
    </row>
    <row r="178" spans="1:1" x14ac:dyDescent="0.25">
      <c r="A178" t="s">
        <v>1706</v>
      </c>
    </row>
    <row r="179" spans="1:1" x14ac:dyDescent="0.25">
      <c r="A179" t="s">
        <v>1707</v>
      </c>
    </row>
    <row r="180" spans="1:1" x14ac:dyDescent="0.25">
      <c r="A180" t="s">
        <v>1708</v>
      </c>
    </row>
    <row r="181" spans="1:1" x14ac:dyDescent="0.25">
      <c r="A181" t="s">
        <v>1709</v>
      </c>
    </row>
    <row r="182" spans="1:1" x14ac:dyDescent="0.25">
      <c r="A182" t="s">
        <v>1710</v>
      </c>
    </row>
    <row r="183" spans="1:1" x14ac:dyDescent="0.25">
      <c r="A183" t="s">
        <v>1711</v>
      </c>
    </row>
    <row r="184" spans="1:1" x14ac:dyDescent="0.25">
      <c r="A184" t="s">
        <v>1712</v>
      </c>
    </row>
    <row r="185" spans="1:1" x14ac:dyDescent="0.25">
      <c r="A185" t="s">
        <v>1713</v>
      </c>
    </row>
    <row r="186" spans="1:1" x14ac:dyDescent="0.25">
      <c r="A186" t="s">
        <v>1714</v>
      </c>
    </row>
    <row r="187" spans="1:1" x14ac:dyDescent="0.25">
      <c r="A187" t="s">
        <v>1715</v>
      </c>
    </row>
    <row r="188" spans="1:1" x14ac:dyDescent="0.25">
      <c r="A188" t="s">
        <v>1716</v>
      </c>
    </row>
    <row r="189" spans="1:1" x14ac:dyDescent="0.25">
      <c r="A189" t="s">
        <v>1717</v>
      </c>
    </row>
    <row r="190" spans="1:1" x14ac:dyDescent="0.25">
      <c r="A190" t="s">
        <v>1718</v>
      </c>
    </row>
    <row r="191" spans="1:1" x14ac:dyDescent="0.25">
      <c r="A191" t="s">
        <v>1719</v>
      </c>
    </row>
    <row r="192" spans="1:1" x14ac:dyDescent="0.25">
      <c r="A192" t="s">
        <v>1720</v>
      </c>
    </row>
    <row r="193" spans="1:1" x14ac:dyDescent="0.25">
      <c r="A193" t="s">
        <v>1721</v>
      </c>
    </row>
    <row r="194" spans="1:1" x14ac:dyDescent="0.25">
      <c r="A194" t="s">
        <v>1722</v>
      </c>
    </row>
    <row r="195" spans="1:1" x14ac:dyDescent="0.25">
      <c r="A195" t="s">
        <v>1723</v>
      </c>
    </row>
    <row r="196" spans="1:1" x14ac:dyDescent="0.25">
      <c r="A196" t="s">
        <v>1724</v>
      </c>
    </row>
    <row r="197" spans="1:1" x14ac:dyDescent="0.25">
      <c r="A197" t="s">
        <v>1725</v>
      </c>
    </row>
    <row r="198" spans="1:1" x14ac:dyDescent="0.25">
      <c r="A198" t="s">
        <v>1726</v>
      </c>
    </row>
    <row r="199" spans="1:1" x14ac:dyDescent="0.25">
      <c r="A199" t="s">
        <v>1727</v>
      </c>
    </row>
    <row r="200" spans="1:1" x14ac:dyDescent="0.25">
      <c r="A200" t="s">
        <v>1728</v>
      </c>
    </row>
    <row r="201" spans="1:1" x14ac:dyDescent="0.25">
      <c r="A201" t="s">
        <v>1729</v>
      </c>
    </row>
    <row r="202" spans="1:1" x14ac:dyDescent="0.25">
      <c r="A202" t="s">
        <v>1730</v>
      </c>
    </row>
    <row r="203" spans="1:1" x14ac:dyDescent="0.25">
      <c r="A203" t="s">
        <v>1731</v>
      </c>
    </row>
    <row r="204" spans="1:1" x14ac:dyDescent="0.25">
      <c r="A204" t="s">
        <v>1732</v>
      </c>
    </row>
    <row r="205" spans="1:1" x14ac:dyDescent="0.25">
      <c r="A205" t="s">
        <v>1733</v>
      </c>
    </row>
    <row r="206" spans="1:1" x14ac:dyDescent="0.25">
      <c r="A206" t="s">
        <v>1734</v>
      </c>
    </row>
    <row r="207" spans="1:1" x14ac:dyDescent="0.25">
      <c r="A207" t="s">
        <v>1735</v>
      </c>
    </row>
    <row r="208" spans="1:1" x14ac:dyDescent="0.25">
      <c r="A208" t="s">
        <v>1736</v>
      </c>
    </row>
    <row r="209" spans="1:1" x14ac:dyDescent="0.25">
      <c r="A209" t="s">
        <v>1737</v>
      </c>
    </row>
    <row r="210" spans="1:1" x14ac:dyDescent="0.25">
      <c r="A210" t="s">
        <v>1738</v>
      </c>
    </row>
    <row r="211" spans="1:1" x14ac:dyDescent="0.25">
      <c r="A211" t="s">
        <v>1739</v>
      </c>
    </row>
    <row r="212" spans="1:1" x14ac:dyDescent="0.25">
      <c r="A212" t="s">
        <v>1740</v>
      </c>
    </row>
    <row r="213" spans="1:1" x14ac:dyDescent="0.25">
      <c r="A213" t="s">
        <v>1741</v>
      </c>
    </row>
    <row r="214" spans="1:1" x14ac:dyDescent="0.25">
      <c r="A214" t="s">
        <v>1742</v>
      </c>
    </row>
    <row r="215" spans="1:1" x14ac:dyDescent="0.25">
      <c r="A215" t="s">
        <v>1743</v>
      </c>
    </row>
    <row r="216" spans="1:1" x14ac:dyDescent="0.25">
      <c r="A216" t="s">
        <v>1744</v>
      </c>
    </row>
    <row r="217" spans="1:1" x14ac:dyDescent="0.25">
      <c r="A217" t="s">
        <v>1745</v>
      </c>
    </row>
    <row r="218" spans="1:1" x14ac:dyDescent="0.25">
      <c r="A218" t="s">
        <v>1746</v>
      </c>
    </row>
    <row r="219" spans="1:1" x14ac:dyDescent="0.25">
      <c r="A219" t="s">
        <v>1747</v>
      </c>
    </row>
    <row r="220" spans="1:1" x14ac:dyDescent="0.25">
      <c r="A220" t="s">
        <v>1748</v>
      </c>
    </row>
    <row r="221" spans="1:1" x14ac:dyDescent="0.25">
      <c r="A221" t="s">
        <v>1749</v>
      </c>
    </row>
    <row r="222" spans="1:1" x14ac:dyDescent="0.25">
      <c r="A222" t="s">
        <v>1750</v>
      </c>
    </row>
    <row r="223" spans="1:1" x14ac:dyDescent="0.25">
      <c r="A223" t="s">
        <v>1751</v>
      </c>
    </row>
    <row r="224" spans="1:1" x14ac:dyDescent="0.25">
      <c r="A224" t="s">
        <v>1752</v>
      </c>
    </row>
    <row r="225" spans="1:1" x14ac:dyDescent="0.25">
      <c r="A225" t="s">
        <v>1753</v>
      </c>
    </row>
    <row r="226" spans="1:1" x14ac:dyDescent="0.25">
      <c r="A226" t="s">
        <v>1754</v>
      </c>
    </row>
    <row r="227" spans="1:1" x14ac:dyDescent="0.25">
      <c r="A227" t="s">
        <v>1755</v>
      </c>
    </row>
    <row r="228" spans="1:1" x14ac:dyDescent="0.25">
      <c r="A228" t="s">
        <v>1756</v>
      </c>
    </row>
    <row r="229" spans="1:1" x14ac:dyDescent="0.25">
      <c r="A229" t="s">
        <v>1757</v>
      </c>
    </row>
    <row r="230" spans="1:1" x14ac:dyDescent="0.25">
      <c r="A230" t="s">
        <v>1758</v>
      </c>
    </row>
    <row r="231" spans="1:1" x14ac:dyDescent="0.25">
      <c r="A231" t="s">
        <v>1759</v>
      </c>
    </row>
    <row r="232" spans="1:1" x14ac:dyDescent="0.25">
      <c r="A232" t="s">
        <v>1760</v>
      </c>
    </row>
    <row r="233" spans="1:1" x14ac:dyDescent="0.25">
      <c r="A233" t="s">
        <v>1761</v>
      </c>
    </row>
    <row r="234" spans="1:1" x14ac:dyDescent="0.25">
      <c r="A234" t="s">
        <v>1762</v>
      </c>
    </row>
    <row r="235" spans="1:1" x14ac:dyDescent="0.25">
      <c r="A235" t="s">
        <v>1763</v>
      </c>
    </row>
    <row r="236" spans="1:1" x14ac:dyDescent="0.25">
      <c r="A236" t="s">
        <v>1764</v>
      </c>
    </row>
    <row r="237" spans="1:1" x14ac:dyDescent="0.25">
      <c r="A237" t="s">
        <v>1765</v>
      </c>
    </row>
    <row r="238" spans="1:1" x14ac:dyDescent="0.25">
      <c r="A238" t="s">
        <v>1766</v>
      </c>
    </row>
    <row r="239" spans="1:1" x14ac:dyDescent="0.25">
      <c r="A239" t="s">
        <v>1767</v>
      </c>
    </row>
    <row r="240" spans="1:1" x14ac:dyDescent="0.25">
      <c r="A240" t="s">
        <v>1768</v>
      </c>
    </row>
    <row r="241" spans="1:1" x14ac:dyDescent="0.25">
      <c r="A241" t="s">
        <v>1769</v>
      </c>
    </row>
    <row r="242" spans="1:1" x14ac:dyDescent="0.25">
      <c r="A242" t="s">
        <v>1770</v>
      </c>
    </row>
    <row r="243" spans="1:1" x14ac:dyDescent="0.25">
      <c r="A243" t="s">
        <v>1771</v>
      </c>
    </row>
    <row r="244" spans="1:1" x14ac:dyDescent="0.25">
      <c r="A244" t="s">
        <v>1772</v>
      </c>
    </row>
    <row r="245" spans="1:1" x14ac:dyDescent="0.25">
      <c r="A245" t="s">
        <v>1773</v>
      </c>
    </row>
    <row r="246" spans="1:1" x14ac:dyDescent="0.25">
      <c r="A246" t="s">
        <v>1774</v>
      </c>
    </row>
    <row r="247" spans="1:1" x14ac:dyDescent="0.25">
      <c r="A247" t="s">
        <v>1775</v>
      </c>
    </row>
    <row r="248" spans="1:1" x14ac:dyDescent="0.25">
      <c r="A248" t="s">
        <v>1776</v>
      </c>
    </row>
    <row r="249" spans="1:1" x14ac:dyDescent="0.25">
      <c r="A249" t="s">
        <v>1777</v>
      </c>
    </row>
    <row r="250" spans="1:1" x14ac:dyDescent="0.25">
      <c r="A250" t="s">
        <v>1778</v>
      </c>
    </row>
    <row r="251" spans="1:1" x14ac:dyDescent="0.25">
      <c r="A251" t="s">
        <v>1779</v>
      </c>
    </row>
    <row r="252" spans="1:1" x14ac:dyDescent="0.25">
      <c r="A252" t="s">
        <v>1780</v>
      </c>
    </row>
    <row r="253" spans="1:1" x14ac:dyDescent="0.25">
      <c r="A253" t="s">
        <v>1781</v>
      </c>
    </row>
    <row r="254" spans="1:1" x14ac:dyDescent="0.25">
      <c r="A254" t="s">
        <v>1782</v>
      </c>
    </row>
    <row r="255" spans="1:1" x14ac:dyDescent="0.25">
      <c r="A255" t="s">
        <v>1783</v>
      </c>
    </row>
    <row r="256" spans="1:1" x14ac:dyDescent="0.25">
      <c r="A256" t="s">
        <v>1784</v>
      </c>
    </row>
    <row r="257" spans="1:1" x14ac:dyDescent="0.25">
      <c r="A257" t="s">
        <v>1785</v>
      </c>
    </row>
    <row r="258" spans="1:1" x14ac:dyDescent="0.25">
      <c r="A258" t="s">
        <v>1786</v>
      </c>
    </row>
    <row r="259" spans="1:1" x14ac:dyDescent="0.25">
      <c r="A259" t="s">
        <v>1787</v>
      </c>
    </row>
    <row r="260" spans="1:1" x14ac:dyDescent="0.25">
      <c r="A260" t="s">
        <v>1788</v>
      </c>
    </row>
    <row r="261" spans="1:1" x14ac:dyDescent="0.25">
      <c r="A261" t="s">
        <v>1789</v>
      </c>
    </row>
    <row r="262" spans="1:1" x14ac:dyDescent="0.25">
      <c r="A262" t="s">
        <v>1790</v>
      </c>
    </row>
    <row r="263" spans="1:1" x14ac:dyDescent="0.25">
      <c r="A263" t="s">
        <v>1791</v>
      </c>
    </row>
    <row r="264" spans="1:1" x14ac:dyDescent="0.25">
      <c r="A264" t="s">
        <v>1792</v>
      </c>
    </row>
    <row r="265" spans="1:1" x14ac:dyDescent="0.25">
      <c r="A265" t="s">
        <v>1793</v>
      </c>
    </row>
    <row r="266" spans="1:1" x14ac:dyDescent="0.25">
      <c r="A266" t="s">
        <v>1794</v>
      </c>
    </row>
    <row r="267" spans="1:1" x14ac:dyDescent="0.25">
      <c r="A267" t="s">
        <v>1795</v>
      </c>
    </row>
    <row r="268" spans="1:1" x14ac:dyDescent="0.25">
      <c r="A268" t="s">
        <v>1796</v>
      </c>
    </row>
    <row r="269" spans="1:1" x14ac:dyDescent="0.25">
      <c r="A269" t="s">
        <v>1797</v>
      </c>
    </row>
    <row r="270" spans="1:1" x14ac:dyDescent="0.25">
      <c r="A270" t="s">
        <v>1798</v>
      </c>
    </row>
    <row r="271" spans="1:1" x14ac:dyDescent="0.25">
      <c r="A271" t="s">
        <v>1799</v>
      </c>
    </row>
    <row r="272" spans="1:1" x14ac:dyDescent="0.25">
      <c r="A272" t="s">
        <v>1800</v>
      </c>
    </row>
    <row r="273" spans="1:1" x14ac:dyDescent="0.25">
      <c r="A273" t="s">
        <v>1801</v>
      </c>
    </row>
    <row r="274" spans="1:1" x14ac:dyDescent="0.25">
      <c r="A274" t="s">
        <v>1802</v>
      </c>
    </row>
    <row r="275" spans="1:1" x14ac:dyDescent="0.25">
      <c r="A275" t="s">
        <v>1803</v>
      </c>
    </row>
    <row r="276" spans="1:1" x14ac:dyDescent="0.25">
      <c r="A276" t="s">
        <v>1804</v>
      </c>
    </row>
    <row r="277" spans="1:1" x14ac:dyDescent="0.25">
      <c r="A277" t="s">
        <v>1805</v>
      </c>
    </row>
    <row r="278" spans="1:1" x14ac:dyDescent="0.25">
      <c r="A278" t="s">
        <v>1806</v>
      </c>
    </row>
    <row r="279" spans="1:1" x14ac:dyDescent="0.25">
      <c r="A279" t="s">
        <v>1807</v>
      </c>
    </row>
    <row r="280" spans="1:1" x14ac:dyDescent="0.25">
      <c r="A280" t="s">
        <v>1808</v>
      </c>
    </row>
    <row r="281" spans="1:1" x14ac:dyDescent="0.25">
      <c r="A281" t="s">
        <v>1809</v>
      </c>
    </row>
    <row r="282" spans="1:1" x14ac:dyDescent="0.25">
      <c r="A282" t="s">
        <v>1810</v>
      </c>
    </row>
    <row r="283" spans="1:1" x14ac:dyDescent="0.25">
      <c r="A283" t="s">
        <v>1811</v>
      </c>
    </row>
    <row r="284" spans="1:1" x14ac:dyDescent="0.25">
      <c r="A284" t="s">
        <v>1812</v>
      </c>
    </row>
    <row r="285" spans="1:1" x14ac:dyDescent="0.25">
      <c r="A285" t="s">
        <v>1813</v>
      </c>
    </row>
    <row r="286" spans="1:1" x14ac:dyDescent="0.25">
      <c r="A286" t="s">
        <v>1814</v>
      </c>
    </row>
    <row r="287" spans="1:1" x14ac:dyDescent="0.25">
      <c r="A287" t="s">
        <v>1815</v>
      </c>
    </row>
    <row r="288" spans="1:1" x14ac:dyDescent="0.25">
      <c r="A288" t="s">
        <v>1816</v>
      </c>
    </row>
    <row r="289" spans="1:1" x14ac:dyDescent="0.25">
      <c r="A289" t="s">
        <v>1817</v>
      </c>
    </row>
    <row r="290" spans="1:1" x14ac:dyDescent="0.25">
      <c r="A290" t="s">
        <v>1818</v>
      </c>
    </row>
    <row r="291" spans="1:1" x14ac:dyDescent="0.25">
      <c r="A291" t="s">
        <v>1819</v>
      </c>
    </row>
    <row r="292" spans="1:1" x14ac:dyDescent="0.25">
      <c r="A292" t="s">
        <v>1820</v>
      </c>
    </row>
    <row r="293" spans="1:1" x14ac:dyDescent="0.25">
      <c r="A293" t="s">
        <v>1821</v>
      </c>
    </row>
    <row r="294" spans="1:1" x14ac:dyDescent="0.25">
      <c r="A294" t="s">
        <v>1822</v>
      </c>
    </row>
    <row r="295" spans="1:1" x14ac:dyDescent="0.25">
      <c r="A295" t="s">
        <v>1823</v>
      </c>
    </row>
    <row r="296" spans="1:1" x14ac:dyDescent="0.25">
      <c r="A296" t="s">
        <v>1824</v>
      </c>
    </row>
    <row r="297" spans="1:1" x14ac:dyDescent="0.25">
      <c r="A297" t="s">
        <v>1825</v>
      </c>
    </row>
    <row r="298" spans="1:1" x14ac:dyDescent="0.25">
      <c r="A298" t="s">
        <v>1826</v>
      </c>
    </row>
    <row r="299" spans="1:1" x14ac:dyDescent="0.25">
      <c r="A299" t="s">
        <v>1827</v>
      </c>
    </row>
    <row r="300" spans="1:1" x14ac:dyDescent="0.25">
      <c r="A300" t="s">
        <v>1828</v>
      </c>
    </row>
    <row r="301" spans="1:1" x14ac:dyDescent="0.25">
      <c r="A301" t="s">
        <v>1829</v>
      </c>
    </row>
    <row r="302" spans="1:1" x14ac:dyDescent="0.25">
      <c r="A302" t="s">
        <v>1830</v>
      </c>
    </row>
    <row r="303" spans="1:1" x14ac:dyDescent="0.25">
      <c r="A303" t="s">
        <v>1831</v>
      </c>
    </row>
    <row r="304" spans="1:1" x14ac:dyDescent="0.25">
      <c r="A304" t="s">
        <v>1832</v>
      </c>
    </row>
    <row r="305" spans="1:1" x14ac:dyDescent="0.25">
      <c r="A305" t="s">
        <v>1833</v>
      </c>
    </row>
    <row r="306" spans="1:1" x14ac:dyDescent="0.25">
      <c r="A306" t="s">
        <v>1834</v>
      </c>
    </row>
    <row r="307" spans="1:1" x14ac:dyDescent="0.25">
      <c r="A307" t="s">
        <v>1835</v>
      </c>
    </row>
    <row r="308" spans="1:1" x14ac:dyDescent="0.25">
      <c r="A308" t="s">
        <v>1836</v>
      </c>
    </row>
    <row r="309" spans="1:1" x14ac:dyDescent="0.25">
      <c r="A309" t="s">
        <v>1837</v>
      </c>
    </row>
    <row r="310" spans="1:1" x14ac:dyDescent="0.25">
      <c r="A310" t="s">
        <v>1838</v>
      </c>
    </row>
    <row r="311" spans="1:1" x14ac:dyDescent="0.25">
      <c r="A311" t="s">
        <v>1839</v>
      </c>
    </row>
    <row r="312" spans="1:1" x14ac:dyDescent="0.25">
      <c r="A312" t="s">
        <v>1840</v>
      </c>
    </row>
    <row r="313" spans="1:1" x14ac:dyDescent="0.25">
      <c r="A313" t="s">
        <v>1841</v>
      </c>
    </row>
    <row r="314" spans="1:1" x14ac:dyDescent="0.25">
      <c r="A314" t="s">
        <v>1842</v>
      </c>
    </row>
    <row r="315" spans="1:1" x14ac:dyDescent="0.25">
      <c r="A315" t="s">
        <v>1843</v>
      </c>
    </row>
    <row r="316" spans="1:1" x14ac:dyDescent="0.25">
      <c r="A316" t="s">
        <v>1844</v>
      </c>
    </row>
    <row r="317" spans="1:1" x14ac:dyDescent="0.25">
      <c r="A317" t="s">
        <v>1845</v>
      </c>
    </row>
    <row r="318" spans="1:1" x14ac:dyDescent="0.25">
      <c r="A318" t="s">
        <v>1846</v>
      </c>
    </row>
    <row r="319" spans="1:1" x14ac:dyDescent="0.25">
      <c r="A319" t="s">
        <v>1847</v>
      </c>
    </row>
    <row r="320" spans="1:1" x14ac:dyDescent="0.25">
      <c r="A320" t="s">
        <v>1848</v>
      </c>
    </row>
    <row r="321" spans="1:1" x14ac:dyDescent="0.25">
      <c r="A321" t="s">
        <v>1849</v>
      </c>
    </row>
    <row r="322" spans="1:1" x14ac:dyDescent="0.25">
      <c r="A322" t="s">
        <v>1850</v>
      </c>
    </row>
    <row r="323" spans="1:1" x14ac:dyDescent="0.25">
      <c r="A323" t="s">
        <v>1851</v>
      </c>
    </row>
    <row r="324" spans="1:1" x14ac:dyDescent="0.25">
      <c r="A324" t="s">
        <v>1852</v>
      </c>
    </row>
    <row r="325" spans="1:1" x14ac:dyDescent="0.25">
      <c r="A325" t="s">
        <v>1853</v>
      </c>
    </row>
    <row r="326" spans="1:1" x14ac:dyDescent="0.25">
      <c r="A326" t="s">
        <v>1854</v>
      </c>
    </row>
    <row r="327" spans="1:1" x14ac:dyDescent="0.25">
      <c r="A327" t="s">
        <v>1855</v>
      </c>
    </row>
    <row r="328" spans="1:1" x14ac:dyDescent="0.25">
      <c r="A328" t="s">
        <v>1856</v>
      </c>
    </row>
    <row r="329" spans="1:1" x14ac:dyDescent="0.25">
      <c r="A329" t="s">
        <v>1857</v>
      </c>
    </row>
    <row r="330" spans="1:1" x14ac:dyDescent="0.25">
      <c r="A330" t="s">
        <v>1858</v>
      </c>
    </row>
    <row r="331" spans="1:1" x14ac:dyDescent="0.25">
      <c r="A331" t="s">
        <v>1859</v>
      </c>
    </row>
    <row r="332" spans="1:1" x14ac:dyDescent="0.25">
      <c r="A332" t="s">
        <v>1860</v>
      </c>
    </row>
    <row r="333" spans="1:1" x14ac:dyDescent="0.25">
      <c r="A333" t="s">
        <v>1861</v>
      </c>
    </row>
    <row r="334" spans="1:1" x14ac:dyDescent="0.25">
      <c r="A334" t="s">
        <v>1862</v>
      </c>
    </row>
    <row r="335" spans="1:1" x14ac:dyDescent="0.25">
      <c r="A335" t="s">
        <v>1863</v>
      </c>
    </row>
    <row r="336" spans="1:1" x14ac:dyDescent="0.25">
      <c r="A336" t="s">
        <v>1864</v>
      </c>
    </row>
    <row r="337" spans="1:1" x14ac:dyDescent="0.25">
      <c r="A337" t="s">
        <v>1865</v>
      </c>
    </row>
    <row r="338" spans="1:1" x14ac:dyDescent="0.25">
      <c r="A338" t="s">
        <v>1866</v>
      </c>
    </row>
    <row r="339" spans="1:1" x14ac:dyDescent="0.25">
      <c r="A339" t="s">
        <v>1867</v>
      </c>
    </row>
    <row r="340" spans="1:1" x14ac:dyDescent="0.25">
      <c r="A340" t="s">
        <v>1868</v>
      </c>
    </row>
    <row r="341" spans="1:1" x14ac:dyDescent="0.25">
      <c r="A341" t="s">
        <v>1869</v>
      </c>
    </row>
    <row r="342" spans="1:1" x14ac:dyDescent="0.25">
      <c r="A342" t="s">
        <v>1870</v>
      </c>
    </row>
    <row r="343" spans="1:1" x14ac:dyDescent="0.25">
      <c r="A343" t="s">
        <v>1871</v>
      </c>
    </row>
    <row r="344" spans="1:1" x14ac:dyDescent="0.25">
      <c r="A344" t="s">
        <v>1872</v>
      </c>
    </row>
    <row r="345" spans="1:1" x14ac:dyDescent="0.25">
      <c r="A345" t="s">
        <v>1873</v>
      </c>
    </row>
    <row r="346" spans="1:1" x14ac:dyDescent="0.25">
      <c r="A346" t="s">
        <v>1874</v>
      </c>
    </row>
    <row r="347" spans="1:1" x14ac:dyDescent="0.25">
      <c r="A347" t="s">
        <v>1875</v>
      </c>
    </row>
    <row r="348" spans="1:1" x14ac:dyDescent="0.25">
      <c r="A348" t="s">
        <v>1876</v>
      </c>
    </row>
    <row r="349" spans="1:1" x14ac:dyDescent="0.25">
      <c r="A349" t="s">
        <v>1877</v>
      </c>
    </row>
    <row r="350" spans="1:1" x14ac:dyDescent="0.25">
      <c r="A350" t="s">
        <v>1878</v>
      </c>
    </row>
    <row r="351" spans="1:1" x14ac:dyDescent="0.25">
      <c r="A351" t="s">
        <v>1879</v>
      </c>
    </row>
    <row r="352" spans="1:1" x14ac:dyDescent="0.25">
      <c r="A352" t="s">
        <v>1880</v>
      </c>
    </row>
    <row r="353" spans="1:1" x14ac:dyDescent="0.25">
      <c r="A353" t="s">
        <v>1881</v>
      </c>
    </row>
    <row r="354" spans="1:1" x14ac:dyDescent="0.25">
      <c r="A354" t="s">
        <v>1882</v>
      </c>
    </row>
    <row r="355" spans="1:1" x14ac:dyDescent="0.25">
      <c r="A355" t="s">
        <v>1883</v>
      </c>
    </row>
    <row r="356" spans="1:1" x14ac:dyDescent="0.25">
      <c r="A356" t="s">
        <v>1884</v>
      </c>
    </row>
    <row r="357" spans="1:1" x14ac:dyDescent="0.25">
      <c r="A357" t="s">
        <v>1885</v>
      </c>
    </row>
    <row r="358" spans="1:1" x14ac:dyDescent="0.25">
      <c r="A358" t="s">
        <v>1886</v>
      </c>
    </row>
    <row r="359" spans="1:1" x14ac:dyDescent="0.25">
      <c r="A359" t="s">
        <v>1887</v>
      </c>
    </row>
    <row r="360" spans="1:1" x14ac:dyDescent="0.25">
      <c r="A360" t="s">
        <v>1888</v>
      </c>
    </row>
    <row r="361" spans="1:1" x14ac:dyDescent="0.25">
      <c r="A361" t="s">
        <v>1889</v>
      </c>
    </row>
    <row r="362" spans="1:1" x14ac:dyDescent="0.25">
      <c r="A362" t="s">
        <v>1890</v>
      </c>
    </row>
    <row r="363" spans="1:1" x14ac:dyDescent="0.25">
      <c r="A363" t="s">
        <v>1891</v>
      </c>
    </row>
    <row r="364" spans="1:1" x14ac:dyDescent="0.25">
      <c r="A364" t="s">
        <v>1892</v>
      </c>
    </row>
    <row r="365" spans="1:1" x14ac:dyDescent="0.25">
      <c r="A365" t="s">
        <v>1893</v>
      </c>
    </row>
    <row r="366" spans="1:1" x14ac:dyDescent="0.25">
      <c r="A366" t="s">
        <v>1894</v>
      </c>
    </row>
    <row r="367" spans="1:1" x14ac:dyDescent="0.25">
      <c r="A367" t="s">
        <v>1895</v>
      </c>
    </row>
    <row r="368" spans="1:1" x14ac:dyDescent="0.25">
      <c r="A368" t="s">
        <v>1896</v>
      </c>
    </row>
    <row r="369" spans="1:1" x14ac:dyDescent="0.25">
      <c r="A369" t="s">
        <v>1897</v>
      </c>
    </row>
    <row r="370" spans="1:1" x14ac:dyDescent="0.25">
      <c r="A370" t="s">
        <v>1898</v>
      </c>
    </row>
    <row r="371" spans="1:1" x14ac:dyDescent="0.25">
      <c r="A371" t="s">
        <v>1899</v>
      </c>
    </row>
    <row r="372" spans="1:1" x14ac:dyDescent="0.25">
      <c r="A372" t="s">
        <v>1900</v>
      </c>
    </row>
    <row r="373" spans="1:1" x14ac:dyDescent="0.25">
      <c r="A373" t="s">
        <v>1901</v>
      </c>
    </row>
    <row r="374" spans="1:1" x14ac:dyDescent="0.25">
      <c r="A374" t="s">
        <v>1902</v>
      </c>
    </row>
    <row r="375" spans="1:1" x14ac:dyDescent="0.25">
      <c r="A375" t="s">
        <v>1903</v>
      </c>
    </row>
    <row r="376" spans="1:1" x14ac:dyDescent="0.25">
      <c r="A376" t="s">
        <v>1904</v>
      </c>
    </row>
    <row r="377" spans="1:1" x14ac:dyDescent="0.25">
      <c r="A377" t="s">
        <v>1905</v>
      </c>
    </row>
    <row r="378" spans="1:1" x14ac:dyDescent="0.25">
      <c r="A378" t="s">
        <v>1906</v>
      </c>
    </row>
    <row r="379" spans="1:1" x14ac:dyDescent="0.25">
      <c r="A379" t="s">
        <v>1907</v>
      </c>
    </row>
    <row r="380" spans="1:1" x14ac:dyDescent="0.25">
      <c r="A380" t="s">
        <v>1908</v>
      </c>
    </row>
    <row r="381" spans="1:1" x14ac:dyDescent="0.25">
      <c r="A381" t="s">
        <v>1909</v>
      </c>
    </row>
    <row r="382" spans="1:1" x14ac:dyDescent="0.25">
      <c r="A382" t="s">
        <v>1910</v>
      </c>
    </row>
    <row r="383" spans="1:1" x14ac:dyDescent="0.25">
      <c r="A383" t="s">
        <v>1911</v>
      </c>
    </row>
    <row r="384" spans="1:1" x14ac:dyDescent="0.25">
      <c r="A384" t="s">
        <v>1912</v>
      </c>
    </row>
    <row r="385" spans="1:1" x14ac:dyDescent="0.25">
      <c r="A385" t="s">
        <v>1913</v>
      </c>
    </row>
    <row r="386" spans="1:1" x14ac:dyDescent="0.25">
      <c r="A386" t="s">
        <v>1914</v>
      </c>
    </row>
    <row r="387" spans="1:1" x14ac:dyDescent="0.25">
      <c r="A387" t="s">
        <v>1915</v>
      </c>
    </row>
    <row r="388" spans="1:1" x14ac:dyDescent="0.25">
      <c r="A388" t="s">
        <v>1916</v>
      </c>
    </row>
    <row r="389" spans="1:1" x14ac:dyDescent="0.25">
      <c r="A389" t="s">
        <v>1917</v>
      </c>
    </row>
    <row r="390" spans="1:1" x14ac:dyDescent="0.25">
      <c r="A390" t="s">
        <v>1918</v>
      </c>
    </row>
    <row r="391" spans="1:1" x14ac:dyDescent="0.25">
      <c r="A391" t="s">
        <v>1919</v>
      </c>
    </row>
    <row r="392" spans="1:1" x14ac:dyDescent="0.25">
      <c r="A392" t="s">
        <v>1920</v>
      </c>
    </row>
    <row r="393" spans="1:1" x14ac:dyDescent="0.25">
      <c r="A393" t="s">
        <v>1921</v>
      </c>
    </row>
    <row r="394" spans="1:1" x14ac:dyDescent="0.25">
      <c r="A394" t="s">
        <v>1922</v>
      </c>
    </row>
    <row r="395" spans="1:1" x14ac:dyDescent="0.25">
      <c r="A395" t="s">
        <v>1923</v>
      </c>
    </row>
    <row r="396" spans="1:1" x14ac:dyDescent="0.25">
      <c r="A396" t="s">
        <v>1924</v>
      </c>
    </row>
    <row r="397" spans="1:1" x14ac:dyDescent="0.25">
      <c r="A397" t="s">
        <v>1925</v>
      </c>
    </row>
    <row r="398" spans="1:1" x14ac:dyDescent="0.25">
      <c r="A398" t="s">
        <v>1926</v>
      </c>
    </row>
    <row r="399" spans="1:1" x14ac:dyDescent="0.25">
      <c r="A399" t="s">
        <v>1927</v>
      </c>
    </row>
    <row r="400" spans="1:1" x14ac:dyDescent="0.25">
      <c r="A400" t="s">
        <v>1928</v>
      </c>
    </row>
    <row r="401" spans="1:1" x14ac:dyDescent="0.25">
      <c r="A401" t="s">
        <v>1929</v>
      </c>
    </row>
    <row r="402" spans="1:1" x14ac:dyDescent="0.25">
      <c r="A402" t="s">
        <v>1930</v>
      </c>
    </row>
    <row r="403" spans="1:1" x14ac:dyDescent="0.25">
      <c r="A403" t="s">
        <v>1931</v>
      </c>
    </row>
    <row r="404" spans="1:1" x14ac:dyDescent="0.25">
      <c r="A404" t="s">
        <v>1932</v>
      </c>
    </row>
    <row r="405" spans="1:1" x14ac:dyDescent="0.25">
      <c r="A405" t="s">
        <v>1933</v>
      </c>
    </row>
    <row r="406" spans="1:1" x14ac:dyDescent="0.25">
      <c r="A406" t="s">
        <v>1934</v>
      </c>
    </row>
    <row r="407" spans="1:1" x14ac:dyDescent="0.25">
      <c r="A407" t="s">
        <v>1935</v>
      </c>
    </row>
    <row r="408" spans="1:1" x14ac:dyDescent="0.25">
      <c r="A408" t="s">
        <v>1936</v>
      </c>
    </row>
    <row r="409" spans="1:1" x14ac:dyDescent="0.25">
      <c r="A409" t="s">
        <v>1937</v>
      </c>
    </row>
    <row r="410" spans="1:1" x14ac:dyDescent="0.25">
      <c r="A410" t="s">
        <v>1938</v>
      </c>
    </row>
    <row r="411" spans="1:1" x14ac:dyDescent="0.25">
      <c r="A411" t="s">
        <v>1939</v>
      </c>
    </row>
    <row r="412" spans="1:1" x14ac:dyDescent="0.25">
      <c r="A412" t="s">
        <v>1940</v>
      </c>
    </row>
    <row r="413" spans="1:1" x14ac:dyDescent="0.25">
      <c r="A413" t="s">
        <v>1941</v>
      </c>
    </row>
    <row r="414" spans="1:1" x14ac:dyDescent="0.25">
      <c r="A414" t="s">
        <v>1942</v>
      </c>
    </row>
    <row r="415" spans="1:1" x14ac:dyDescent="0.25">
      <c r="A415" t="s">
        <v>1943</v>
      </c>
    </row>
    <row r="416" spans="1:1" x14ac:dyDescent="0.25">
      <c r="A416" t="s">
        <v>1944</v>
      </c>
    </row>
    <row r="417" spans="1:1" x14ac:dyDescent="0.25">
      <c r="A417" t="s">
        <v>1945</v>
      </c>
    </row>
    <row r="418" spans="1:1" x14ac:dyDescent="0.25">
      <c r="A418" t="s">
        <v>1946</v>
      </c>
    </row>
    <row r="419" spans="1:1" x14ac:dyDescent="0.25">
      <c r="A419" t="s">
        <v>1947</v>
      </c>
    </row>
    <row r="420" spans="1:1" x14ac:dyDescent="0.25">
      <c r="A420" t="s">
        <v>1948</v>
      </c>
    </row>
    <row r="421" spans="1:1" x14ac:dyDescent="0.25">
      <c r="A421" t="s">
        <v>1949</v>
      </c>
    </row>
    <row r="422" spans="1:1" x14ac:dyDescent="0.25">
      <c r="A422" t="s">
        <v>1950</v>
      </c>
    </row>
    <row r="423" spans="1:1" x14ac:dyDescent="0.25">
      <c r="A423" t="s">
        <v>1951</v>
      </c>
    </row>
    <row r="424" spans="1:1" x14ac:dyDescent="0.25">
      <c r="A424" t="s">
        <v>1952</v>
      </c>
    </row>
    <row r="425" spans="1:1" x14ac:dyDescent="0.25">
      <c r="A425" t="s">
        <v>1953</v>
      </c>
    </row>
    <row r="426" spans="1:1" x14ac:dyDescent="0.25">
      <c r="A426" t="s">
        <v>1954</v>
      </c>
    </row>
    <row r="427" spans="1:1" x14ac:dyDescent="0.25">
      <c r="A427" t="s">
        <v>1955</v>
      </c>
    </row>
    <row r="428" spans="1:1" x14ac:dyDescent="0.25">
      <c r="A428" t="s">
        <v>1956</v>
      </c>
    </row>
    <row r="429" spans="1:1" x14ac:dyDescent="0.25">
      <c r="A429" t="s">
        <v>1957</v>
      </c>
    </row>
    <row r="430" spans="1:1" x14ac:dyDescent="0.25">
      <c r="A430" t="s">
        <v>1958</v>
      </c>
    </row>
    <row r="431" spans="1:1" x14ac:dyDescent="0.25">
      <c r="A431" t="s">
        <v>1959</v>
      </c>
    </row>
    <row r="432" spans="1:1" x14ac:dyDescent="0.25">
      <c r="A432" t="s">
        <v>1960</v>
      </c>
    </row>
    <row r="433" spans="1:1" x14ac:dyDescent="0.25">
      <c r="A433" t="s">
        <v>1961</v>
      </c>
    </row>
    <row r="434" spans="1:1" x14ac:dyDescent="0.25">
      <c r="A434" t="s">
        <v>1962</v>
      </c>
    </row>
    <row r="435" spans="1:1" x14ac:dyDescent="0.25">
      <c r="A435" t="s">
        <v>1963</v>
      </c>
    </row>
    <row r="436" spans="1:1" x14ac:dyDescent="0.25">
      <c r="A436" t="s">
        <v>1964</v>
      </c>
    </row>
    <row r="437" spans="1:1" x14ac:dyDescent="0.25">
      <c r="A437" t="s">
        <v>1965</v>
      </c>
    </row>
    <row r="438" spans="1:1" x14ac:dyDescent="0.25">
      <c r="A438" t="s">
        <v>1966</v>
      </c>
    </row>
    <row r="439" spans="1:1" x14ac:dyDescent="0.25">
      <c r="A439" t="s">
        <v>1967</v>
      </c>
    </row>
    <row r="440" spans="1:1" x14ac:dyDescent="0.25">
      <c r="A440" t="s">
        <v>1968</v>
      </c>
    </row>
    <row r="441" spans="1:1" x14ac:dyDescent="0.25">
      <c r="A441" t="s">
        <v>1969</v>
      </c>
    </row>
    <row r="442" spans="1:1" x14ac:dyDescent="0.25">
      <c r="A442" t="s">
        <v>1970</v>
      </c>
    </row>
    <row r="443" spans="1:1" x14ac:dyDescent="0.25">
      <c r="A443" t="s">
        <v>1971</v>
      </c>
    </row>
    <row r="444" spans="1:1" x14ac:dyDescent="0.25">
      <c r="A444" t="s">
        <v>1972</v>
      </c>
    </row>
    <row r="445" spans="1:1" x14ac:dyDescent="0.25">
      <c r="A445" t="s">
        <v>1973</v>
      </c>
    </row>
    <row r="446" spans="1:1" x14ac:dyDescent="0.25">
      <c r="A446" t="s">
        <v>1974</v>
      </c>
    </row>
    <row r="447" spans="1:1" x14ac:dyDescent="0.25">
      <c r="A447" t="s">
        <v>1975</v>
      </c>
    </row>
    <row r="448" spans="1:1" x14ac:dyDescent="0.25">
      <c r="A448" t="s">
        <v>1976</v>
      </c>
    </row>
    <row r="449" spans="1:1" x14ac:dyDescent="0.25">
      <c r="A449" t="s">
        <v>1977</v>
      </c>
    </row>
    <row r="450" spans="1:1" x14ac:dyDescent="0.25">
      <c r="A450" t="s">
        <v>1978</v>
      </c>
    </row>
    <row r="451" spans="1:1" x14ac:dyDescent="0.25">
      <c r="A451" t="s">
        <v>1979</v>
      </c>
    </row>
    <row r="452" spans="1:1" x14ac:dyDescent="0.25">
      <c r="A452" t="s">
        <v>1980</v>
      </c>
    </row>
    <row r="453" spans="1:1" x14ac:dyDescent="0.25">
      <c r="A453" t="s">
        <v>1981</v>
      </c>
    </row>
    <row r="454" spans="1:1" x14ac:dyDescent="0.25">
      <c r="A454" t="s">
        <v>1982</v>
      </c>
    </row>
    <row r="455" spans="1:1" x14ac:dyDescent="0.25">
      <c r="A455" t="s">
        <v>1983</v>
      </c>
    </row>
    <row r="456" spans="1:1" x14ac:dyDescent="0.25">
      <c r="A456" t="s">
        <v>1984</v>
      </c>
    </row>
    <row r="457" spans="1:1" x14ac:dyDescent="0.25">
      <c r="A457" t="s">
        <v>1985</v>
      </c>
    </row>
    <row r="458" spans="1:1" x14ac:dyDescent="0.25">
      <c r="A458" t="s">
        <v>1986</v>
      </c>
    </row>
    <row r="459" spans="1:1" x14ac:dyDescent="0.25">
      <c r="A459" t="s">
        <v>1987</v>
      </c>
    </row>
    <row r="460" spans="1:1" x14ac:dyDescent="0.25">
      <c r="A460" t="s">
        <v>1988</v>
      </c>
    </row>
    <row r="461" spans="1:1" x14ac:dyDescent="0.25">
      <c r="A461" t="s">
        <v>1989</v>
      </c>
    </row>
    <row r="462" spans="1:1" x14ac:dyDescent="0.25">
      <c r="A462" t="s">
        <v>1990</v>
      </c>
    </row>
    <row r="463" spans="1:1" x14ac:dyDescent="0.25">
      <c r="A463" t="s">
        <v>1991</v>
      </c>
    </row>
    <row r="464" spans="1:1" x14ac:dyDescent="0.25">
      <c r="A464" t="s">
        <v>1992</v>
      </c>
    </row>
    <row r="465" spans="1:1" x14ac:dyDescent="0.25">
      <c r="A465" t="s">
        <v>1993</v>
      </c>
    </row>
    <row r="466" spans="1:1" x14ac:dyDescent="0.25">
      <c r="A466" t="s">
        <v>1994</v>
      </c>
    </row>
    <row r="467" spans="1:1" x14ac:dyDescent="0.25">
      <c r="A467" t="s">
        <v>1995</v>
      </c>
    </row>
    <row r="468" spans="1:1" x14ac:dyDescent="0.25">
      <c r="A468" t="s">
        <v>1996</v>
      </c>
    </row>
    <row r="469" spans="1:1" x14ac:dyDescent="0.25">
      <c r="A469" t="s">
        <v>1997</v>
      </c>
    </row>
    <row r="470" spans="1:1" x14ac:dyDescent="0.25">
      <c r="A470" t="s">
        <v>1998</v>
      </c>
    </row>
    <row r="471" spans="1:1" x14ac:dyDescent="0.25">
      <c r="A471" t="s">
        <v>1999</v>
      </c>
    </row>
    <row r="472" spans="1:1" x14ac:dyDescent="0.25">
      <c r="A472" t="s">
        <v>2000</v>
      </c>
    </row>
    <row r="473" spans="1:1" x14ac:dyDescent="0.25">
      <c r="A473" t="s">
        <v>2001</v>
      </c>
    </row>
    <row r="474" spans="1:1" x14ac:dyDescent="0.25">
      <c r="A474" t="s">
        <v>2002</v>
      </c>
    </row>
    <row r="475" spans="1:1" x14ac:dyDescent="0.25">
      <c r="A475" t="s">
        <v>2003</v>
      </c>
    </row>
    <row r="476" spans="1:1" x14ac:dyDescent="0.25">
      <c r="A476" t="s">
        <v>2004</v>
      </c>
    </row>
    <row r="477" spans="1:1" x14ac:dyDescent="0.25">
      <c r="A477" t="s">
        <v>2005</v>
      </c>
    </row>
    <row r="478" spans="1:1" x14ac:dyDescent="0.25">
      <c r="A478" t="s">
        <v>2006</v>
      </c>
    </row>
    <row r="479" spans="1:1" x14ac:dyDescent="0.25">
      <c r="A479" t="s">
        <v>2007</v>
      </c>
    </row>
    <row r="480" spans="1:1" x14ac:dyDescent="0.25">
      <c r="A480" t="s">
        <v>2008</v>
      </c>
    </row>
    <row r="481" spans="1:1" x14ac:dyDescent="0.25">
      <c r="A481" t="s">
        <v>2009</v>
      </c>
    </row>
    <row r="482" spans="1:1" x14ac:dyDescent="0.25">
      <c r="A482" t="s">
        <v>2010</v>
      </c>
    </row>
    <row r="483" spans="1:1" x14ac:dyDescent="0.25">
      <c r="A483" t="s">
        <v>2011</v>
      </c>
    </row>
    <row r="484" spans="1:1" x14ac:dyDescent="0.25">
      <c r="A484" t="s">
        <v>2012</v>
      </c>
    </row>
    <row r="485" spans="1:1" x14ac:dyDescent="0.25">
      <c r="A485" t="s">
        <v>2013</v>
      </c>
    </row>
    <row r="486" spans="1:1" x14ac:dyDescent="0.25">
      <c r="A486" t="s">
        <v>2014</v>
      </c>
    </row>
    <row r="487" spans="1:1" x14ac:dyDescent="0.25">
      <c r="A487" t="s">
        <v>2015</v>
      </c>
    </row>
    <row r="488" spans="1:1" x14ac:dyDescent="0.25">
      <c r="A488" t="s">
        <v>2016</v>
      </c>
    </row>
    <row r="489" spans="1:1" x14ac:dyDescent="0.25">
      <c r="A489" t="s">
        <v>2017</v>
      </c>
    </row>
    <row r="490" spans="1:1" x14ac:dyDescent="0.25">
      <c r="A490" t="s">
        <v>2018</v>
      </c>
    </row>
    <row r="491" spans="1:1" x14ac:dyDescent="0.25">
      <c r="A491" t="s">
        <v>2019</v>
      </c>
    </row>
    <row r="492" spans="1:1" x14ac:dyDescent="0.25">
      <c r="A492" t="s">
        <v>2020</v>
      </c>
    </row>
    <row r="493" spans="1:1" x14ac:dyDescent="0.25">
      <c r="A493" t="s">
        <v>2021</v>
      </c>
    </row>
    <row r="494" spans="1:1" x14ac:dyDescent="0.25">
      <c r="A494" t="s">
        <v>2022</v>
      </c>
    </row>
    <row r="495" spans="1:1" x14ac:dyDescent="0.25">
      <c r="A495" t="s">
        <v>2023</v>
      </c>
    </row>
    <row r="496" spans="1:1" x14ac:dyDescent="0.25">
      <c r="A496" t="s">
        <v>2024</v>
      </c>
    </row>
    <row r="497" spans="1:1" x14ac:dyDescent="0.25">
      <c r="A497" t="s">
        <v>2025</v>
      </c>
    </row>
    <row r="498" spans="1:1" x14ac:dyDescent="0.25">
      <c r="A498" t="s">
        <v>2026</v>
      </c>
    </row>
    <row r="499" spans="1:1" x14ac:dyDescent="0.25">
      <c r="A499" t="s">
        <v>2027</v>
      </c>
    </row>
    <row r="500" spans="1:1" x14ac:dyDescent="0.25">
      <c r="A500" t="s">
        <v>2028</v>
      </c>
    </row>
    <row r="501" spans="1:1" x14ac:dyDescent="0.25">
      <c r="A501" t="s">
        <v>2029</v>
      </c>
    </row>
    <row r="502" spans="1:1" x14ac:dyDescent="0.25">
      <c r="A502" t="s">
        <v>2030</v>
      </c>
    </row>
    <row r="503" spans="1:1" x14ac:dyDescent="0.25">
      <c r="A503" t="s">
        <v>2031</v>
      </c>
    </row>
    <row r="504" spans="1:1" x14ac:dyDescent="0.25">
      <c r="A504" t="s">
        <v>2032</v>
      </c>
    </row>
    <row r="505" spans="1:1" x14ac:dyDescent="0.25">
      <c r="A505" t="s">
        <v>2033</v>
      </c>
    </row>
    <row r="506" spans="1:1" x14ac:dyDescent="0.25">
      <c r="A506" t="s">
        <v>2034</v>
      </c>
    </row>
    <row r="507" spans="1:1" x14ac:dyDescent="0.25">
      <c r="A507" t="s">
        <v>2035</v>
      </c>
    </row>
    <row r="508" spans="1:1" x14ac:dyDescent="0.25">
      <c r="A508" t="s">
        <v>2036</v>
      </c>
    </row>
    <row r="509" spans="1:1" x14ac:dyDescent="0.25">
      <c r="A509" t="s">
        <v>2037</v>
      </c>
    </row>
    <row r="510" spans="1:1" x14ac:dyDescent="0.25">
      <c r="A510" t="s">
        <v>2038</v>
      </c>
    </row>
    <row r="511" spans="1:1" x14ac:dyDescent="0.25">
      <c r="A511" t="s">
        <v>2039</v>
      </c>
    </row>
    <row r="512" spans="1:1" x14ac:dyDescent="0.25">
      <c r="A512" t="s">
        <v>2040</v>
      </c>
    </row>
    <row r="513" spans="1:1" x14ac:dyDescent="0.25">
      <c r="A513" t="s">
        <v>2041</v>
      </c>
    </row>
    <row r="514" spans="1:1" x14ac:dyDescent="0.25">
      <c r="A514" t="s">
        <v>2042</v>
      </c>
    </row>
    <row r="515" spans="1:1" x14ac:dyDescent="0.25">
      <c r="A515" t="s">
        <v>2043</v>
      </c>
    </row>
    <row r="516" spans="1:1" x14ac:dyDescent="0.25">
      <c r="A516" t="s">
        <v>2044</v>
      </c>
    </row>
    <row r="517" spans="1:1" x14ac:dyDescent="0.25">
      <c r="A517" t="s">
        <v>2045</v>
      </c>
    </row>
    <row r="518" spans="1:1" x14ac:dyDescent="0.25">
      <c r="A518" t="s">
        <v>2046</v>
      </c>
    </row>
    <row r="519" spans="1:1" x14ac:dyDescent="0.25">
      <c r="A519" t="s">
        <v>2047</v>
      </c>
    </row>
    <row r="520" spans="1:1" x14ac:dyDescent="0.25">
      <c r="A520" t="s">
        <v>2048</v>
      </c>
    </row>
    <row r="521" spans="1:1" x14ac:dyDescent="0.25">
      <c r="A521" t="s">
        <v>2049</v>
      </c>
    </row>
    <row r="522" spans="1:1" x14ac:dyDescent="0.25">
      <c r="A522" t="s">
        <v>2050</v>
      </c>
    </row>
    <row r="523" spans="1:1" x14ac:dyDescent="0.25">
      <c r="A523" t="s">
        <v>2051</v>
      </c>
    </row>
    <row r="524" spans="1:1" x14ac:dyDescent="0.25">
      <c r="A524" t="s">
        <v>2052</v>
      </c>
    </row>
    <row r="525" spans="1:1" x14ac:dyDescent="0.25">
      <c r="A525" t="s">
        <v>2053</v>
      </c>
    </row>
    <row r="526" spans="1:1" x14ac:dyDescent="0.25">
      <c r="A526" t="s">
        <v>2054</v>
      </c>
    </row>
    <row r="527" spans="1:1" x14ac:dyDescent="0.25">
      <c r="A527" t="s">
        <v>2055</v>
      </c>
    </row>
    <row r="528" spans="1:1" x14ac:dyDescent="0.25">
      <c r="A528" t="s">
        <v>2056</v>
      </c>
    </row>
    <row r="529" spans="1:1" x14ac:dyDescent="0.25">
      <c r="A529" t="s">
        <v>2057</v>
      </c>
    </row>
    <row r="530" spans="1:1" x14ac:dyDescent="0.25">
      <c r="A530" t="s">
        <v>2058</v>
      </c>
    </row>
    <row r="531" spans="1:1" x14ac:dyDescent="0.25">
      <c r="A531" t="s">
        <v>2059</v>
      </c>
    </row>
    <row r="532" spans="1:1" x14ac:dyDescent="0.25">
      <c r="A532" t="s">
        <v>2060</v>
      </c>
    </row>
    <row r="533" spans="1:1" x14ac:dyDescent="0.25">
      <c r="A533" t="s">
        <v>2061</v>
      </c>
    </row>
    <row r="534" spans="1:1" x14ac:dyDescent="0.25">
      <c r="A534" t="s">
        <v>2062</v>
      </c>
    </row>
    <row r="535" spans="1:1" x14ac:dyDescent="0.25">
      <c r="A535" t="s">
        <v>2063</v>
      </c>
    </row>
    <row r="536" spans="1:1" x14ac:dyDescent="0.25">
      <c r="A536" t="s">
        <v>2064</v>
      </c>
    </row>
    <row r="537" spans="1:1" x14ac:dyDescent="0.25">
      <c r="A537" t="s">
        <v>2065</v>
      </c>
    </row>
    <row r="538" spans="1:1" x14ac:dyDescent="0.25">
      <c r="A538" t="s">
        <v>2066</v>
      </c>
    </row>
    <row r="539" spans="1:1" x14ac:dyDescent="0.25">
      <c r="A539" t="s">
        <v>2067</v>
      </c>
    </row>
    <row r="540" spans="1:1" x14ac:dyDescent="0.25">
      <c r="A540" t="s">
        <v>2068</v>
      </c>
    </row>
    <row r="541" spans="1:1" x14ac:dyDescent="0.25">
      <c r="A541" t="s">
        <v>2069</v>
      </c>
    </row>
    <row r="542" spans="1:1" x14ac:dyDescent="0.25">
      <c r="A542" t="s">
        <v>2070</v>
      </c>
    </row>
    <row r="543" spans="1:1" x14ac:dyDescent="0.25">
      <c r="A543" t="s">
        <v>2071</v>
      </c>
    </row>
    <row r="544" spans="1:1" x14ac:dyDescent="0.25">
      <c r="A544" t="s">
        <v>2072</v>
      </c>
    </row>
    <row r="545" spans="1:1" x14ac:dyDescent="0.25">
      <c r="A545" t="s">
        <v>2073</v>
      </c>
    </row>
    <row r="546" spans="1:1" x14ac:dyDescent="0.25">
      <c r="A546" t="s">
        <v>2074</v>
      </c>
    </row>
    <row r="547" spans="1:1" x14ac:dyDescent="0.25">
      <c r="A547" t="s">
        <v>2075</v>
      </c>
    </row>
    <row r="548" spans="1:1" x14ac:dyDescent="0.25">
      <c r="A548" t="s">
        <v>2076</v>
      </c>
    </row>
    <row r="549" spans="1:1" x14ac:dyDescent="0.25">
      <c r="A549" t="s">
        <v>2077</v>
      </c>
    </row>
    <row r="550" spans="1:1" x14ac:dyDescent="0.25">
      <c r="A550" t="s">
        <v>2078</v>
      </c>
    </row>
    <row r="551" spans="1:1" x14ac:dyDescent="0.25">
      <c r="A551" t="s">
        <v>2079</v>
      </c>
    </row>
    <row r="552" spans="1:1" x14ac:dyDescent="0.25">
      <c r="A552" t="s">
        <v>2080</v>
      </c>
    </row>
    <row r="553" spans="1:1" x14ac:dyDescent="0.25">
      <c r="A553" t="s">
        <v>2081</v>
      </c>
    </row>
    <row r="554" spans="1:1" x14ac:dyDescent="0.25">
      <c r="A554" t="s">
        <v>2082</v>
      </c>
    </row>
    <row r="555" spans="1:1" x14ac:dyDescent="0.25">
      <c r="A555" t="s">
        <v>2083</v>
      </c>
    </row>
    <row r="556" spans="1:1" x14ac:dyDescent="0.25">
      <c r="A556" t="s">
        <v>2084</v>
      </c>
    </row>
    <row r="557" spans="1:1" x14ac:dyDescent="0.25">
      <c r="A557" t="s">
        <v>2085</v>
      </c>
    </row>
    <row r="558" spans="1:1" x14ac:dyDescent="0.25">
      <c r="A558" t="s">
        <v>2086</v>
      </c>
    </row>
    <row r="559" spans="1:1" x14ac:dyDescent="0.25">
      <c r="A559" t="s">
        <v>2087</v>
      </c>
    </row>
    <row r="560" spans="1:1" x14ac:dyDescent="0.25">
      <c r="A560" t="s">
        <v>2088</v>
      </c>
    </row>
    <row r="561" spans="1:1" x14ac:dyDescent="0.25">
      <c r="A561" t="s">
        <v>2089</v>
      </c>
    </row>
    <row r="562" spans="1:1" x14ac:dyDescent="0.25">
      <c r="A562" t="s">
        <v>2090</v>
      </c>
    </row>
    <row r="563" spans="1:1" x14ac:dyDescent="0.25">
      <c r="A563" t="s">
        <v>2091</v>
      </c>
    </row>
    <row r="564" spans="1:1" x14ac:dyDescent="0.25">
      <c r="A564" t="s">
        <v>2092</v>
      </c>
    </row>
    <row r="565" spans="1:1" x14ac:dyDescent="0.25">
      <c r="A565" t="s">
        <v>2093</v>
      </c>
    </row>
    <row r="566" spans="1:1" x14ac:dyDescent="0.25">
      <c r="A566" t="s">
        <v>2094</v>
      </c>
    </row>
    <row r="567" spans="1:1" x14ac:dyDescent="0.25">
      <c r="A567" t="s">
        <v>2095</v>
      </c>
    </row>
    <row r="568" spans="1:1" x14ac:dyDescent="0.25">
      <c r="A568" t="s">
        <v>2096</v>
      </c>
    </row>
    <row r="569" spans="1:1" x14ac:dyDescent="0.25">
      <c r="A569" t="s">
        <v>2097</v>
      </c>
    </row>
    <row r="570" spans="1:1" x14ac:dyDescent="0.25">
      <c r="A570" t="s">
        <v>2098</v>
      </c>
    </row>
    <row r="571" spans="1:1" x14ac:dyDescent="0.25">
      <c r="A571" t="s">
        <v>2099</v>
      </c>
    </row>
    <row r="572" spans="1:1" x14ac:dyDescent="0.25">
      <c r="A572" t="s">
        <v>2100</v>
      </c>
    </row>
    <row r="573" spans="1:1" x14ac:dyDescent="0.25">
      <c r="A573" t="s">
        <v>2101</v>
      </c>
    </row>
    <row r="574" spans="1:1" x14ac:dyDescent="0.25">
      <c r="A574" t="s">
        <v>2102</v>
      </c>
    </row>
    <row r="575" spans="1:1" x14ac:dyDescent="0.25">
      <c r="A575" t="s">
        <v>2103</v>
      </c>
    </row>
    <row r="576" spans="1:1" x14ac:dyDescent="0.25">
      <c r="A576" t="s">
        <v>2104</v>
      </c>
    </row>
    <row r="577" spans="1:1" x14ac:dyDescent="0.25">
      <c r="A577" t="s">
        <v>2105</v>
      </c>
    </row>
    <row r="578" spans="1:1" x14ac:dyDescent="0.25">
      <c r="A578" t="s">
        <v>2106</v>
      </c>
    </row>
    <row r="579" spans="1:1" x14ac:dyDescent="0.25">
      <c r="A579" t="s">
        <v>2107</v>
      </c>
    </row>
    <row r="580" spans="1:1" x14ac:dyDescent="0.25">
      <c r="A580" t="s">
        <v>2108</v>
      </c>
    </row>
    <row r="581" spans="1:1" x14ac:dyDescent="0.25">
      <c r="A581" t="s">
        <v>2109</v>
      </c>
    </row>
    <row r="582" spans="1:1" x14ac:dyDescent="0.25">
      <c r="A582" t="s">
        <v>2110</v>
      </c>
    </row>
    <row r="583" spans="1:1" x14ac:dyDescent="0.25">
      <c r="A583" t="s">
        <v>2111</v>
      </c>
    </row>
    <row r="584" spans="1:1" x14ac:dyDescent="0.25">
      <c r="A584" t="s">
        <v>2112</v>
      </c>
    </row>
    <row r="585" spans="1:1" x14ac:dyDescent="0.25">
      <c r="A585" t="s">
        <v>2113</v>
      </c>
    </row>
    <row r="586" spans="1:1" x14ac:dyDescent="0.25">
      <c r="A586" t="s">
        <v>2114</v>
      </c>
    </row>
    <row r="587" spans="1:1" x14ac:dyDescent="0.25">
      <c r="A587" t="s">
        <v>2115</v>
      </c>
    </row>
    <row r="588" spans="1:1" x14ac:dyDescent="0.25">
      <c r="A588" t="s">
        <v>2116</v>
      </c>
    </row>
    <row r="589" spans="1:1" x14ac:dyDescent="0.25">
      <c r="A589" t="s">
        <v>2117</v>
      </c>
    </row>
    <row r="590" spans="1:1" x14ac:dyDescent="0.25">
      <c r="A590" t="s">
        <v>2118</v>
      </c>
    </row>
    <row r="591" spans="1:1" x14ac:dyDescent="0.25">
      <c r="A591" t="s">
        <v>2119</v>
      </c>
    </row>
    <row r="592" spans="1:1" x14ac:dyDescent="0.25">
      <c r="A592" t="s">
        <v>2120</v>
      </c>
    </row>
    <row r="593" spans="1:1" x14ac:dyDescent="0.25">
      <c r="A593" t="s">
        <v>2121</v>
      </c>
    </row>
    <row r="594" spans="1:1" x14ac:dyDescent="0.25">
      <c r="A594" t="s">
        <v>2122</v>
      </c>
    </row>
    <row r="595" spans="1:1" x14ac:dyDescent="0.25">
      <c r="A595" t="s">
        <v>2123</v>
      </c>
    </row>
    <row r="596" spans="1:1" x14ac:dyDescent="0.25">
      <c r="A596" t="s">
        <v>2124</v>
      </c>
    </row>
    <row r="597" spans="1:1" x14ac:dyDescent="0.25">
      <c r="A597" t="s">
        <v>2125</v>
      </c>
    </row>
    <row r="598" spans="1:1" x14ac:dyDescent="0.25">
      <c r="A598" t="s">
        <v>2126</v>
      </c>
    </row>
    <row r="599" spans="1:1" x14ac:dyDescent="0.25">
      <c r="A599" t="s">
        <v>2127</v>
      </c>
    </row>
    <row r="600" spans="1:1" x14ac:dyDescent="0.25">
      <c r="A600" t="s">
        <v>2128</v>
      </c>
    </row>
    <row r="601" spans="1:1" x14ac:dyDescent="0.25">
      <c r="A601" t="s">
        <v>2129</v>
      </c>
    </row>
    <row r="602" spans="1:1" x14ac:dyDescent="0.25">
      <c r="A602" t="s">
        <v>2130</v>
      </c>
    </row>
    <row r="603" spans="1:1" x14ac:dyDescent="0.25">
      <c r="A603" t="s">
        <v>2131</v>
      </c>
    </row>
    <row r="604" spans="1:1" x14ac:dyDescent="0.25">
      <c r="A604" t="s">
        <v>2132</v>
      </c>
    </row>
    <row r="605" spans="1:1" x14ac:dyDescent="0.25">
      <c r="A605" t="s">
        <v>2133</v>
      </c>
    </row>
    <row r="606" spans="1:1" x14ac:dyDescent="0.25">
      <c r="A606" t="s">
        <v>2134</v>
      </c>
    </row>
    <row r="607" spans="1:1" x14ac:dyDescent="0.25">
      <c r="A607" t="s">
        <v>2135</v>
      </c>
    </row>
    <row r="608" spans="1:1" x14ac:dyDescent="0.25">
      <c r="A608" t="s">
        <v>2136</v>
      </c>
    </row>
    <row r="609" spans="1:1" x14ac:dyDescent="0.25">
      <c r="A609" t="s">
        <v>2137</v>
      </c>
    </row>
    <row r="610" spans="1:1" x14ac:dyDescent="0.25">
      <c r="A610" t="s">
        <v>2138</v>
      </c>
    </row>
    <row r="611" spans="1:1" x14ac:dyDescent="0.25">
      <c r="A611" t="s">
        <v>2139</v>
      </c>
    </row>
    <row r="612" spans="1:1" x14ac:dyDescent="0.25">
      <c r="A612" t="s">
        <v>2140</v>
      </c>
    </row>
    <row r="613" spans="1:1" x14ac:dyDescent="0.25">
      <c r="A613" t="s">
        <v>2141</v>
      </c>
    </row>
    <row r="614" spans="1:1" x14ac:dyDescent="0.25">
      <c r="A614" t="s">
        <v>2142</v>
      </c>
    </row>
    <row r="615" spans="1:1" x14ac:dyDescent="0.25">
      <c r="A615" t="s">
        <v>2143</v>
      </c>
    </row>
    <row r="616" spans="1:1" x14ac:dyDescent="0.25">
      <c r="A616" t="s">
        <v>2144</v>
      </c>
    </row>
    <row r="617" spans="1:1" x14ac:dyDescent="0.25">
      <c r="A617" t="s">
        <v>2145</v>
      </c>
    </row>
    <row r="618" spans="1:1" x14ac:dyDescent="0.25">
      <c r="A618" t="s">
        <v>2146</v>
      </c>
    </row>
    <row r="619" spans="1:1" x14ac:dyDescent="0.25">
      <c r="A619" t="s">
        <v>2147</v>
      </c>
    </row>
    <row r="620" spans="1:1" x14ac:dyDescent="0.25">
      <c r="A620" t="s">
        <v>2148</v>
      </c>
    </row>
    <row r="621" spans="1:1" x14ac:dyDescent="0.25">
      <c r="A621" t="s">
        <v>2149</v>
      </c>
    </row>
    <row r="622" spans="1:1" x14ac:dyDescent="0.25">
      <c r="A622" t="s">
        <v>2150</v>
      </c>
    </row>
    <row r="623" spans="1:1" x14ac:dyDescent="0.25">
      <c r="A623" t="s">
        <v>2151</v>
      </c>
    </row>
    <row r="624" spans="1:1" x14ac:dyDescent="0.25">
      <c r="A624" t="s">
        <v>2152</v>
      </c>
    </row>
    <row r="625" spans="1:1" x14ac:dyDescent="0.25">
      <c r="A625" t="s">
        <v>2153</v>
      </c>
    </row>
    <row r="626" spans="1:1" x14ac:dyDescent="0.25">
      <c r="A626" t="s">
        <v>2154</v>
      </c>
    </row>
    <row r="627" spans="1:1" x14ac:dyDescent="0.25">
      <c r="A627" t="s">
        <v>2155</v>
      </c>
    </row>
    <row r="628" spans="1:1" x14ac:dyDescent="0.25">
      <c r="A628" t="s">
        <v>2156</v>
      </c>
    </row>
    <row r="629" spans="1:1" x14ac:dyDescent="0.25">
      <c r="A629" t="s">
        <v>2157</v>
      </c>
    </row>
    <row r="630" spans="1:1" x14ac:dyDescent="0.25">
      <c r="A630" t="s">
        <v>2158</v>
      </c>
    </row>
    <row r="631" spans="1:1" x14ac:dyDescent="0.25">
      <c r="A631" t="s">
        <v>2159</v>
      </c>
    </row>
    <row r="632" spans="1:1" x14ac:dyDescent="0.25">
      <c r="A632" t="s">
        <v>2160</v>
      </c>
    </row>
    <row r="633" spans="1:1" x14ac:dyDescent="0.25">
      <c r="A633" t="s">
        <v>2161</v>
      </c>
    </row>
    <row r="634" spans="1:1" x14ac:dyDescent="0.25">
      <c r="A634" t="s">
        <v>2162</v>
      </c>
    </row>
    <row r="635" spans="1:1" x14ac:dyDescent="0.25">
      <c r="A635" t="s">
        <v>2163</v>
      </c>
    </row>
    <row r="636" spans="1:1" x14ac:dyDescent="0.25">
      <c r="A636" t="s">
        <v>2164</v>
      </c>
    </row>
    <row r="637" spans="1:1" x14ac:dyDescent="0.25">
      <c r="A637" t="s">
        <v>2165</v>
      </c>
    </row>
    <row r="638" spans="1:1" x14ac:dyDescent="0.25">
      <c r="A638" t="s">
        <v>2166</v>
      </c>
    </row>
    <row r="639" spans="1:1" x14ac:dyDescent="0.25">
      <c r="A639" t="s">
        <v>2167</v>
      </c>
    </row>
    <row r="640" spans="1:1" x14ac:dyDescent="0.25">
      <c r="A640" t="s">
        <v>2168</v>
      </c>
    </row>
    <row r="641" spans="1:1" x14ac:dyDescent="0.25">
      <c r="A641" t="s">
        <v>2169</v>
      </c>
    </row>
    <row r="642" spans="1:1" x14ac:dyDescent="0.25">
      <c r="A642" t="s">
        <v>2170</v>
      </c>
    </row>
    <row r="643" spans="1:1" x14ac:dyDescent="0.25">
      <c r="A643" t="s">
        <v>2171</v>
      </c>
    </row>
    <row r="644" spans="1:1" x14ac:dyDescent="0.25">
      <c r="A644" t="s">
        <v>2172</v>
      </c>
    </row>
    <row r="645" spans="1:1" x14ac:dyDescent="0.25">
      <c r="A645" t="s">
        <v>2173</v>
      </c>
    </row>
    <row r="646" spans="1:1" x14ac:dyDescent="0.25">
      <c r="A646" t="s">
        <v>2174</v>
      </c>
    </row>
    <row r="647" spans="1:1" x14ac:dyDescent="0.25">
      <c r="A647" t="s">
        <v>2175</v>
      </c>
    </row>
    <row r="648" spans="1:1" x14ac:dyDescent="0.25">
      <c r="A648" t="s">
        <v>2176</v>
      </c>
    </row>
    <row r="649" spans="1:1" x14ac:dyDescent="0.25">
      <c r="A649" t="s">
        <v>2177</v>
      </c>
    </row>
    <row r="650" spans="1:1" x14ac:dyDescent="0.25">
      <c r="A650" t="s">
        <v>2178</v>
      </c>
    </row>
    <row r="651" spans="1:1" x14ac:dyDescent="0.25">
      <c r="A651" t="s">
        <v>2179</v>
      </c>
    </row>
    <row r="652" spans="1:1" x14ac:dyDescent="0.25">
      <c r="A652" t="s">
        <v>2180</v>
      </c>
    </row>
    <row r="653" spans="1:1" x14ac:dyDescent="0.25">
      <c r="A653" t="s">
        <v>2181</v>
      </c>
    </row>
    <row r="654" spans="1:1" x14ac:dyDescent="0.25">
      <c r="A654" t="s">
        <v>2182</v>
      </c>
    </row>
    <row r="655" spans="1:1" x14ac:dyDescent="0.25">
      <c r="A655" t="s">
        <v>2183</v>
      </c>
    </row>
    <row r="656" spans="1:1" x14ac:dyDescent="0.25">
      <c r="A656" t="s">
        <v>2184</v>
      </c>
    </row>
    <row r="657" spans="1:1" x14ac:dyDescent="0.25">
      <c r="A657" t="s">
        <v>2185</v>
      </c>
    </row>
    <row r="658" spans="1:1" x14ac:dyDescent="0.25">
      <c r="A658" t="s">
        <v>2186</v>
      </c>
    </row>
    <row r="659" spans="1:1" x14ac:dyDescent="0.25">
      <c r="A659" t="s">
        <v>2187</v>
      </c>
    </row>
    <row r="660" spans="1:1" x14ac:dyDescent="0.25">
      <c r="A660" t="s">
        <v>2188</v>
      </c>
    </row>
    <row r="661" spans="1:1" x14ac:dyDescent="0.25">
      <c r="A661" t="s">
        <v>2189</v>
      </c>
    </row>
    <row r="662" spans="1:1" x14ac:dyDescent="0.25">
      <c r="A662" t="s">
        <v>2190</v>
      </c>
    </row>
    <row r="663" spans="1:1" x14ac:dyDescent="0.25">
      <c r="A663" t="s">
        <v>2191</v>
      </c>
    </row>
    <row r="664" spans="1:1" x14ac:dyDescent="0.25">
      <c r="A664" t="s">
        <v>2192</v>
      </c>
    </row>
    <row r="665" spans="1:1" x14ac:dyDescent="0.25">
      <c r="A665" t="s">
        <v>2193</v>
      </c>
    </row>
    <row r="666" spans="1:1" x14ac:dyDescent="0.25">
      <c r="A666" t="s">
        <v>2194</v>
      </c>
    </row>
    <row r="667" spans="1:1" x14ac:dyDescent="0.25">
      <c r="A667" t="s">
        <v>2195</v>
      </c>
    </row>
    <row r="668" spans="1:1" x14ac:dyDescent="0.25">
      <c r="A668" t="s">
        <v>2196</v>
      </c>
    </row>
    <row r="669" spans="1:1" x14ac:dyDescent="0.25">
      <c r="A669" t="s">
        <v>2197</v>
      </c>
    </row>
    <row r="670" spans="1:1" x14ac:dyDescent="0.25">
      <c r="A670" t="s">
        <v>2198</v>
      </c>
    </row>
    <row r="671" spans="1:1" x14ac:dyDescent="0.25">
      <c r="A671" t="s">
        <v>2199</v>
      </c>
    </row>
    <row r="672" spans="1:1" x14ac:dyDescent="0.25">
      <c r="A672" t="s">
        <v>2200</v>
      </c>
    </row>
    <row r="673" spans="1:1" x14ac:dyDescent="0.25">
      <c r="A673" t="s">
        <v>2201</v>
      </c>
    </row>
    <row r="674" spans="1:1" x14ac:dyDescent="0.25">
      <c r="A674" t="s">
        <v>2202</v>
      </c>
    </row>
    <row r="675" spans="1:1" x14ac:dyDescent="0.25">
      <c r="A675" t="s">
        <v>2203</v>
      </c>
    </row>
    <row r="676" spans="1:1" x14ac:dyDescent="0.25">
      <c r="A676" t="s">
        <v>2204</v>
      </c>
    </row>
    <row r="677" spans="1:1" x14ac:dyDescent="0.25">
      <c r="A677" t="s">
        <v>2205</v>
      </c>
    </row>
    <row r="678" spans="1:1" x14ac:dyDescent="0.25">
      <c r="A678" t="s">
        <v>2206</v>
      </c>
    </row>
    <row r="679" spans="1:1" x14ac:dyDescent="0.25">
      <c r="A679" t="s">
        <v>2207</v>
      </c>
    </row>
    <row r="680" spans="1:1" x14ac:dyDescent="0.25">
      <c r="A680" t="s">
        <v>2208</v>
      </c>
    </row>
    <row r="681" spans="1:1" x14ac:dyDescent="0.25">
      <c r="A681" t="s">
        <v>2209</v>
      </c>
    </row>
    <row r="682" spans="1:1" x14ac:dyDescent="0.25">
      <c r="A682" t="s">
        <v>2210</v>
      </c>
    </row>
    <row r="683" spans="1:1" x14ac:dyDescent="0.25">
      <c r="A683" t="s">
        <v>2211</v>
      </c>
    </row>
    <row r="684" spans="1:1" x14ac:dyDescent="0.25">
      <c r="A684" t="s">
        <v>2212</v>
      </c>
    </row>
    <row r="685" spans="1:1" x14ac:dyDescent="0.25">
      <c r="A685" t="s">
        <v>2213</v>
      </c>
    </row>
    <row r="686" spans="1:1" x14ac:dyDescent="0.25">
      <c r="A686" t="s">
        <v>2214</v>
      </c>
    </row>
    <row r="687" spans="1:1" x14ac:dyDescent="0.25">
      <c r="A687" t="s">
        <v>2215</v>
      </c>
    </row>
    <row r="688" spans="1:1" x14ac:dyDescent="0.25">
      <c r="A688" t="s">
        <v>2216</v>
      </c>
    </row>
    <row r="689" spans="1:1" x14ac:dyDescent="0.25">
      <c r="A689" t="s">
        <v>2217</v>
      </c>
    </row>
    <row r="690" spans="1:1" x14ac:dyDescent="0.25">
      <c r="A690" t="s">
        <v>2218</v>
      </c>
    </row>
    <row r="691" spans="1:1" x14ac:dyDescent="0.25">
      <c r="A691" t="s">
        <v>2219</v>
      </c>
    </row>
    <row r="692" spans="1:1" x14ac:dyDescent="0.25">
      <c r="A692" t="s">
        <v>2220</v>
      </c>
    </row>
    <row r="693" spans="1:1" x14ac:dyDescent="0.25">
      <c r="A693" t="s">
        <v>2221</v>
      </c>
    </row>
    <row r="694" spans="1:1" x14ac:dyDescent="0.25">
      <c r="A694" t="s">
        <v>2222</v>
      </c>
    </row>
    <row r="695" spans="1:1" x14ac:dyDescent="0.25">
      <c r="A695" t="s">
        <v>2223</v>
      </c>
    </row>
    <row r="696" spans="1:1" x14ac:dyDescent="0.25">
      <c r="A696" t="s">
        <v>2224</v>
      </c>
    </row>
    <row r="697" spans="1:1" x14ac:dyDescent="0.25">
      <c r="A697" t="s">
        <v>2225</v>
      </c>
    </row>
    <row r="698" spans="1:1" x14ac:dyDescent="0.25">
      <c r="A698" t="s">
        <v>2226</v>
      </c>
    </row>
    <row r="699" spans="1:1" x14ac:dyDescent="0.25">
      <c r="A699" t="s">
        <v>2227</v>
      </c>
    </row>
    <row r="700" spans="1:1" x14ac:dyDescent="0.25">
      <c r="A700" t="s">
        <v>2228</v>
      </c>
    </row>
    <row r="701" spans="1:1" x14ac:dyDescent="0.25">
      <c r="A701" t="s">
        <v>2229</v>
      </c>
    </row>
    <row r="702" spans="1:1" x14ac:dyDescent="0.25">
      <c r="A702" t="s">
        <v>2230</v>
      </c>
    </row>
    <row r="703" spans="1:1" x14ac:dyDescent="0.25">
      <c r="A703" t="s">
        <v>2231</v>
      </c>
    </row>
    <row r="704" spans="1:1" x14ac:dyDescent="0.25">
      <c r="A704" t="s">
        <v>2232</v>
      </c>
    </row>
    <row r="705" spans="1:1" x14ac:dyDescent="0.25">
      <c r="A705" t="s">
        <v>2233</v>
      </c>
    </row>
    <row r="706" spans="1:1" x14ac:dyDescent="0.25">
      <c r="A706" t="s">
        <v>2234</v>
      </c>
    </row>
    <row r="707" spans="1:1" x14ac:dyDescent="0.25">
      <c r="A707" t="s">
        <v>2235</v>
      </c>
    </row>
    <row r="708" spans="1:1" x14ac:dyDescent="0.25">
      <c r="A708" t="s">
        <v>2236</v>
      </c>
    </row>
    <row r="709" spans="1:1" x14ac:dyDescent="0.25">
      <c r="A709" t="s">
        <v>2237</v>
      </c>
    </row>
    <row r="710" spans="1:1" x14ac:dyDescent="0.25">
      <c r="A710" t="s">
        <v>2238</v>
      </c>
    </row>
    <row r="711" spans="1:1" x14ac:dyDescent="0.25">
      <c r="A711" t="s">
        <v>2239</v>
      </c>
    </row>
    <row r="712" spans="1:1" x14ac:dyDescent="0.25">
      <c r="A712" t="s">
        <v>2240</v>
      </c>
    </row>
    <row r="713" spans="1:1" x14ac:dyDescent="0.25">
      <c r="A713" t="s">
        <v>2241</v>
      </c>
    </row>
    <row r="714" spans="1:1" x14ac:dyDescent="0.25">
      <c r="A714" t="s">
        <v>2242</v>
      </c>
    </row>
    <row r="715" spans="1:1" x14ac:dyDescent="0.25">
      <c r="A715" t="s">
        <v>2243</v>
      </c>
    </row>
    <row r="716" spans="1:1" x14ac:dyDescent="0.25">
      <c r="A716" t="s">
        <v>2244</v>
      </c>
    </row>
    <row r="717" spans="1:1" x14ac:dyDescent="0.25">
      <c r="A717" t="s">
        <v>2245</v>
      </c>
    </row>
    <row r="718" spans="1:1" x14ac:dyDescent="0.25">
      <c r="A718" t="s">
        <v>2246</v>
      </c>
    </row>
    <row r="719" spans="1:1" x14ac:dyDescent="0.25">
      <c r="A719" t="s">
        <v>2247</v>
      </c>
    </row>
    <row r="720" spans="1:1" x14ac:dyDescent="0.25">
      <c r="A720" t="s">
        <v>2248</v>
      </c>
    </row>
    <row r="721" spans="1:1" x14ac:dyDescent="0.25">
      <c r="A721" t="s">
        <v>2249</v>
      </c>
    </row>
    <row r="722" spans="1:1" x14ac:dyDescent="0.25">
      <c r="A722" t="s">
        <v>2250</v>
      </c>
    </row>
    <row r="723" spans="1:1" x14ac:dyDescent="0.25">
      <c r="A723" t="s">
        <v>2251</v>
      </c>
    </row>
    <row r="724" spans="1:1" x14ac:dyDescent="0.25">
      <c r="A724" t="s">
        <v>2252</v>
      </c>
    </row>
    <row r="725" spans="1:1" x14ac:dyDescent="0.25">
      <c r="A725" t="s">
        <v>2253</v>
      </c>
    </row>
    <row r="726" spans="1:1" x14ac:dyDescent="0.25">
      <c r="A726" t="s">
        <v>2254</v>
      </c>
    </row>
    <row r="727" spans="1:1" x14ac:dyDescent="0.25">
      <c r="A727" t="s">
        <v>2255</v>
      </c>
    </row>
    <row r="728" spans="1:1" x14ac:dyDescent="0.25">
      <c r="A728" t="s">
        <v>2256</v>
      </c>
    </row>
    <row r="729" spans="1:1" x14ac:dyDescent="0.25">
      <c r="A729" t="s">
        <v>2257</v>
      </c>
    </row>
    <row r="730" spans="1:1" x14ac:dyDescent="0.25">
      <c r="A730" t="s">
        <v>2258</v>
      </c>
    </row>
    <row r="731" spans="1:1" x14ac:dyDescent="0.25">
      <c r="A731" t="s">
        <v>2259</v>
      </c>
    </row>
    <row r="732" spans="1:1" x14ac:dyDescent="0.25">
      <c r="A732" t="s">
        <v>2260</v>
      </c>
    </row>
    <row r="733" spans="1:1" x14ac:dyDescent="0.25">
      <c r="A733" t="s">
        <v>2261</v>
      </c>
    </row>
    <row r="734" spans="1:1" x14ac:dyDescent="0.25">
      <c r="A734" t="s">
        <v>2262</v>
      </c>
    </row>
    <row r="735" spans="1:1" x14ac:dyDescent="0.25">
      <c r="A735" t="s">
        <v>2263</v>
      </c>
    </row>
    <row r="736" spans="1:1" x14ac:dyDescent="0.25">
      <c r="A736" t="s">
        <v>2264</v>
      </c>
    </row>
    <row r="737" spans="1:1" x14ac:dyDescent="0.25">
      <c r="A737" t="s">
        <v>2265</v>
      </c>
    </row>
    <row r="738" spans="1:1" x14ac:dyDescent="0.25">
      <c r="A738" t="s">
        <v>2266</v>
      </c>
    </row>
    <row r="739" spans="1:1" x14ac:dyDescent="0.25">
      <c r="A739" t="s">
        <v>2267</v>
      </c>
    </row>
    <row r="740" spans="1:1" x14ac:dyDescent="0.25">
      <c r="A740" t="s">
        <v>2268</v>
      </c>
    </row>
    <row r="741" spans="1:1" x14ac:dyDescent="0.25">
      <c r="A741" t="s">
        <v>2269</v>
      </c>
    </row>
    <row r="742" spans="1:1" x14ac:dyDescent="0.25">
      <c r="A742" t="s">
        <v>2270</v>
      </c>
    </row>
    <row r="743" spans="1:1" x14ac:dyDescent="0.25">
      <c r="A743" t="s">
        <v>2271</v>
      </c>
    </row>
    <row r="744" spans="1:1" x14ac:dyDescent="0.25">
      <c r="A744" t="s">
        <v>2272</v>
      </c>
    </row>
    <row r="745" spans="1:1" x14ac:dyDescent="0.25">
      <c r="A745" t="s">
        <v>2273</v>
      </c>
    </row>
    <row r="746" spans="1:1" x14ac:dyDescent="0.25">
      <c r="A746" t="s">
        <v>2274</v>
      </c>
    </row>
    <row r="747" spans="1:1" x14ac:dyDescent="0.25">
      <c r="A747" t="s">
        <v>2275</v>
      </c>
    </row>
    <row r="748" spans="1:1" x14ac:dyDescent="0.25">
      <c r="A748" t="s">
        <v>2276</v>
      </c>
    </row>
    <row r="749" spans="1:1" x14ac:dyDescent="0.25">
      <c r="A749" t="s">
        <v>2277</v>
      </c>
    </row>
    <row r="750" spans="1:1" x14ac:dyDescent="0.25">
      <c r="A750" t="s">
        <v>2278</v>
      </c>
    </row>
    <row r="751" spans="1:1" x14ac:dyDescent="0.25">
      <c r="A751" t="s">
        <v>2279</v>
      </c>
    </row>
    <row r="752" spans="1:1" x14ac:dyDescent="0.25">
      <c r="A752" t="s">
        <v>2280</v>
      </c>
    </row>
    <row r="753" spans="1:1" x14ac:dyDescent="0.25">
      <c r="A753" t="s">
        <v>2281</v>
      </c>
    </row>
    <row r="754" spans="1:1" x14ac:dyDescent="0.25">
      <c r="A754" t="s">
        <v>2282</v>
      </c>
    </row>
    <row r="755" spans="1:1" x14ac:dyDescent="0.25">
      <c r="A755" t="s">
        <v>2283</v>
      </c>
    </row>
    <row r="756" spans="1:1" x14ac:dyDescent="0.25">
      <c r="A756" t="s">
        <v>2284</v>
      </c>
    </row>
    <row r="757" spans="1:1" x14ac:dyDescent="0.25">
      <c r="A757" t="s">
        <v>2285</v>
      </c>
    </row>
    <row r="758" spans="1:1" x14ac:dyDescent="0.25">
      <c r="A758" t="s">
        <v>2286</v>
      </c>
    </row>
    <row r="759" spans="1:1" x14ac:dyDescent="0.25">
      <c r="A759" t="s">
        <v>2287</v>
      </c>
    </row>
    <row r="760" spans="1:1" x14ac:dyDescent="0.25">
      <c r="A760" t="s">
        <v>2288</v>
      </c>
    </row>
    <row r="761" spans="1:1" x14ac:dyDescent="0.25">
      <c r="A761" t="s">
        <v>2289</v>
      </c>
    </row>
    <row r="762" spans="1:1" x14ac:dyDescent="0.25">
      <c r="A762" t="s">
        <v>2290</v>
      </c>
    </row>
    <row r="763" spans="1:1" x14ac:dyDescent="0.25">
      <c r="A763" t="s">
        <v>2291</v>
      </c>
    </row>
    <row r="764" spans="1:1" x14ac:dyDescent="0.25">
      <c r="A764" t="s">
        <v>2292</v>
      </c>
    </row>
    <row r="765" spans="1:1" x14ac:dyDescent="0.25">
      <c r="A765" t="s">
        <v>2293</v>
      </c>
    </row>
    <row r="766" spans="1:1" x14ac:dyDescent="0.25">
      <c r="A766" t="s">
        <v>2294</v>
      </c>
    </row>
    <row r="767" spans="1:1" x14ac:dyDescent="0.25">
      <c r="A767" t="s">
        <v>2295</v>
      </c>
    </row>
    <row r="768" spans="1:1" x14ac:dyDescent="0.25">
      <c r="A768" t="s">
        <v>2296</v>
      </c>
    </row>
    <row r="769" spans="1:1" x14ac:dyDescent="0.25">
      <c r="A769" t="s">
        <v>2297</v>
      </c>
    </row>
    <row r="770" spans="1:1" x14ac:dyDescent="0.25">
      <c r="A770" t="s">
        <v>2298</v>
      </c>
    </row>
    <row r="771" spans="1:1" x14ac:dyDescent="0.25">
      <c r="A771" t="s">
        <v>2299</v>
      </c>
    </row>
    <row r="772" spans="1:1" x14ac:dyDescent="0.25">
      <c r="A772" t="s">
        <v>2300</v>
      </c>
    </row>
    <row r="773" spans="1:1" x14ac:dyDescent="0.25">
      <c r="A773" t="s">
        <v>2301</v>
      </c>
    </row>
    <row r="774" spans="1:1" x14ac:dyDescent="0.25">
      <c r="A774" t="s">
        <v>2302</v>
      </c>
    </row>
    <row r="775" spans="1:1" x14ac:dyDescent="0.25">
      <c r="A775" t="s">
        <v>2303</v>
      </c>
    </row>
    <row r="776" spans="1:1" x14ac:dyDescent="0.25">
      <c r="A776" t="s">
        <v>2304</v>
      </c>
    </row>
    <row r="777" spans="1:1" x14ac:dyDescent="0.25">
      <c r="A777" t="s">
        <v>2305</v>
      </c>
    </row>
    <row r="778" spans="1:1" x14ac:dyDescent="0.25">
      <c r="A778" t="s">
        <v>2306</v>
      </c>
    </row>
    <row r="779" spans="1:1" x14ac:dyDescent="0.25">
      <c r="A779" t="s">
        <v>2307</v>
      </c>
    </row>
    <row r="780" spans="1:1" x14ac:dyDescent="0.25">
      <c r="A780" t="s">
        <v>2308</v>
      </c>
    </row>
    <row r="781" spans="1:1" x14ac:dyDescent="0.25">
      <c r="A781" t="s">
        <v>2309</v>
      </c>
    </row>
    <row r="782" spans="1:1" x14ac:dyDescent="0.25">
      <c r="A782" t="s">
        <v>2310</v>
      </c>
    </row>
    <row r="783" spans="1:1" x14ac:dyDescent="0.25">
      <c r="A783" t="s">
        <v>2311</v>
      </c>
    </row>
    <row r="784" spans="1:1" x14ac:dyDescent="0.25">
      <c r="A784" t="s">
        <v>2312</v>
      </c>
    </row>
    <row r="785" spans="1:1" x14ac:dyDescent="0.25">
      <c r="A785" t="s">
        <v>2313</v>
      </c>
    </row>
    <row r="786" spans="1:1" x14ac:dyDescent="0.25">
      <c r="A786" t="s">
        <v>2314</v>
      </c>
    </row>
    <row r="787" spans="1:1" x14ac:dyDescent="0.25">
      <c r="A787" t="s">
        <v>2315</v>
      </c>
    </row>
    <row r="788" spans="1:1" x14ac:dyDescent="0.25">
      <c r="A788" t="s">
        <v>2316</v>
      </c>
    </row>
    <row r="789" spans="1:1" x14ac:dyDescent="0.25">
      <c r="A789" t="s">
        <v>2317</v>
      </c>
    </row>
    <row r="790" spans="1:1" x14ac:dyDescent="0.25">
      <c r="A790" t="s">
        <v>2318</v>
      </c>
    </row>
    <row r="791" spans="1:1" x14ac:dyDescent="0.25">
      <c r="A791" t="s">
        <v>2319</v>
      </c>
    </row>
    <row r="792" spans="1:1" x14ac:dyDescent="0.25">
      <c r="A792" t="s">
        <v>2320</v>
      </c>
    </row>
    <row r="793" spans="1:1" x14ac:dyDescent="0.25">
      <c r="A793" t="s">
        <v>2321</v>
      </c>
    </row>
    <row r="794" spans="1:1" x14ac:dyDescent="0.25">
      <c r="A794" t="s">
        <v>2322</v>
      </c>
    </row>
    <row r="795" spans="1:1" x14ac:dyDescent="0.25">
      <c r="A795" t="s">
        <v>2323</v>
      </c>
    </row>
    <row r="796" spans="1:1" x14ac:dyDescent="0.25">
      <c r="A796" t="s">
        <v>2324</v>
      </c>
    </row>
    <row r="797" spans="1:1" x14ac:dyDescent="0.25">
      <c r="A797" t="s">
        <v>2325</v>
      </c>
    </row>
    <row r="798" spans="1:1" x14ac:dyDescent="0.25">
      <c r="A798" t="s">
        <v>2326</v>
      </c>
    </row>
    <row r="799" spans="1:1" x14ac:dyDescent="0.25">
      <c r="A799" t="s">
        <v>2327</v>
      </c>
    </row>
    <row r="800" spans="1:1" x14ac:dyDescent="0.25">
      <c r="A800" t="s">
        <v>2328</v>
      </c>
    </row>
    <row r="801" spans="1:1" x14ac:dyDescent="0.25">
      <c r="A801" t="s">
        <v>2329</v>
      </c>
    </row>
    <row r="802" spans="1:1" x14ac:dyDescent="0.25">
      <c r="A802" t="s">
        <v>2330</v>
      </c>
    </row>
    <row r="803" spans="1:1" x14ac:dyDescent="0.25">
      <c r="A803" t="s">
        <v>2331</v>
      </c>
    </row>
    <row r="804" spans="1:1" x14ac:dyDescent="0.25">
      <c r="A804" t="s">
        <v>2332</v>
      </c>
    </row>
    <row r="805" spans="1:1" x14ac:dyDescent="0.25">
      <c r="A805" t="s">
        <v>2333</v>
      </c>
    </row>
    <row r="806" spans="1:1" x14ac:dyDescent="0.25">
      <c r="A806" t="s">
        <v>2334</v>
      </c>
    </row>
    <row r="807" spans="1:1" x14ac:dyDescent="0.25">
      <c r="A807" t="s">
        <v>2335</v>
      </c>
    </row>
    <row r="808" spans="1:1" x14ac:dyDescent="0.25">
      <c r="A808" t="s">
        <v>2336</v>
      </c>
    </row>
    <row r="809" spans="1:1" x14ac:dyDescent="0.25">
      <c r="A809" t="s">
        <v>2337</v>
      </c>
    </row>
    <row r="810" spans="1:1" x14ac:dyDescent="0.25">
      <c r="A810" t="s">
        <v>2338</v>
      </c>
    </row>
    <row r="811" spans="1:1" x14ac:dyDescent="0.25">
      <c r="A811" t="s">
        <v>2339</v>
      </c>
    </row>
    <row r="812" spans="1:1" x14ac:dyDescent="0.25">
      <c r="A812" t="s">
        <v>2340</v>
      </c>
    </row>
    <row r="813" spans="1:1" x14ac:dyDescent="0.25">
      <c r="A813" t="s">
        <v>2341</v>
      </c>
    </row>
    <row r="814" spans="1:1" x14ac:dyDescent="0.25">
      <c r="A814" t="s">
        <v>2342</v>
      </c>
    </row>
    <row r="815" spans="1:1" x14ac:dyDescent="0.25">
      <c r="A815" t="s">
        <v>2343</v>
      </c>
    </row>
    <row r="816" spans="1:1" x14ac:dyDescent="0.25">
      <c r="A816" t="s">
        <v>2344</v>
      </c>
    </row>
    <row r="817" spans="1:1" x14ac:dyDescent="0.25">
      <c r="A817" t="s">
        <v>2345</v>
      </c>
    </row>
    <row r="818" spans="1:1" x14ac:dyDescent="0.25">
      <c r="A818" t="s">
        <v>2346</v>
      </c>
    </row>
    <row r="819" spans="1:1" x14ac:dyDescent="0.25">
      <c r="A819" t="s">
        <v>2347</v>
      </c>
    </row>
    <row r="820" spans="1:1" x14ac:dyDescent="0.25">
      <c r="A820" t="s">
        <v>2348</v>
      </c>
    </row>
    <row r="821" spans="1:1" x14ac:dyDescent="0.25">
      <c r="A821" t="s">
        <v>2349</v>
      </c>
    </row>
    <row r="822" spans="1:1" x14ac:dyDescent="0.25">
      <c r="A822" t="s">
        <v>2350</v>
      </c>
    </row>
    <row r="823" spans="1:1" x14ac:dyDescent="0.25">
      <c r="A823" t="s">
        <v>2351</v>
      </c>
    </row>
    <row r="824" spans="1:1" x14ac:dyDescent="0.25">
      <c r="A824" t="s">
        <v>2352</v>
      </c>
    </row>
    <row r="825" spans="1:1" x14ac:dyDescent="0.25">
      <c r="A825" t="s">
        <v>2353</v>
      </c>
    </row>
    <row r="826" spans="1:1" x14ac:dyDescent="0.25">
      <c r="A826" t="s">
        <v>2354</v>
      </c>
    </row>
    <row r="827" spans="1:1" x14ac:dyDescent="0.25">
      <c r="A827" t="s">
        <v>2355</v>
      </c>
    </row>
    <row r="828" spans="1:1" x14ac:dyDescent="0.25">
      <c r="A828" t="s">
        <v>2356</v>
      </c>
    </row>
    <row r="829" spans="1:1" x14ac:dyDescent="0.25">
      <c r="A829" t="s">
        <v>2357</v>
      </c>
    </row>
    <row r="830" spans="1:1" x14ac:dyDescent="0.25">
      <c r="A830" t="s">
        <v>2358</v>
      </c>
    </row>
    <row r="831" spans="1:1" x14ac:dyDescent="0.25">
      <c r="A831" t="s">
        <v>2359</v>
      </c>
    </row>
    <row r="832" spans="1:1" x14ac:dyDescent="0.25">
      <c r="A832" t="s">
        <v>2360</v>
      </c>
    </row>
    <row r="833" spans="1:1" x14ac:dyDescent="0.25">
      <c r="A833" t="s">
        <v>2361</v>
      </c>
    </row>
    <row r="834" spans="1:1" x14ac:dyDescent="0.25">
      <c r="A834" t="s">
        <v>2362</v>
      </c>
    </row>
    <row r="835" spans="1:1" x14ac:dyDescent="0.25">
      <c r="A835" t="s">
        <v>2363</v>
      </c>
    </row>
    <row r="836" spans="1:1" x14ac:dyDescent="0.25">
      <c r="A836" t="s">
        <v>2364</v>
      </c>
    </row>
    <row r="837" spans="1:1" x14ac:dyDescent="0.25">
      <c r="A837" t="s">
        <v>2365</v>
      </c>
    </row>
    <row r="838" spans="1:1" x14ac:dyDescent="0.25">
      <c r="A838" t="s">
        <v>2366</v>
      </c>
    </row>
    <row r="839" spans="1:1" x14ac:dyDescent="0.25">
      <c r="A839" t="s">
        <v>2367</v>
      </c>
    </row>
    <row r="840" spans="1:1" x14ac:dyDescent="0.25">
      <c r="A840" t="s">
        <v>2368</v>
      </c>
    </row>
    <row r="841" spans="1:1" x14ac:dyDescent="0.25">
      <c r="A841" t="s">
        <v>2369</v>
      </c>
    </row>
    <row r="842" spans="1:1" x14ac:dyDescent="0.25">
      <c r="A842" t="s">
        <v>2370</v>
      </c>
    </row>
    <row r="843" spans="1:1" x14ac:dyDescent="0.25">
      <c r="A843" t="s">
        <v>2371</v>
      </c>
    </row>
    <row r="844" spans="1:1" x14ac:dyDescent="0.25">
      <c r="A844" t="s">
        <v>2372</v>
      </c>
    </row>
    <row r="845" spans="1:1" x14ac:dyDescent="0.25">
      <c r="A845" t="s">
        <v>2373</v>
      </c>
    </row>
    <row r="846" spans="1:1" x14ac:dyDescent="0.25">
      <c r="A846" t="s">
        <v>2374</v>
      </c>
    </row>
    <row r="847" spans="1:1" x14ac:dyDescent="0.25">
      <c r="A847" t="s">
        <v>2375</v>
      </c>
    </row>
    <row r="848" spans="1:1" x14ac:dyDescent="0.25">
      <c r="A848" t="s">
        <v>2376</v>
      </c>
    </row>
    <row r="849" spans="1:1" x14ac:dyDescent="0.25">
      <c r="A849" t="s">
        <v>2377</v>
      </c>
    </row>
    <row r="850" spans="1:1" x14ac:dyDescent="0.25">
      <c r="A850" t="s">
        <v>2378</v>
      </c>
    </row>
    <row r="851" spans="1:1" x14ac:dyDescent="0.25">
      <c r="A851" t="s">
        <v>2379</v>
      </c>
    </row>
    <row r="852" spans="1:1" x14ac:dyDescent="0.25">
      <c r="A852" t="s">
        <v>2380</v>
      </c>
    </row>
    <row r="853" spans="1:1" x14ac:dyDescent="0.25">
      <c r="A853" t="s">
        <v>2381</v>
      </c>
    </row>
    <row r="854" spans="1:1" x14ac:dyDescent="0.25">
      <c r="A854" t="s">
        <v>2382</v>
      </c>
    </row>
    <row r="855" spans="1:1" x14ac:dyDescent="0.25">
      <c r="A855" t="s">
        <v>2383</v>
      </c>
    </row>
    <row r="856" spans="1:1" x14ac:dyDescent="0.25">
      <c r="A856" t="s">
        <v>2384</v>
      </c>
    </row>
    <row r="857" spans="1:1" x14ac:dyDescent="0.25">
      <c r="A857" t="s">
        <v>2385</v>
      </c>
    </row>
    <row r="858" spans="1:1" x14ac:dyDescent="0.25">
      <c r="A858" t="s">
        <v>2386</v>
      </c>
    </row>
    <row r="859" spans="1:1" x14ac:dyDescent="0.25">
      <c r="A859" t="s">
        <v>2387</v>
      </c>
    </row>
    <row r="860" spans="1:1" x14ac:dyDescent="0.25">
      <c r="A860" t="s">
        <v>2388</v>
      </c>
    </row>
    <row r="861" spans="1:1" x14ac:dyDescent="0.25">
      <c r="A861" t="s">
        <v>2389</v>
      </c>
    </row>
    <row r="862" spans="1:1" x14ac:dyDescent="0.25">
      <c r="A862" t="s">
        <v>2390</v>
      </c>
    </row>
    <row r="863" spans="1:1" x14ac:dyDescent="0.25">
      <c r="A863" t="s">
        <v>2391</v>
      </c>
    </row>
    <row r="864" spans="1:1" x14ac:dyDescent="0.25">
      <c r="A864" t="s">
        <v>2392</v>
      </c>
    </row>
    <row r="865" spans="1:1" x14ac:dyDescent="0.25">
      <c r="A865" t="s">
        <v>2393</v>
      </c>
    </row>
    <row r="866" spans="1:1" x14ac:dyDescent="0.25">
      <c r="A866" t="s">
        <v>2394</v>
      </c>
    </row>
    <row r="867" spans="1:1" x14ac:dyDescent="0.25">
      <c r="A867" t="s">
        <v>2395</v>
      </c>
    </row>
    <row r="868" spans="1:1" x14ac:dyDescent="0.25">
      <c r="A868" t="s">
        <v>2396</v>
      </c>
    </row>
    <row r="869" spans="1:1" x14ac:dyDescent="0.25">
      <c r="A869" t="s">
        <v>2397</v>
      </c>
    </row>
    <row r="870" spans="1:1" x14ac:dyDescent="0.25">
      <c r="A870" t="s">
        <v>2398</v>
      </c>
    </row>
    <row r="871" spans="1:1" x14ac:dyDescent="0.25">
      <c r="A871" t="s">
        <v>2399</v>
      </c>
    </row>
    <row r="872" spans="1:1" x14ac:dyDescent="0.25">
      <c r="A872" t="s">
        <v>2400</v>
      </c>
    </row>
    <row r="873" spans="1:1" x14ac:dyDescent="0.25">
      <c r="A873" t="s">
        <v>2401</v>
      </c>
    </row>
    <row r="874" spans="1:1" x14ac:dyDescent="0.25">
      <c r="A874" t="s">
        <v>2402</v>
      </c>
    </row>
    <row r="875" spans="1:1" x14ac:dyDescent="0.25">
      <c r="A875" t="s">
        <v>2403</v>
      </c>
    </row>
    <row r="876" spans="1:1" x14ac:dyDescent="0.25">
      <c r="A876" t="s">
        <v>2404</v>
      </c>
    </row>
    <row r="877" spans="1:1" x14ac:dyDescent="0.25">
      <c r="A877" t="s">
        <v>2405</v>
      </c>
    </row>
    <row r="878" spans="1:1" x14ac:dyDescent="0.25">
      <c r="A878" t="s">
        <v>2406</v>
      </c>
    </row>
    <row r="879" spans="1:1" x14ac:dyDescent="0.25">
      <c r="A879" t="s">
        <v>2407</v>
      </c>
    </row>
    <row r="880" spans="1:1" x14ac:dyDescent="0.25">
      <c r="A880" t="s">
        <v>2408</v>
      </c>
    </row>
    <row r="881" spans="1:1" x14ac:dyDescent="0.25">
      <c r="A881" t="s">
        <v>2409</v>
      </c>
    </row>
    <row r="882" spans="1:1" x14ac:dyDescent="0.25">
      <c r="A882" t="s">
        <v>2410</v>
      </c>
    </row>
    <row r="883" spans="1:1" x14ac:dyDescent="0.25">
      <c r="A883" t="s">
        <v>2411</v>
      </c>
    </row>
    <row r="884" spans="1:1" x14ac:dyDescent="0.25">
      <c r="A884" t="s">
        <v>2412</v>
      </c>
    </row>
    <row r="885" spans="1:1" x14ac:dyDescent="0.25">
      <c r="A885" t="s">
        <v>2413</v>
      </c>
    </row>
    <row r="886" spans="1:1" x14ac:dyDescent="0.25">
      <c r="A886" t="s">
        <v>2414</v>
      </c>
    </row>
    <row r="887" spans="1:1" x14ac:dyDescent="0.25">
      <c r="A887" t="s">
        <v>2415</v>
      </c>
    </row>
    <row r="888" spans="1:1" x14ac:dyDescent="0.25">
      <c r="A888" t="s">
        <v>2416</v>
      </c>
    </row>
    <row r="889" spans="1:1" x14ac:dyDescent="0.25">
      <c r="A889" t="s">
        <v>2417</v>
      </c>
    </row>
    <row r="890" spans="1:1" x14ac:dyDescent="0.25">
      <c r="A890" t="s">
        <v>2418</v>
      </c>
    </row>
    <row r="891" spans="1:1" x14ac:dyDescent="0.25">
      <c r="A891" t="s">
        <v>2419</v>
      </c>
    </row>
    <row r="892" spans="1:1" x14ac:dyDescent="0.25">
      <c r="A892" t="s">
        <v>2420</v>
      </c>
    </row>
    <row r="893" spans="1:1" x14ac:dyDescent="0.25">
      <c r="A893" t="s">
        <v>2421</v>
      </c>
    </row>
    <row r="894" spans="1:1" x14ac:dyDescent="0.25">
      <c r="A894" t="s">
        <v>2422</v>
      </c>
    </row>
    <row r="895" spans="1:1" x14ac:dyDescent="0.25">
      <c r="A895" t="s">
        <v>2423</v>
      </c>
    </row>
    <row r="896" spans="1:1" x14ac:dyDescent="0.25">
      <c r="A896" t="s">
        <v>2424</v>
      </c>
    </row>
    <row r="897" spans="1:1" x14ac:dyDescent="0.25">
      <c r="A897" t="s">
        <v>2425</v>
      </c>
    </row>
    <row r="898" spans="1:1" x14ac:dyDescent="0.25">
      <c r="A898" t="s">
        <v>2426</v>
      </c>
    </row>
    <row r="899" spans="1:1" x14ac:dyDescent="0.25">
      <c r="A899" t="s">
        <v>2427</v>
      </c>
    </row>
    <row r="900" spans="1:1" x14ac:dyDescent="0.25">
      <c r="A900" t="s">
        <v>2428</v>
      </c>
    </row>
    <row r="901" spans="1:1" x14ac:dyDescent="0.25">
      <c r="A901" t="s">
        <v>2429</v>
      </c>
    </row>
    <row r="902" spans="1:1" x14ac:dyDescent="0.25">
      <c r="A902" t="s">
        <v>2430</v>
      </c>
    </row>
    <row r="903" spans="1:1" x14ac:dyDescent="0.25">
      <c r="A903" t="s">
        <v>2431</v>
      </c>
    </row>
    <row r="904" spans="1:1" x14ac:dyDescent="0.25">
      <c r="A904" t="s">
        <v>2432</v>
      </c>
    </row>
    <row r="905" spans="1:1" x14ac:dyDescent="0.25">
      <c r="A905" t="s">
        <v>2433</v>
      </c>
    </row>
    <row r="906" spans="1:1" x14ac:dyDescent="0.25">
      <c r="A906" t="s">
        <v>2434</v>
      </c>
    </row>
    <row r="907" spans="1:1" x14ac:dyDescent="0.25">
      <c r="A907" t="s">
        <v>2435</v>
      </c>
    </row>
    <row r="908" spans="1:1" x14ac:dyDescent="0.25">
      <c r="A908" t="s">
        <v>2436</v>
      </c>
    </row>
    <row r="909" spans="1:1" x14ac:dyDescent="0.25">
      <c r="A909" t="s">
        <v>2437</v>
      </c>
    </row>
    <row r="910" spans="1:1" x14ac:dyDescent="0.25">
      <c r="A910" t="s">
        <v>2438</v>
      </c>
    </row>
    <row r="911" spans="1:1" x14ac:dyDescent="0.25">
      <c r="A911" t="s">
        <v>2439</v>
      </c>
    </row>
    <row r="912" spans="1:1" x14ac:dyDescent="0.25">
      <c r="A912" t="s">
        <v>2440</v>
      </c>
    </row>
    <row r="913" spans="1:1" x14ac:dyDescent="0.25">
      <c r="A913" t="s">
        <v>2441</v>
      </c>
    </row>
    <row r="914" spans="1:1" x14ac:dyDescent="0.25">
      <c r="A914" t="s">
        <v>2442</v>
      </c>
    </row>
    <row r="915" spans="1:1" x14ac:dyDescent="0.25">
      <c r="A915" t="s">
        <v>2443</v>
      </c>
    </row>
    <row r="916" spans="1:1" x14ac:dyDescent="0.25">
      <c r="A916" t="s">
        <v>2444</v>
      </c>
    </row>
    <row r="917" spans="1:1" x14ac:dyDescent="0.25">
      <c r="A917" t="s">
        <v>2445</v>
      </c>
    </row>
    <row r="918" spans="1:1" x14ac:dyDescent="0.25">
      <c r="A918" t="s">
        <v>2446</v>
      </c>
    </row>
    <row r="919" spans="1:1" x14ac:dyDescent="0.25">
      <c r="A919" t="s">
        <v>2447</v>
      </c>
    </row>
    <row r="920" spans="1:1" x14ac:dyDescent="0.25">
      <c r="A920" t="s">
        <v>2448</v>
      </c>
    </row>
    <row r="921" spans="1:1" x14ac:dyDescent="0.25">
      <c r="A921" t="s">
        <v>2449</v>
      </c>
    </row>
    <row r="922" spans="1:1" x14ac:dyDescent="0.25">
      <c r="A922" t="s">
        <v>2450</v>
      </c>
    </row>
    <row r="923" spans="1:1" x14ac:dyDescent="0.25">
      <c r="A923" t="s">
        <v>2451</v>
      </c>
    </row>
    <row r="924" spans="1:1" x14ac:dyDescent="0.25">
      <c r="A924" t="s">
        <v>2452</v>
      </c>
    </row>
    <row r="925" spans="1:1" x14ac:dyDescent="0.25">
      <c r="A925" t="s">
        <v>2453</v>
      </c>
    </row>
    <row r="926" spans="1:1" x14ac:dyDescent="0.25">
      <c r="A926" t="s">
        <v>2454</v>
      </c>
    </row>
    <row r="927" spans="1:1" x14ac:dyDescent="0.25">
      <c r="A927" t="s">
        <v>2455</v>
      </c>
    </row>
    <row r="928" spans="1:1" x14ac:dyDescent="0.25">
      <c r="A928" t="s">
        <v>2456</v>
      </c>
    </row>
    <row r="929" spans="1:1" x14ac:dyDescent="0.25">
      <c r="A929" t="s">
        <v>2457</v>
      </c>
    </row>
    <row r="930" spans="1:1" x14ac:dyDescent="0.25">
      <c r="A930" t="s">
        <v>2458</v>
      </c>
    </row>
    <row r="931" spans="1:1" x14ac:dyDescent="0.25">
      <c r="A931" t="s">
        <v>2459</v>
      </c>
    </row>
    <row r="932" spans="1:1" x14ac:dyDescent="0.25">
      <c r="A932" t="s">
        <v>2460</v>
      </c>
    </row>
    <row r="933" spans="1:1" x14ac:dyDescent="0.25">
      <c r="A933" t="s">
        <v>2461</v>
      </c>
    </row>
    <row r="934" spans="1:1" x14ac:dyDescent="0.25">
      <c r="A934" t="s">
        <v>2462</v>
      </c>
    </row>
    <row r="935" spans="1:1" x14ac:dyDescent="0.25">
      <c r="A935" t="s">
        <v>2463</v>
      </c>
    </row>
    <row r="936" spans="1:1" x14ac:dyDescent="0.25">
      <c r="A936" t="s">
        <v>2464</v>
      </c>
    </row>
    <row r="937" spans="1:1" x14ac:dyDescent="0.25">
      <c r="A937" t="s">
        <v>2465</v>
      </c>
    </row>
    <row r="938" spans="1:1" x14ac:dyDescent="0.25">
      <c r="A938" t="s">
        <v>2466</v>
      </c>
    </row>
    <row r="939" spans="1:1" x14ac:dyDescent="0.25">
      <c r="A939" t="s">
        <v>2467</v>
      </c>
    </row>
    <row r="940" spans="1:1" x14ac:dyDescent="0.25">
      <c r="A940" t="s">
        <v>2468</v>
      </c>
    </row>
    <row r="941" spans="1:1" x14ac:dyDescent="0.25">
      <c r="A941" t="s">
        <v>2469</v>
      </c>
    </row>
    <row r="942" spans="1:1" x14ac:dyDescent="0.25">
      <c r="A942" t="s">
        <v>2470</v>
      </c>
    </row>
    <row r="943" spans="1:1" x14ac:dyDescent="0.25">
      <c r="A943" t="s">
        <v>2471</v>
      </c>
    </row>
    <row r="944" spans="1:1" x14ac:dyDescent="0.25">
      <c r="A944" t="s">
        <v>2472</v>
      </c>
    </row>
    <row r="945" spans="1:1" x14ac:dyDescent="0.25">
      <c r="A945" t="s">
        <v>2473</v>
      </c>
    </row>
    <row r="946" spans="1:1" x14ac:dyDescent="0.25">
      <c r="A946" t="s">
        <v>2474</v>
      </c>
    </row>
    <row r="947" spans="1:1" x14ac:dyDescent="0.25">
      <c r="A947" t="s">
        <v>2475</v>
      </c>
    </row>
    <row r="948" spans="1:1" x14ac:dyDescent="0.25">
      <c r="A948" t="s">
        <v>2476</v>
      </c>
    </row>
    <row r="949" spans="1:1" x14ac:dyDescent="0.25">
      <c r="A949" t="s">
        <v>2477</v>
      </c>
    </row>
    <row r="950" spans="1:1" x14ac:dyDescent="0.25">
      <c r="A950" t="s">
        <v>2478</v>
      </c>
    </row>
    <row r="951" spans="1:1" x14ac:dyDescent="0.25">
      <c r="A951" t="s">
        <v>2479</v>
      </c>
    </row>
    <row r="952" spans="1:1" x14ac:dyDescent="0.25">
      <c r="A952" t="s">
        <v>2480</v>
      </c>
    </row>
    <row r="953" spans="1:1" x14ac:dyDescent="0.25">
      <c r="A953" t="s">
        <v>2481</v>
      </c>
    </row>
    <row r="954" spans="1:1" x14ac:dyDescent="0.25">
      <c r="A954" t="s">
        <v>2482</v>
      </c>
    </row>
    <row r="955" spans="1:1" x14ac:dyDescent="0.25">
      <c r="A955" t="s">
        <v>2483</v>
      </c>
    </row>
    <row r="956" spans="1:1" x14ac:dyDescent="0.25">
      <c r="A956" t="s">
        <v>2484</v>
      </c>
    </row>
    <row r="957" spans="1:1" x14ac:dyDescent="0.25">
      <c r="A957" t="s">
        <v>2485</v>
      </c>
    </row>
    <row r="958" spans="1:1" x14ac:dyDescent="0.25">
      <c r="A958" t="s">
        <v>2486</v>
      </c>
    </row>
    <row r="959" spans="1:1" x14ac:dyDescent="0.25">
      <c r="A959" t="s">
        <v>2487</v>
      </c>
    </row>
    <row r="960" spans="1:1" x14ac:dyDescent="0.25">
      <c r="A960" t="s">
        <v>2488</v>
      </c>
    </row>
    <row r="961" spans="1:1" x14ac:dyDescent="0.25">
      <c r="A961" t="s">
        <v>2489</v>
      </c>
    </row>
    <row r="962" spans="1:1" x14ac:dyDescent="0.25">
      <c r="A962" t="s">
        <v>2490</v>
      </c>
    </row>
    <row r="963" spans="1:1" x14ac:dyDescent="0.25">
      <c r="A963" t="s">
        <v>2491</v>
      </c>
    </row>
    <row r="964" spans="1:1" x14ac:dyDescent="0.25">
      <c r="A964" t="s">
        <v>2492</v>
      </c>
    </row>
    <row r="965" spans="1:1" x14ac:dyDescent="0.25">
      <c r="A965" t="s">
        <v>2493</v>
      </c>
    </row>
    <row r="966" spans="1:1" x14ac:dyDescent="0.25">
      <c r="A966" t="s">
        <v>2494</v>
      </c>
    </row>
    <row r="967" spans="1:1" x14ac:dyDescent="0.25">
      <c r="A967" t="s">
        <v>2495</v>
      </c>
    </row>
    <row r="968" spans="1:1" x14ac:dyDescent="0.25">
      <c r="A968" t="s">
        <v>2496</v>
      </c>
    </row>
    <row r="969" spans="1:1" x14ac:dyDescent="0.25">
      <c r="A969" t="s">
        <v>2497</v>
      </c>
    </row>
    <row r="970" spans="1:1" x14ac:dyDescent="0.25">
      <c r="A970" t="s">
        <v>2498</v>
      </c>
    </row>
    <row r="971" spans="1:1" x14ac:dyDescent="0.25">
      <c r="A971" t="s">
        <v>2499</v>
      </c>
    </row>
    <row r="972" spans="1:1" x14ac:dyDescent="0.25">
      <c r="A972" t="s">
        <v>2500</v>
      </c>
    </row>
    <row r="973" spans="1:1" x14ac:dyDescent="0.25">
      <c r="A973" t="s">
        <v>2501</v>
      </c>
    </row>
    <row r="974" spans="1:1" x14ac:dyDescent="0.25">
      <c r="A974" t="s">
        <v>2502</v>
      </c>
    </row>
    <row r="975" spans="1:1" x14ac:dyDescent="0.25">
      <c r="A975" t="s">
        <v>2503</v>
      </c>
    </row>
    <row r="976" spans="1:1" x14ac:dyDescent="0.25">
      <c r="A976" t="s">
        <v>2504</v>
      </c>
    </row>
    <row r="977" spans="1:1" x14ac:dyDescent="0.25">
      <c r="A977" t="s">
        <v>2505</v>
      </c>
    </row>
    <row r="978" spans="1:1" x14ac:dyDescent="0.25">
      <c r="A978" t="s">
        <v>2506</v>
      </c>
    </row>
    <row r="979" spans="1:1" x14ac:dyDescent="0.25">
      <c r="A979" t="s">
        <v>2507</v>
      </c>
    </row>
    <row r="980" spans="1:1" x14ac:dyDescent="0.25">
      <c r="A980" t="s">
        <v>2508</v>
      </c>
    </row>
    <row r="981" spans="1:1" x14ac:dyDescent="0.25">
      <c r="A981" t="s">
        <v>2509</v>
      </c>
    </row>
    <row r="982" spans="1:1" x14ac:dyDescent="0.25">
      <c r="A982" t="s">
        <v>2510</v>
      </c>
    </row>
    <row r="983" spans="1:1" x14ac:dyDescent="0.25">
      <c r="A983" t="s">
        <v>2511</v>
      </c>
    </row>
    <row r="984" spans="1:1" x14ac:dyDescent="0.25">
      <c r="A984" t="s">
        <v>2512</v>
      </c>
    </row>
    <row r="985" spans="1:1" x14ac:dyDescent="0.25">
      <c r="A985" t="s">
        <v>2513</v>
      </c>
    </row>
    <row r="986" spans="1:1" x14ac:dyDescent="0.25">
      <c r="A986" t="s">
        <v>2514</v>
      </c>
    </row>
    <row r="987" spans="1:1" x14ac:dyDescent="0.25">
      <c r="A987" t="s">
        <v>2515</v>
      </c>
    </row>
    <row r="988" spans="1:1" x14ac:dyDescent="0.25">
      <c r="A988" t="s">
        <v>2516</v>
      </c>
    </row>
    <row r="989" spans="1:1" x14ac:dyDescent="0.25">
      <c r="A989" t="s">
        <v>2517</v>
      </c>
    </row>
    <row r="990" spans="1:1" x14ac:dyDescent="0.25">
      <c r="A990" t="s">
        <v>2518</v>
      </c>
    </row>
    <row r="991" spans="1:1" x14ac:dyDescent="0.25">
      <c r="A991" t="s">
        <v>2519</v>
      </c>
    </row>
    <row r="992" spans="1:1" x14ac:dyDescent="0.25">
      <c r="A992" t="s">
        <v>2520</v>
      </c>
    </row>
    <row r="993" spans="1:1" x14ac:dyDescent="0.25">
      <c r="A993" t="s">
        <v>2521</v>
      </c>
    </row>
    <row r="994" spans="1:1" x14ac:dyDescent="0.25">
      <c r="A994" t="s">
        <v>2522</v>
      </c>
    </row>
    <row r="995" spans="1:1" x14ac:dyDescent="0.25">
      <c r="A995" t="s">
        <v>2523</v>
      </c>
    </row>
    <row r="996" spans="1:1" x14ac:dyDescent="0.25">
      <c r="A996" t="s">
        <v>2524</v>
      </c>
    </row>
    <row r="997" spans="1:1" x14ac:dyDescent="0.25">
      <c r="A997" t="s">
        <v>2525</v>
      </c>
    </row>
    <row r="998" spans="1:1" x14ac:dyDescent="0.25">
      <c r="A998" t="s">
        <v>2526</v>
      </c>
    </row>
    <row r="999" spans="1:1" x14ac:dyDescent="0.25">
      <c r="A999" t="s">
        <v>2527</v>
      </c>
    </row>
    <row r="1000" spans="1:1" x14ac:dyDescent="0.25">
      <c r="A1000" t="s">
        <v>2528</v>
      </c>
    </row>
    <row r="1001" spans="1:1" x14ac:dyDescent="0.25">
      <c r="A1001" t="s">
        <v>2529</v>
      </c>
    </row>
    <row r="1002" spans="1:1" x14ac:dyDescent="0.25">
      <c r="A1002" t="s">
        <v>2530</v>
      </c>
    </row>
    <row r="1003" spans="1:1" x14ac:dyDescent="0.25">
      <c r="A1003" t="s">
        <v>2531</v>
      </c>
    </row>
    <row r="1004" spans="1:1" x14ac:dyDescent="0.25">
      <c r="A1004" t="s">
        <v>2532</v>
      </c>
    </row>
    <row r="1005" spans="1:1" x14ac:dyDescent="0.25">
      <c r="A1005" t="s">
        <v>2533</v>
      </c>
    </row>
    <row r="1006" spans="1:1" x14ac:dyDescent="0.25">
      <c r="A1006" t="s">
        <v>2534</v>
      </c>
    </row>
    <row r="1007" spans="1:1" x14ac:dyDescent="0.25">
      <c r="A1007" t="s">
        <v>2535</v>
      </c>
    </row>
    <row r="1008" spans="1:1" x14ac:dyDescent="0.25">
      <c r="A1008" t="s">
        <v>2536</v>
      </c>
    </row>
    <row r="1009" spans="1:1" x14ac:dyDescent="0.25">
      <c r="A1009" t="s">
        <v>2537</v>
      </c>
    </row>
    <row r="1010" spans="1:1" x14ac:dyDescent="0.25">
      <c r="A1010" t="s">
        <v>2538</v>
      </c>
    </row>
    <row r="1011" spans="1:1" x14ac:dyDescent="0.25">
      <c r="A1011" t="s">
        <v>2539</v>
      </c>
    </row>
    <row r="1012" spans="1:1" x14ac:dyDescent="0.25">
      <c r="A1012" t="s">
        <v>2540</v>
      </c>
    </row>
    <row r="1013" spans="1:1" x14ac:dyDescent="0.25">
      <c r="A1013" t="s">
        <v>2541</v>
      </c>
    </row>
    <row r="1014" spans="1:1" x14ac:dyDescent="0.25">
      <c r="A1014" t="s">
        <v>2542</v>
      </c>
    </row>
    <row r="1015" spans="1:1" x14ac:dyDescent="0.25">
      <c r="A1015" t="s">
        <v>2543</v>
      </c>
    </row>
    <row r="1016" spans="1:1" x14ac:dyDescent="0.25">
      <c r="A1016" t="s">
        <v>2544</v>
      </c>
    </row>
    <row r="1017" spans="1:1" x14ac:dyDescent="0.25">
      <c r="A1017" t="s">
        <v>2545</v>
      </c>
    </row>
    <row r="1018" spans="1:1" x14ac:dyDescent="0.25">
      <c r="A1018" t="s">
        <v>2546</v>
      </c>
    </row>
    <row r="1019" spans="1:1" x14ac:dyDescent="0.25">
      <c r="A1019" t="s">
        <v>2547</v>
      </c>
    </row>
    <row r="1020" spans="1:1" x14ac:dyDescent="0.25">
      <c r="A1020" t="s">
        <v>2548</v>
      </c>
    </row>
    <row r="1021" spans="1:1" x14ac:dyDescent="0.25">
      <c r="A1021" t="s">
        <v>2549</v>
      </c>
    </row>
    <row r="1022" spans="1:1" x14ac:dyDescent="0.25">
      <c r="A1022" t="s">
        <v>2550</v>
      </c>
    </row>
    <row r="1023" spans="1:1" x14ac:dyDescent="0.25">
      <c r="A1023" t="s">
        <v>2551</v>
      </c>
    </row>
    <row r="1024" spans="1:1" x14ac:dyDescent="0.25">
      <c r="A1024" t="s">
        <v>2552</v>
      </c>
    </row>
    <row r="1025" spans="1:1" x14ac:dyDescent="0.25">
      <c r="A1025" t="s">
        <v>2553</v>
      </c>
    </row>
    <row r="1026" spans="1:1" x14ac:dyDescent="0.25">
      <c r="A1026" t="s">
        <v>2554</v>
      </c>
    </row>
    <row r="1027" spans="1:1" x14ac:dyDescent="0.25">
      <c r="A1027" t="s">
        <v>2555</v>
      </c>
    </row>
    <row r="1028" spans="1:1" x14ac:dyDescent="0.25">
      <c r="A1028" t="s">
        <v>2556</v>
      </c>
    </row>
    <row r="1029" spans="1:1" x14ac:dyDescent="0.25">
      <c r="A1029" t="s">
        <v>2557</v>
      </c>
    </row>
    <row r="1030" spans="1:1" x14ac:dyDescent="0.25">
      <c r="A1030" t="s">
        <v>2558</v>
      </c>
    </row>
    <row r="1031" spans="1:1" x14ac:dyDescent="0.25">
      <c r="A1031" t="s">
        <v>2559</v>
      </c>
    </row>
    <row r="1032" spans="1:1" x14ac:dyDescent="0.25">
      <c r="A1032" t="s">
        <v>2560</v>
      </c>
    </row>
    <row r="1033" spans="1:1" x14ac:dyDescent="0.25">
      <c r="A1033" t="s">
        <v>2561</v>
      </c>
    </row>
    <row r="1034" spans="1:1" x14ac:dyDescent="0.25">
      <c r="A1034" t="s">
        <v>2562</v>
      </c>
    </row>
    <row r="1035" spans="1:1" x14ac:dyDescent="0.25">
      <c r="A1035" t="s">
        <v>2563</v>
      </c>
    </row>
    <row r="1036" spans="1:1" x14ac:dyDescent="0.25">
      <c r="A1036" t="s">
        <v>2564</v>
      </c>
    </row>
    <row r="1037" spans="1:1" x14ac:dyDescent="0.25">
      <c r="A1037" t="s">
        <v>2565</v>
      </c>
    </row>
    <row r="1038" spans="1:1" x14ac:dyDescent="0.25">
      <c r="A1038" t="s">
        <v>2566</v>
      </c>
    </row>
    <row r="1039" spans="1:1" x14ac:dyDescent="0.25">
      <c r="A1039" t="s">
        <v>2567</v>
      </c>
    </row>
    <row r="1040" spans="1:1" x14ac:dyDescent="0.25">
      <c r="A1040" t="s">
        <v>2568</v>
      </c>
    </row>
    <row r="1041" spans="1:1" x14ac:dyDescent="0.25">
      <c r="A1041" t="s">
        <v>2569</v>
      </c>
    </row>
    <row r="1042" spans="1:1" x14ac:dyDescent="0.25">
      <c r="A1042" t="s">
        <v>2570</v>
      </c>
    </row>
    <row r="1043" spans="1:1" x14ac:dyDescent="0.25">
      <c r="A1043" t="s">
        <v>2571</v>
      </c>
    </row>
    <row r="1044" spans="1:1" x14ac:dyDescent="0.25">
      <c r="A1044" t="s">
        <v>2572</v>
      </c>
    </row>
    <row r="1045" spans="1:1" x14ac:dyDescent="0.25">
      <c r="A1045" t="s">
        <v>2573</v>
      </c>
    </row>
    <row r="1046" spans="1:1" x14ac:dyDescent="0.25">
      <c r="A1046" t="s">
        <v>2574</v>
      </c>
    </row>
    <row r="1047" spans="1:1" x14ac:dyDescent="0.25">
      <c r="A1047" t="s">
        <v>2575</v>
      </c>
    </row>
    <row r="1048" spans="1:1" x14ac:dyDescent="0.25">
      <c r="A1048" t="s">
        <v>2576</v>
      </c>
    </row>
    <row r="1049" spans="1:1" x14ac:dyDescent="0.25">
      <c r="A1049" t="s">
        <v>2577</v>
      </c>
    </row>
    <row r="1050" spans="1:1" x14ac:dyDescent="0.25">
      <c r="A1050" t="s">
        <v>2578</v>
      </c>
    </row>
    <row r="1051" spans="1:1" x14ac:dyDescent="0.25">
      <c r="A1051" t="s">
        <v>2579</v>
      </c>
    </row>
    <row r="1052" spans="1:1" x14ac:dyDescent="0.25">
      <c r="A1052" t="s">
        <v>2580</v>
      </c>
    </row>
    <row r="1053" spans="1:1" x14ac:dyDescent="0.25">
      <c r="A1053" t="s">
        <v>2581</v>
      </c>
    </row>
    <row r="1054" spans="1:1" x14ac:dyDescent="0.25">
      <c r="A1054" t="s">
        <v>2582</v>
      </c>
    </row>
    <row r="1055" spans="1:1" x14ac:dyDescent="0.25">
      <c r="A1055" t="s">
        <v>2583</v>
      </c>
    </row>
    <row r="1056" spans="1:1" x14ac:dyDescent="0.25">
      <c r="A1056" t="s">
        <v>2584</v>
      </c>
    </row>
    <row r="1057" spans="1:1" x14ac:dyDescent="0.25">
      <c r="A1057" t="s">
        <v>2585</v>
      </c>
    </row>
    <row r="1058" spans="1:1" x14ac:dyDescent="0.25">
      <c r="A1058" t="s">
        <v>2586</v>
      </c>
    </row>
    <row r="1059" spans="1:1" x14ac:dyDescent="0.25">
      <c r="A1059" t="s">
        <v>2587</v>
      </c>
    </row>
    <row r="1060" spans="1:1" x14ac:dyDescent="0.25">
      <c r="A1060" t="s">
        <v>2588</v>
      </c>
    </row>
    <row r="1061" spans="1:1" x14ac:dyDescent="0.25">
      <c r="A1061" t="s">
        <v>2589</v>
      </c>
    </row>
    <row r="1062" spans="1:1" x14ac:dyDescent="0.25">
      <c r="A1062" t="s">
        <v>2590</v>
      </c>
    </row>
    <row r="1063" spans="1:1" x14ac:dyDescent="0.25">
      <c r="A1063" t="s">
        <v>2591</v>
      </c>
    </row>
    <row r="1064" spans="1:1" x14ac:dyDescent="0.25">
      <c r="A1064" t="s">
        <v>2592</v>
      </c>
    </row>
    <row r="1065" spans="1:1" x14ac:dyDescent="0.25">
      <c r="A1065" t="s">
        <v>2593</v>
      </c>
    </row>
    <row r="1066" spans="1:1" x14ac:dyDescent="0.25">
      <c r="A1066" t="s">
        <v>2594</v>
      </c>
    </row>
    <row r="1067" spans="1:1" x14ac:dyDescent="0.25">
      <c r="A1067" t="s">
        <v>2595</v>
      </c>
    </row>
    <row r="1068" spans="1:1" x14ac:dyDescent="0.25">
      <c r="A1068" t="s">
        <v>2596</v>
      </c>
    </row>
    <row r="1069" spans="1:1" x14ac:dyDescent="0.25">
      <c r="A1069" t="s">
        <v>2597</v>
      </c>
    </row>
    <row r="1070" spans="1:1" x14ac:dyDescent="0.25">
      <c r="A1070" t="s">
        <v>2598</v>
      </c>
    </row>
    <row r="1071" spans="1:1" x14ac:dyDescent="0.25">
      <c r="A1071" t="s">
        <v>2599</v>
      </c>
    </row>
    <row r="1072" spans="1:1" x14ac:dyDescent="0.25">
      <c r="A1072" t="s">
        <v>2600</v>
      </c>
    </row>
    <row r="1073" spans="1:1" x14ac:dyDescent="0.25">
      <c r="A1073" t="s">
        <v>2601</v>
      </c>
    </row>
    <row r="1074" spans="1:1" x14ac:dyDescent="0.25">
      <c r="A1074" t="s">
        <v>2602</v>
      </c>
    </row>
    <row r="1075" spans="1:1" x14ac:dyDescent="0.25">
      <c r="A1075" t="s">
        <v>2603</v>
      </c>
    </row>
    <row r="1076" spans="1:1" x14ac:dyDescent="0.25">
      <c r="A1076" t="s">
        <v>2604</v>
      </c>
    </row>
    <row r="1077" spans="1:1" x14ac:dyDescent="0.25">
      <c r="A1077" t="s">
        <v>2605</v>
      </c>
    </row>
    <row r="1078" spans="1:1" x14ac:dyDescent="0.25">
      <c r="A1078" t="s">
        <v>2606</v>
      </c>
    </row>
    <row r="1079" spans="1:1" x14ac:dyDescent="0.25">
      <c r="A1079" t="s">
        <v>2607</v>
      </c>
    </row>
    <row r="1080" spans="1:1" x14ac:dyDescent="0.25">
      <c r="A1080" t="s">
        <v>2608</v>
      </c>
    </row>
    <row r="1081" spans="1:1" x14ac:dyDescent="0.25">
      <c r="A1081" t="s">
        <v>2609</v>
      </c>
    </row>
    <row r="1082" spans="1:1" x14ac:dyDescent="0.25">
      <c r="A1082" t="s">
        <v>2610</v>
      </c>
    </row>
    <row r="1083" spans="1:1" x14ac:dyDescent="0.25">
      <c r="A1083" t="s">
        <v>2611</v>
      </c>
    </row>
    <row r="1084" spans="1:1" x14ac:dyDescent="0.25">
      <c r="A1084" t="s">
        <v>2612</v>
      </c>
    </row>
    <row r="1085" spans="1:1" x14ac:dyDescent="0.25">
      <c r="A1085" t="s">
        <v>2613</v>
      </c>
    </row>
    <row r="1086" spans="1:1" x14ac:dyDescent="0.25">
      <c r="A1086" t="s">
        <v>2614</v>
      </c>
    </row>
    <row r="1087" spans="1:1" x14ac:dyDescent="0.25">
      <c r="A1087" t="s">
        <v>2615</v>
      </c>
    </row>
    <row r="1088" spans="1:1" x14ac:dyDescent="0.25">
      <c r="A1088" t="s">
        <v>2616</v>
      </c>
    </row>
    <row r="1089" spans="1:1" x14ac:dyDescent="0.25">
      <c r="A1089" t="s">
        <v>2617</v>
      </c>
    </row>
    <row r="1090" spans="1:1" x14ac:dyDescent="0.25">
      <c r="A1090" t="s">
        <v>2618</v>
      </c>
    </row>
    <row r="1091" spans="1:1" x14ac:dyDescent="0.25">
      <c r="A1091" t="s">
        <v>2619</v>
      </c>
    </row>
    <row r="1092" spans="1:1" x14ac:dyDescent="0.25">
      <c r="A1092" t="s">
        <v>2620</v>
      </c>
    </row>
    <row r="1093" spans="1:1" x14ac:dyDescent="0.25">
      <c r="A1093" t="s">
        <v>2621</v>
      </c>
    </row>
    <row r="1094" spans="1:1" x14ac:dyDescent="0.25">
      <c r="A1094" t="s">
        <v>2622</v>
      </c>
    </row>
    <row r="1095" spans="1:1" x14ac:dyDescent="0.25">
      <c r="A1095" t="s">
        <v>2623</v>
      </c>
    </row>
    <row r="1096" spans="1:1" x14ac:dyDescent="0.25">
      <c r="A1096" t="s">
        <v>2624</v>
      </c>
    </row>
    <row r="1097" spans="1:1" x14ac:dyDescent="0.25">
      <c r="A1097" t="s">
        <v>2625</v>
      </c>
    </row>
    <row r="1098" spans="1:1" x14ac:dyDescent="0.25">
      <c r="A1098" t="s">
        <v>2626</v>
      </c>
    </row>
    <row r="1099" spans="1:1" x14ac:dyDescent="0.25">
      <c r="A1099" t="s">
        <v>2627</v>
      </c>
    </row>
    <row r="1100" spans="1:1" x14ac:dyDescent="0.25">
      <c r="A1100" t="s">
        <v>2628</v>
      </c>
    </row>
    <row r="1101" spans="1:1" x14ac:dyDescent="0.25">
      <c r="A1101" t="s">
        <v>2629</v>
      </c>
    </row>
    <row r="1102" spans="1:1" x14ac:dyDescent="0.25">
      <c r="A1102" t="s">
        <v>2630</v>
      </c>
    </row>
    <row r="1103" spans="1:1" x14ac:dyDescent="0.25">
      <c r="A1103" t="s">
        <v>2631</v>
      </c>
    </row>
    <row r="1104" spans="1:1" x14ac:dyDescent="0.25">
      <c r="A1104" t="s">
        <v>2632</v>
      </c>
    </row>
    <row r="1105" spans="1:1" x14ac:dyDescent="0.25">
      <c r="A1105" t="s">
        <v>2633</v>
      </c>
    </row>
    <row r="1106" spans="1:1" x14ac:dyDescent="0.25">
      <c r="A1106" t="s">
        <v>2634</v>
      </c>
    </row>
    <row r="1107" spans="1:1" x14ac:dyDescent="0.25">
      <c r="A1107" t="s">
        <v>2635</v>
      </c>
    </row>
    <row r="1108" spans="1:1" x14ac:dyDescent="0.25">
      <c r="A1108" t="s">
        <v>2636</v>
      </c>
    </row>
    <row r="1109" spans="1:1" x14ac:dyDescent="0.25">
      <c r="A1109" t="s">
        <v>2637</v>
      </c>
    </row>
    <row r="1110" spans="1:1" x14ac:dyDescent="0.25">
      <c r="A1110" t="s">
        <v>2638</v>
      </c>
    </row>
    <row r="1111" spans="1:1" x14ac:dyDescent="0.25">
      <c r="A1111" t="s">
        <v>2639</v>
      </c>
    </row>
    <row r="1112" spans="1:1" x14ac:dyDescent="0.25">
      <c r="A1112" t="s">
        <v>2640</v>
      </c>
    </row>
    <row r="1113" spans="1:1" x14ac:dyDescent="0.25">
      <c r="A1113" t="s">
        <v>2641</v>
      </c>
    </row>
    <row r="1114" spans="1:1" x14ac:dyDescent="0.25">
      <c r="A1114" t="s">
        <v>2642</v>
      </c>
    </row>
    <row r="1115" spans="1:1" x14ac:dyDescent="0.25">
      <c r="A1115" t="s">
        <v>2643</v>
      </c>
    </row>
    <row r="1116" spans="1:1" x14ac:dyDescent="0.25">
      <c r="A1116" t="s">
        <v>2644</v>
      </c>
    </row>
    <row r="1117" spans="1:1" x14ac:dyDescent="0.25">
      <c r="A1117" t="s">
        <v>2645</v>
      </c>
    </row>
    <row r="1118" spans="1:1" x14ac:dyDescent="0.25">
      <c r="A1118" t="s">
        <v>2646</v>
      </c>
    </row>
    <row r="1119" spans="1:1" x14ac:dyDescent="0.25">
      <c r="A1119" t="s">
        <v>2647</v>
      </c>
    </row>
    <row r="1120" spans="1:1" x14ac:dyDescent="0.25">
      <c r="A1120" t="s">
        <v>2648</v>
      </c>
    </row>
    <row r="1121" spans="1:1" x14ac:dyDescent="0.25">
      <c r="A1121" t="s">
        <v>2649</v>
      </c>
    </row>
    <row r="1122" spans="1:1" x14ac:dyDescent="0.25">
      <c r="A1122" t="s">
        <v>2650</v>
      </c>
    </row>
    <row r="1123" spans="1:1" x14ac:dyDescent="0.25">
      <c r="A1123" t="s">
        <v>2651</v>
      </c>
    </row>
    <row r="1124" spans="1:1" x14ac:dyDescent="0.25">
      <c r="A1124" t="s">
        <v>2652</v>
      </c>
    </row>
    <row r="1125" spans="1:1" x14ac:dyDescent="0.25">
      <c r="A1125" t="s">
        <v>2653</v>
      </c>
    </row>
    <row r="1126" spans="1:1" x14ac:dyDescent="0.25">
      <c r="A1126" t="s">
        <v>2654</v>
      </c>
    </row>
    <row r="1127" spans="1:1" x14ac:dyDescent="0.25">
      <c r="A1127" t="s">
        <v>2655</v>
      </c>
    </row>
    <row r="1128" spans="1:1" x14ac:dyDescent="0.25">
      <c r="A1128" t="s">
        <v>2656</v>
      </c>
    </row>
    <row r="1129" spans="1:1" x14ac:dyDescent="0.25">
      <c r="A1129" t="s">
        <v>2657</v>
      </c>
    </row>
    <row r="1130" spans="1:1" x14ac:dyDescent="0.25">
      <c r="A1130" t="s">
        <v>2658</v>
      </c>
    </row>
    <row r="1131" spans="1:1" x14ac:dyDescent="0.25">
      <c r="A1131" t="s">
        <v>2659</v>
      </c>
    </row>
    <row r="1132" spans="1:1" x14ac:dyDescent="0.25">
      <c r="A1132" t="s">
        <v>2660</v>
      </c>
    </row>
    <row r="1133" spans="1:1" x14ac:dyDescent="0.25">
      <c r="A1133" t="s">
        <v>2661</v>
      </c>
    </row>
    <row r="1134" spans="1:1" x14ac:dyDescent="0.25">
      <c r="A1134" t="s">
        <v>2662</v>
      </c>
    </row>
    <row r="1135" spans="1:1" x14ac:dyDescent="0.25">
      <c r="A1135" t="s">
        <v>2663</v>
      </c>
    </row>
    <row r="1136" spans="1:1" x14ac:dyDescent="0.25">
      <c r="A1136" t="s">
        <v>2664</v>
      </c>
    </row>
    <row r="1137" spans="1:1" x14ac:dyDescent="0.25">
      <c r="A1137" t="s">
        <v>2665</v>
      </c>
    </row>
    <row r="1138" spans="1:1" x14ac:dyDescent="0.25">
      <c r="A1138" t="s">
        <v>2666</v>
      </c>
    </row>
    <row r="1139" spans="1:1" x14ac:dyDescent="0.25">
      <c r="A1139" t="s">
        <v>2667</v>
      </c>
    </row>
    <row r="1140" spans="1:1" x14ac:dyDescent="0.25">
      <c r="A1140" t="s">
        <v>2668</v>
      </c>
    </row>
    <row r="1141" spans="1:1" x14ac:dyDescent="0.25">
      <c r="A1141" t="s">
        <v>2669</v>
      </c>
    </row>
    <row r="1142" spans="1:1" x14ac:dyDescent="0.25">
      <c r="A1142" t="s">
        <v>2670</v>
      </c>
    </row>
    <row r="1143" spans="1:1" x14ac:dyDescent="0.25">
      <c r="A1143" t="s">
        <v>2671</v>
      </c>
    </row>
    <row r="1144" spans="1:1" x14ac:dyDescent="0.25">
      <c r="A1144" t="s">
        <v>2672</v>
      </c>
    </row>
    <row r="1145" spans="1:1" x14ac:dyDescent="0.25">
      <c r="A1145" t="s">
        <v>2673</v>
      </c>
    </row>
    <row r="1146" spans="1:1" x14ac:dyDescent="0.25">
      <c r="A1146" t="s">
        <v>2674</v>
      </c>
    </row>
    <row r="1147" spans="1:1" x14ac:dyDescent="0.25">
      <c r="A1147" t="s">
        <v>2675</v>
      </c>
    </row>
    <row r="1148" spans="1:1" x14ac:dyDescent="0.25">
      <c r="A1148" t="s">
        <v>2676</v>
      </c>
    </row>
    <row r="1149" spans="1:1" x14ac:dyDescent="0.25">
      <c r="A1149" t="s">
        <v>2677</v>
      </c>
    </row>
    <row r="1150" spans="1:1" x14ac:dyDescent="0.25">
      <c r="A1150" t="s">
        <v>2678</v>
      </c>
    </row>
    <row r="1151" spans="1:1" x14ac:dyDescent="0.25">
      <c r="A1151" t="s">
        <v>2679</v>
      </c>
    </row>
    <row r="1152" spans="1:1" x14ac:dyDescent="0.25">
      <c r="A1152" t="s">
        <v>2680</v>
      </c>
    </row>
    <row r="1153" spans="1:1" x14ac:dyDescent="0.25">
      <c r="A1153" t="s">
        <v>2681</v>
      </c>
    </row>
    <row r="1154" spans="1:1" x14ac:dyDescent="0.25">
      <c r="A1154" t="s">
        <v>2682</v>
      </c>
    </row>
    <row r="1155" spans="1:1" x14ac:dyDescent="0.25">
      <c r="A1155" t="s">
        <v>2683</v>
      </c>
    </row>
    <row r="1156" spans="1:1" x14ac:dyDescent="0.25">
      <c r="A1156" t="s">
        <v>2684</v>
      </c>
    </row>
    <row r="1157" spans="1:1" x14ac:dyDescent="0.25">
      <c r="A1157" t="s">
        <v>2685</v>
      </c>
    </row>
    <row r="1158" spans="1:1" x14ac:dyDescent="0.25">
      <c r="A1158" t="s">
        <v>2686</v>
      </c>
    </row>
    <row r="1159" spans="1:1" x14ac:dyDescent="0.25">
      <c r="A1159" t="s">
        <v>2687</v>
      </c>
    </row>
    <row r="1160" spans="1:1" x14ac:dyDescent="0.25">
      <c r="A1160" t="s">
        <v>2688</v>
      </c>
    </row>
    <row r="1161" spans="1:1" x14ac:dyDescent="0.25">
      <c r="A1161" t="s">
        <v>2689</v>
      </c>
    </row>
    <row r="1162" spans="1:1" x14ac:dyDescent="0.25">
      <c r="A1162" t="s">
        <v>2690</v>
      </c>
    </row>
    <row r="1163" spans="1:1" x14ac:dyDescent="0.25">
      <c r="A1163" t="s">
        <v>2691</v>
      </c>
    </row>
    <row r="1164" spans="1:1" x14ac:dyDescent="0.25">
      <c r="A1164" t="s">
        <v>2692</v>
      </c>
    </row>
    <row r="1165" spans="1:1" x14ac:dyDescent="0.25">
      <c r="A1165" t="s">
        <v>2693</v>
      </c>
    </row>
    <row r="1166" spans="1:1" x14ac:dyDescent="0.25">
      <c r="A1166" t="s">
        <v>2694</v>
      </c>
    </row>
    <row r="1167" spans="1:1" x14ac:dyDescent="0.25">
      <c r="A1167" t="s">
        <v>2695</v>
      </c>
    </row>
    <row r="1168" spans="1:1" x14ac:dyDescent="0.25">
      <c r="A1168" t="s">
        <v>2696</v>
      </c>
    </row>
    <row r="1169" spans="1:1" x14ac:dyDescent="0.25">
      <c r="A1169" t="s">
        <v>2697</v>
      </c>
    </row>
    <row r="1170" spans="1:1" x14ac:dyDescent="0.25">
      <c r="A1170" t="s">
        <v>2698</v>
      </c>
    </row>
    <row r="1171" spans="1:1" x14ac:dyDescent="0.25">
      <c r="A1171" t="s">
        <v>2699</v>
      </c>
    </row>
    <row r="1172" spans="1:1" x14ac:dyDescent="0.25">
      <c r="A1172" t="s">
        <v>2700</v>
      </c>
    </row>
    <row r="1173" spans="1:1" x14ac:dyDescent="0.25">
      <c r="A1173" t="s">
        <v>2701</v>
      </c>
    </row>
    <row r="1174" spans="1:1" x14ac:dyDescent="0.25">
      <c r="A1174" t="s">
        <v>2702</v>
      </c>
    </row>
    <row r="1175" spans="1:1" x14ac:dyDescent="0.25">
      <c r="A1175" t="s">
        <v>2703</v>
      </c>
    </row>
    <row r="1176" spans="1:1" x14ac:dyDescent="0.25">
      <c r="A1176" t="s">
        <v>2704</v>
      </c>
    </row>
    <row r="1177" spans="1:1" x14ac:dyDescent="0.25">
      <c r="A1177" t="s">
        <v>2705</v>
      </c>
    </row>
    <row r="1178" spans="1:1" x14ac:dyDescent="0.25">
      <c r="A1178" t="s">
        <v>2706</v>
      </c>
    </row>
    <row r="1179" spans="1:1" x14ac:dyDescent="0.25">
      <c r="A1179" t="s">
        <v>2707</v>
      </c>
    </row>
    <row r="1180" spans="1:1" x14ac:dyDescent="0.25">
      <c r="A1180" t="s">
        <v>2708</v>
      </c>
    </row>
    <row r="1181" spans="1:1" x14ac:dyDescent="0.25">
      <c r="A1181" t="s">
        <v>2709</v>
      </c>
    </row>
    <row r="1182" spans="1:1" x14ac:dyDescent="0.25">
      <c r="A1182" t="s">
        <v>2710</v>
      </c>
    </row>
    <row r="1183" spans="1:1" x14ac:dyDescent="0.25">
      <c r="A1183" t="s">
        <v>2711</v>
      </c>
    </row>
    <row r="1184" spans="1:1" x14ac:dyDescent="0.25">
      <c r="A1184" t="s">
        <v>2712</v>
      </c>
    </row>
    <row r="1185" spans="1:1" x14ac:dyDescent="0.25">
      <c r="A1185" t="s">
        <v>2713</v>
      </c>
    </row>
    <row r="1186" spans="1:1" x14ac:dyDescent="0.25">
      <c r="A1186" t="s">
        <v>2714</v>
      </c>
    </row>
    <row r="1187" spans="1:1" x14ac:dyDescent="0.25">
      <c r="A1187" t="s">
        <v>2715</v>
      </c>
    </row>
    <row r="1188" spans="1:1" x14ac:dyDescent="0.25">
      <c r="A1188" t="s">
        <v>2716</v>
      </c>
    </row>
    <row r="1189" spans="1:1" x14ac:dyDescent="0.25">
      <c r="A1189" t="s">
        <v>2717</v>
      </c>
    </row>
    <row r="1190" spans="1:1" x14ac:dyDescent="0.25">
      <c r="A1190" t="s">
        <v>2718</v>
      </c>
    </row>
    <row r="1191" spans="1:1" x14ac:dyDescent="0.25">
      <c r="A1191" t="s">
        <v>2719</v>
      </c>
    </row>
    <row r="1192" spans="1:1" x14ac:dyDescent="0.25">
      <c r="A1192" t="s">
        <v>2720</v>
      </c>
    </row>
    <row r="1193" spans="1:1" x14ac:dyDescent="0.25">
      <c r="A1193" t="s">
        <v>2721</v>
      </c>
    </row>
    <row r="1194" spans="1:1" x14ac:dyDescent="0.25">
      <c r="A1194" t="s">
        <v>2722</v>
      </c>
    </row>
    <row r="1195" spans="1:1" x14ac:dyDescent="0.25">
      <c r="A1195" t="s">
        <v>2723</v>
      </c>
    </row>
    <row r="1196" spans="1:1" x14ac:dyDescent="0.25">
      <c r="A1196" t="s">
        <v>2724</v>
      </c>
    </row>
    <row r="1197" spans="1:1" x14ac:dyDescent="0.25">
      <c r="A1197" t="s">
        <v>2725</v>
      </c>
    </row>
    <row r="1198" spans="1:1" x14ac:dyDescent="0.25">
      <c r="A1198" t="s">
        <v>2726</v>
      </c>
    </row>
    <row r="1199" spans="1:1" x14ac:dyDescent="0.25">
      <c r="A1199" t="s">
        <v>2727</v>
      </c>
    </row>
    <row r="1200" spans="1:1" x14ac:dyDescent="0.25">
      <c r="A1200" t="s">
        <v>2728</v>
      </c>
    </row>
    <row r="1201" spans="1:1" x14ac:dyDescent="0.25">
      <c r="A1201" t="s">
        <v>2729</v>
      </c>
    </row>
    <row r="1202" spans="1:1" x14ac:dyDescent="0.25">
      <c r="A1202" t="s">
        <v>2730</v>
      </c>
    </row>
    <row r="1203" spans="1:1" x14ac:dyDescent="0.25">
      <c r="A1203" t="s">
        <v>2731</v>
      </c>
    </row>
    <row r="1204" spans="1:1" x14ac:dyDescent="0.25">
      <c r="A1204" t="s">
        <v>2732</v>
      </c>
    </row>
    <row r="1205" spans="1:1" x14ac:dyDescent="0.25">
      <c r="A1205" t="s">
        <v>2733</v>
      </c>
    </row>
    <row r="1206" spans="1:1" x14ac:dyDescent="0.25">
      <c r="A1206" t="s">
        <v>2734</v>
      </c>
    </row>
    <row r="1207" spans="1:1" x14ac:dyDescent="0.25">
      <c r="A1207" t="s">
        <v>2735</v>
      </c>
    </row>
    <row r="1208" spans="1:1" x14ac:dyDescent="0.25">
      <c r="A1208" t="s">
        <v>2736</v>
      </c>
    </row>
    <row r="1209" spans="1:1" x14ac:dyDescent="0.25">
      <c r="A1209" t="s">
        <v>2737</v>
      </c>
    </row>
    <row r="1210" spans="1:1" x14ac:dyDescent="0.25">
      <c r="A1210" t="s">
        <v>2738</v>
      </c>
    </row>
    <row r="1211" spans="1:1" x14ac:dyDescent="0.25">
      <c r="A1211" t="s">
        <v>2739</v>
      </c>
    </row>
    <row r="1212" spans="1:1" x14ac:dyDescent="0.25">
      <c r="A1212" t="s">
        <v>2740</v>
      </c>
    </row>
    <row r="1213" spans="1:1" x14ac:dyDescent="0.25">
      <c r="A1213" t="s">
        <v>2741</v>
      </c>
    </row>
    <row r="1214" spans="1:1" x14ac:dyDescent="0.25">
      <c r="A1214" t="s">
        <v>2742</v>
      </c>
    </row>
    <row r="1215" spans="1:1" x14ac:dyDescent="0.25">
      <c r="A1215" t="s">
        <v>2743</v>
      </c>
    </row>
    <row r="1216" spans="1:1" x14ac:dyDescent="0.25">
      <c r="A1216" t="s">
        <v>2744</v>
      </c>
    </row>
    <row r="1217" spans="1:1" x14ac:dyDescent="0.25">
      <c r="A1217" t="s">
        <v>2745</v>
      </c>
    </row>
    <row r="1218" spans="1:1" x14ac:dyDescent="0.25">
      <c r="A1218" t="s">
        <v>2746</v>
      </c>
    </row>
    <row r="1219" spans="1:1" x14ac:dyDescent="0.25">
      <c r="A1219" t="s">
        <v>2747</v>
      </c>
    </row>
    <row r="1220" spans="1:1" x14ac:dyDescent="0.25">
      <c r="A1220" t="s">
        <v>2748</v>
      </c>
    </row>
    <row r="1221" spans="1:1" x14ac:dyDescent="0.25">
      <c r="A1221" t="s">
        <v>2749</v>
      </c>
    </row>
    <row r="1222" spans="1:1" x14ac:dyDescent="0.25">
      <c r="A1222" t="s">
        <v>2750</v>
      </c>
    </row>
    <row r="1223" spans="1:1" x14ac:dyDescent="0.25">
      <c r="A1223" t="s">
        <v>2751</v>
      </c>
    </row>
    <row r="1224" spans="1:1" x14ac:dyDescent="0.25">
      <c r="A1224" t="s">
        <v>2752</v>
      </c>
    </row>
    <row r="1225" spans="1:1" x14ac:dyDescent="0.25">
      <c r="A1225" t="s">
        <v>2753</v>
      </c>
    </row>
    <row r="1226" spans="1:1" x14ac:dyDescent="0.25">
      <c r="A1226" t="s">
        <v>2754</v>
      </c>
    </row>
    <row r="1227" spans="1:1" x14ac:dyDescent="0.25">
      <c r="A1227" t="s">
        <v>2755</v>
      </c>
    </row>
    <row r="1228" spans="1:1" x14ac:dyDescent="0.25">
      <c r="A1228" t="s">
        <v>2756</v>
      </c>
    </row>
    <row r="1229" spans="1:1" x14ac:dyDescent="0.25">
      <c r="A1229" t="s">
        <v>2757</v>
      </c>
    </row>
    <row r="1230" spans="1:1" x14ac:dyDescent="0.25">
      <c r="A1230" t="s">
        <v>2758</v>
      </c>
    </row>
    <row r="1231" spans="1:1" x14ac:dyDescent="0.25">
      <c r="A1231" t="s">
        <v>2759</v>
      </c>
    </row>
    <row r="1232" spans="1:1" x14ac:dyDescent="0.25">
      <c r="A1232" t="s">
        <v>2760</v>
      </c>
    </row>
    <row r="1233" spans="1:1" x14ac:dyDescent="0.25">
      <c r="A1233" t="s">
        <v>2761</v>
      </c>
    </row>
    <row r="1234" spans="1:1" x14ac:dyDescent="0.25">
      <c r="A1234" t="s">
        <v>2762</v>
      </c>
    </row>
    <row r="1235" spans="1:1" x14ac:dyDescent="0.25">
      <c r="A1235" t="s">
        <v>2763</v>
      </c>
    </row>
    <row r="1236" spans="1:1" x14ac:dyDescent="0.25">
      <c r="A1236" t="s">
        <v>2764</v>
      </c>
    </row>
    <row r="1237" spans="1:1" x14ac:dyDescent="0.25">
      <c r="A1237" t="s">
        <v>2765</v>
      </c>
    </row>
    <row r="1238" spans="1:1" x14ac:dyDescent="0.25">
      <c r="A1238" t="s">
        <v>2766</v>
      </c>
    </row>
    <row r="1239" spans="1:1" x14ac:dyDescent="0.25">
      <c r="A1239" t="s">
        <v>2767</v>
      </c>
    </row>
    <row r="1240" spans="1:1" x14ac:dyDescent="0.25">
      <c r="A1240" t="s">
        <v>2768</v>
      </c>
    </row>
    <row r="1241" spans="1:1" x14ac:dyDescent="0.25">
      <c r="A1241" t="s">
        <v>2769</v>
      </c>
    </row>
    <row r="1242" spans="1:1" x14ac:dyDescent="0.25">
      <c r="A1242" t="s">
        <v>2770</v>
      </c>
    </row>
    <row r="1243" spans="1:1" x14ac:dyDescent="0.25">
      <c r="A1243" t="s">
        <v>2771</v>
      </c>
    </row>
    <row r="1244" spans="1:1" x14ac:dyDescent="0.25">
      <c r="A1244" t="s">
        <v>2772</v>
      </c>
    </row>
    <row r="1245" spans="1:1" x14ac:dyDescent="0.25">
      <c r="A1245" t="s">
        <v>2773</v>
      </c>
    </row>
    <row r="1246" spans="1:1" x14ac:dyDescent="0.25">
      <c r="A1246" t="s">
        <v>2774</v>
      </c>
    </row>
    <row r="1247" spans="1:1" x14ac:dyDescent="0.25">
      <c r="A1247" t="s">
        <v>2775</v>
      </c>
    </row>
    <row r="1248" spans="1:1" x14ac:dyDescent="0.25">
      <c r="A1248" t="s">
        <v>2776</v>
      </c>
    </row>
    <row r="1249" spans="1:1" x14ac:dyDescent="0.25">
      <c r="A1249" t="s">
        <v>2777</v>
      </c>
    </row>
    <row r="1250" spans="1:1" x14ac:dyDescent="0.25">
      <c r="A1250" t="s">
        <v>2778</v>
      </c>
    </row>
    <row r="1251" spans="1:1" x14ac:dyDescent="0.25">
      <c r="A1251" t="s">
        <v>2779</v>
      </c>
    </row>
    <row r="1252" spans="1:1" x14ac:dyDescent="0.25">
      <c r="A1252" t="s">
        <v>2780</v>
      </c>
    </row>
    <row r="1253" spans="1:1" x14ac:dyDescent="0.25">
      <c r="A1253" t="s">
        <v>2781</v>
      </c>
    </row>
    <row r="1254" spans="1:1" x14ac:dyDescent="0.25">
      <c r="A1254" t="s">
        <v>2782</v>
      </c>
    </row>
    <row r="1255" spans="1:1" x14ac:dyDescent="0.25">
      <c r="A1255" t="s">
        <v>2783</v>
      </c>
    </row>
    <row r="1256" spans="1:1" x14ac:dyDescent="0.25">
      <c r="A1256" t="s">
        <v>2784</v>
      </c>
    </row>
    <row r="1257" spans="1:1" x14ac:dyDescent="0.25">
      <c r="A1257" t="s">
        <v>2785</v>
      </c>
    </row>
    <row r="1258" spans="1:1" x14ac:dyDescent="0.25">
      <c r="A1258" t="s">
        <v>2786</v>
      </c>
    </row>
    <row r="1259" spans="1:1" x14ac:dyDescent="0.25">
      <c r="A1259" t="s">
        <v>2787</v>
      </c>
    </row>
    <row r="1260" spans="1:1" x14ac:dyDescent="0.25">
      <c r="A1260" t="s">
        <v>2788</v>
      </c>
    </row>
    <row r="1261" spans="1:1" x14ac:dyDescent="0.25">
      <c r="A1261" t="s">
        <v>2789</v>
      </c>
    </row>
    <row r="1262" spans="1:1" x14ac:dyDescent="0.25">
      <c r="A1262" t="s">
        <v>2790</v>
      </c>
    </row>
    <row r="1263" spans="1:1" x14ac:dyDescent="0.25">
      <c r="A1263" t="s">
        <v>2791</v>
      </c>
    </row>
    <row r="1264" spans="1:1" x14ac:dyDescent="0.25">
      <c r="A1264" t="s">
        <v>2792</v>
      </c>
    </row>
    <row r="1265" spans="1:1" x14ac:dyDescent="0.25">
      <c r="A1265" t="s">
        <v>2793</v>
      </c>
    </row>
    <row r="1266" spans="1:1" x14ac:dyDescent="0.25">
      <c r="A1266" t="s">
        <v>2794</v>
      </c>
    </row>
    <row r="1267" spans="1:1" x14ac:dyDescent="0.25">
      <c r="A1267" t="s">
        <v>2795</v>
      </c>
    </row>
    <row r="1268" spans="1:1" x14ac:dyDescent="0.25">
      <c r="A1268" t="s">
        <v>2796</v>
      </c>
    </row>
    <row r="1269" spans="1:1" x14ac:dyDescent="0.25">
      <c r="A1269" t="s">
        <v>2797</v>
      </c>
    </row>
    <row r="1270" spans="1:1" x14ac:dyDescent="0.25">
      <c r="A1270" t="s">
        <v>2798</v>
      </c>
    </row>
    <row r="1271" spans="1:1" x14ac:dyDescent="0.25">
      <c r="A1271" t="s">
        <v>2799</v>
      </c>
    </row>
    <row r="1272" spans="1:1" x14ac:dyDescent="0.25">
      <c r="A1272" t="s">
        <v>2800</v>
      </c>
    </row>
    <row r="1273" spans="1:1" x14ac:dyDescent="0.25">
      <c r="A1273" t="s">
        <v>2801</v>
      </c>
    </row>
    <row r="1274" spans="1:1" x14ac:dyDescent="0.25">
      <c r="A1274" t="s">
        <v>2802</v>
      </c>
    </row>
    <row r="1275" spans="1:1" x14ac:dyDescent="0.25">
      <c r="A1275" t="s">
        <v>2803</v>
      </c>
    </row>
    <row r="1276" spans="1:1" x14ac:dyDescent="0.25">
      <c r="A1276" t="s">
        <v>2804</v>
      </c>
    </row>
    <row r="1277" spans="1:1" x14ac:dyDescent="0.25">
      <c r="A1277" t="s">
        <v>2805</v>
      </c>
    </row>
    <row r="1278" spans="1:1" x14ac:dyDescent="0.25">
      <c r="A1278" t="s">
        <v>2806</v>
      </c>
    </row>
    <row r="1279" spans="1:1" x14ac:dyDescent="0.25">
      <c r="A1279" t="s">
        <v>2807</v>
      </c>
    </row>
    <row r="1280" spans="1:1" x14ac:dyDescent="0.25">
      <c r="A1280" t="s">
        <v>2808</v>
      </c>
    </row>
    <row r="1281" spans="1:1" x14ac:dyDescent="0.25">
      <c r="A1281" t="s">
        <v>2809</v>
      </c>
    </row>
    <row r="1282" spans="1:1" x14ac:dyDescent="0.25">
      <c r="A1282" t="s">
        <v>2810</v>
      </c>
    </row>
    <row r="1283" spans="1:1" x14ac:dyDescent="0.25">
      <c r="A1283" t="s">
        <v>2811</v>
      </c>
    </row>
    <row r="1284" spans="1:1" x14ac:dyDescent="0.25">
      <c r="A1284" t="s">
        <v>2812</v>
      </c>
    </row>
    <row r="1285" spans="1:1" x14ac:dyDescent="0.25">
      <c r="A1285" t="s">
        <v>2813</v>
      </c>
    </row>
    <row r="1286" spans="1:1" x14ac:dyDescent="0.25">
      <c r="A1286" t="s">
        <v>2814</v>
      </c>
    </row>
    <row r="1287" spans="1:1" x14ac:dyDescent="0.25">
      <c r="A1287" t="s">
        <v>2815</v>
      </c>
    </row>
    <row r="1288" spans="1:1" x14ac:dyDescent="0.25">
      <c r="A1288" t="s">
        <v>2816</v>
      </c>
    </row>
    <row r="1289" spans="1:1" x14ac:dyDescent="0.25">
      <c r="A1289" t="s">
        <v>2817</v>
      </c>
    </row>
    <row r="1290" spans="1:1" x14ac:dyDescent="0.25">
      <c r="A1290" t="s">
        <v>2818</v>
      </c>
    </row>
    <row r="1291" spans="1:1" x14ac:dyDescent="0.25">
      <c r="A1291" t="s">
        <v>2819</v>
      </c>
    </row>
    <row r="1292" spans="1:1" x14ac:dyDescent="0.25">
      <c r="A1292" t="s">
        <v>2820</v>
      </c>
    </row>
    <row r="1293" spans="1:1" x14ac:dyDescent="0.25">
      <c r="A1293" t="s">
        <v>2821</v>
      </c>
    </row>
    <row r="1294" spans="1:1" x14ac:dyDescent="0.25">
      <c r="A1294" t="s">
        <v>2822</v>
      </c>
    </row>
    <row r="1295" spans="1:1" x14ac:dyDescent="0.25">
      <c r="A1295" t="s">
        <v>2823</v>
      </c>
    </row>
    <row r="1296" spans="1:1" x14ac:dyDescent="0.25">
      <c r="A1296" t="s">
        <v>2824</v>
      </c>
    </row>
    <row r="1297" spans="1:1" x14ac:dyDescent="0.25">
      <c r="A1297" t="s">
        <v>2825</v>
      </c>
    </row>
    <row r="1298" spans="1:1" x14ac:dyDescent="0.25">
      <c r="A1298" t="s">
        <v>2826</v>
      </c>
    </row>
    <row r="1299" spans="1:1" x14ac:dyDescent="0.25">
      <c r="A1299" t="s">
        <v>2827</v>
      </c>
    </row>
    <row r="1300" spans="1:1" x14ac:dyDescent="0.25">
      <c r="A1300" t="s">
        <v>2828</v>
      </c>
    </row>
    <row r="1301" spans="1:1" x14ac:dyDescent="0.25">
      <c r="A1301" t="s">
        <v>2829</v>
      </c>
    </row>
    <row r="1302" spans="1:1" x14ac:dyDescent="0.25">
      <c r="A1302" t="s">
        <v>2830</v>
      </c>
    </row>
    <row r="1303" spans="1:1" x14ac:dyDescent="0.25">
      <c r="A1303" t="s">
        <v>2831</v>
      </c>
    </row>
    <row r="1304" spans="1:1" x14ac:dyDescent="0.25">
      <c r="A1304" t="s">
        <v>2832</v>
      </c>
    </row>
    <row r="1305" spans="1:1" x14ac:dyDescent="0.25">
      <c r="A1305" t="s">
        <v>2833</v>
      </c>
    </row>
    <row r="1306" spans="1:1" x14ac:dyDescent="0.25">
      <c r="A1306" t="s">
        <v>2834</v>
      </c>
    </row>
    <row r="1307" spans="1:1" x14ac:dyDescent="0.25">
      <c r="A1307" t="s">
        <v>2835</v>
      </c>
    </row>
    <row r="1308" spans="1:1" x14ac:dyDescent="0.25">
      <c r="A1308" t="s">
        <v>2836</v>
      </c>
    </row>
    <row r="1309" spans="1:1" x14ac:dyDescent="0.25">
      <c r="A1309" t="s">
        <v>2837</v>
      </c>
    </row>
    <row r="1310" spans="1:1" x14ac:dyDescent="0.25">
      <c r="A1310" t="s">
        <v>2838</v>
      </c>
    </row>
    <row r="1311" spans="1:1" x14ac:dyDescent="0.25">
      <c r="A1311" t="s">
        <v>2839</v>
      </c>
    </row>
    <row r="1312" spans="1:1" x14ac:dyDescent="0.25">
      <c r="A1312" t="s">
        <v>2840</v>
      </c>
    </row>
    <row r="1313" spans="1:1" x14ac:dyDescent="0.25">
      <c r="A1313" t="s">
        <v>2841</v>
      </c>
    </row>
    <row r="1314" spans="1:1" x14ac:dyDescent="0.25">
      <c r="A1314" t="s">
        <v>2842</v>
      </c>
    </row>
    <row r="1315" spans="1:1" x14ac:dyDescent="0.25">
      <c r="A1315" t="s">
        <v>2843</v>
      </c>
    </row>
    <row r="1316" spans="1:1" x14ac:dyDescent="0.25">
      <c r="A1316" t="s">
        <v>2844</v>
      </c>
    </row>
    <row r="1317" spans="1:1" x14ac:dyDescent="0.25">
      <c r="A1317" t="s">
        <v>2845</v>
      </c>
    </row>
    <row r="1318" spans="1:1" x14ac:dyDescent="0.25">
      <c r="A1318" t="s">
        <v>2846</v>
      </c>
    </row>
    <row r="1319" spans="1:1" x14ac:dyDescent="0.25">
      <c r="A1319" t="s">
        <v>2847</v>
      </c>
    </row>
    <row r="1320" spans="1:1" x14ac:dyDescent="0.25">
      <c r="A1320" t="s">
        <v>2848</v>
      </c>
    </row>
    <row r="1321" spans="1:1" x14ac:dyDescent="0.25">
      <c r="A1321" t="s">
        <v>2849</v>
      </c>
    </row>
    <row r="1322" spans="1:1" x14ac:dyDescent="0.25">
      <c r="A1322" t="s">
        <v>2850</v>
      </c>
    </row>
    <row r="1323" spans="1:1" x14ac:dyDescent="0.25">
      <c r="A1323" t="s">
        <v>2851</v>
      </c>
    </row>
    <row r="1324" spans="1:1" x14ac:dyDescent="0.25">
      <c r="A1324" t="s">
        <v>2852</v>
      </c>
    </row>
    <row r="1325" spans="1:1" x14ac:dyDescent="0.25">
      <c r="A1325" t="s">
        <v>2853</v>
      </c>
    </row>
    <row r="1326" spans="1:1" x14ac:dyDescent="0.25">
      <c r="A1326" t="s">
        <v>2854</v>
      </c>
    </row>
    <row r="1327" spans="1:1" x14ac:dyDescent="0.25">
      <c r="A1327" t="s">
        <v>2855</v>
      </c>
    </row>
    <row r="1328" spans="1:1" x14ac:dyDescent="0.25">
      <c r="A1328" t="s">
        <v>2856</v>
      </c>
    </row>
    <row r="1329" spans="1:1" x14ac:dyDescent="0.25">
      <c r="A1329" t="s">
        <v>2857</v>
      </c>
    </row>
    <row r="1330" spans="1:1" x14ac:dyDescent="0.25">
      <c r="A1330" t="s">
        <v>2858</v>
      </c>
    </row>
    <row r="1331" spans="1:1" x14ac:dyDescent="0.25">
      <c r="A1331" t="s">
        <v>2859</v>
      </c>
    </row>
    <row r="1332" spans="1:1" x14ac:dyDescent="0.25">
      <c r="A1332" t="s">
        <v>2860</v>
      </c>
    </row>
    <row r="1333" spans="1:1" x14ac:dyDescent="0.25">
      <c r="A1333" t="s">
        <v>2861</v>
      </c>
    </row>
    <row r="1334" spans="1:1" x14ac:dyDescent="0.25">
      <c r="A1334" t="s">
        <v>2862</v>
      </c>
    </row>
    <row r="1335" spans="1:1" x14ac:dyDescent="0.25">
      <c r="A1335" t="s">
        <v>2863</v>
      </c>
    </row>
    <row r="1336" spans="1:1" x14ac:dyDescent="0.25">
      <c r="A1336" t="s">
        <v>2864</v>
      </c>
    </row>
    <row r="1337" spans="1:1" x14ac:dyDescent="0.25">
      <c r="A1337" t="s">
        <v>2865</v>
      </c>
    </row>
    <row r="1338" spans="1:1" x14ac:dyDescent="0.25">
      <c r="A1338" t="s">
        <v>2866</v>
      </c>
    </row>
    <row r="1339" spans="1:1" x14ac:dyDescent="0.25">
      <c r="A1339" t="s">
        <v>2867</v>
      </c>
    </row>
    <row r="1340" spans="1:1" x14ac:dyDescent="0.25">
      <c r="A1340" t="s">
        <v>2868</v>
      </c>
    </row>
    <row r="1341" spans="1:1" x14ac:dyDescent="0.25">
      <c r="A1341" t="s">
        <v>2869</v>
      </c>
    </row>
    <row r="1342" spans="1:1" x14ac:dyDescent="0.25">
      <c r="A1342" t="s">
        <v>2870</v>
      </c>
    </row>
    <row r="1343" spans="1:1" x14ac:dyDescent="0.25">
      <c r="A1343" t="s">
        <v>2871</v>
      </c>
    </row>
    <row r="1344" spans="1:1" x14ac:dyDescent="0.25">
      <c r="A1344" t="s">
        <v>2872</v>
      </c>
    </row>
    <row r="1345" spans="1:1" x14ac:dyDescent="0.25">
      <c r="A1345" t="s">
        <v>2873</v>
      </c>
    </row>
    <row r="1346" spans="1:1" x14ac:dyDescent="0.25">
      <c r="A1346" t="s">
        <v>2874</v>
      </c>
    </row>
    <row r="1347" spans="1:1" x14ac:dyDescent="0.25">
      <c r="A1347" t="s">
        <v>2875</v>
      </c>
    </row>
    <row r="1348" spans="1:1" x14ac:dyDescent="0.25">
      <c r="A1348" t="s">
        <v>2876</v>
      </c>
    </row>
    <row r="1349" spans="1:1" x14ac:dyDescent="0.25">
      <c r="A1349" t="s">
        <v>2877</v>
      </c>
    </row>
    <row r="1350" spans="1:1" x14ac:dyDescent="0.25">
      <c r="A1350" t="s">
        <v>2878</v>
      </c>
    </row>
    <row r="1351" spans="1:1" x14ac:dyDescent="0.25">
      <c r="A1351" t="s">
        <v>2879</v>
      </c>
    </row>
    <row r="1352" spans="1:1" x14ac:dyDescent="0.25">
      <c r="A1352" t="s">
        <v>2880</v>
      </c>
    </row>
    <row r="1353" spans="1:1" x14ac:dyDescent="0.25">
      <c r="A1353" t="s">
        <v>2881</v>
      </c>
    </row>
    <row r="1354" spans="1:1" x14ac:dyDescent="0.25">
      <c r="A1354" t="s">
        <v>2882</v>
      </c>
    </row>
    <row r="1355" spans="1:1" x14ac:dyDescent="0.25">
      <c r="A1355" t="s">
        <v>2883</v>
      </c>
    </row>
    <row r="1356" spans="1:1" x14ac:dyDescent="0.25">
      <c r="A1356" t="s">
        <v>2884</v>
      </c>
    </row>
    <row r="1357" spans="1:1" x14ac:dyDescent="0.25">
      <c r="A1357" t="s">
        <v>2885</v>
      </c>
    </row>
    <row r="1358" spans="1:1" x14ac:dyDescent="0.25">
      <c r="A1358" t="s">
        <v>2886</v>
      </c>
    </row>
    <row r="1359" spans="1:1" x14ac:dyDescent="0.25">
      <c r="A1359" t="s">
        <v>2887</v>
      </c>
    </row>
    <row r="1360" spans="1:1" x14ac:dyDescent="0.25">
      <c r="A1360" t="s">
        <v>2888</v>
      </c>
    </row>
    <row r="1361" spans="1:1" x14ac:dyDescent="0.25">
      <c r="A1361" t="s">
        <v>2889</v>
      </c>
    </row>
    <row r="1362" spans="1:1" x14ac:dyDescent="0.25">
      <c r="A1362" t="s">
        <v>2890</v>
      </c>
    </row>
    <row r="1363" spans="1:1" x14ac:dyDescent="0.25">
      <c r="A1363" t="s">
        <v>2891</v>
      </c>
    </row>
    <row r="1364" spans="1:1" x14ac:dyDescent="0.25">
      <c r="A1364" t="s">
        <v>2892</v>
      </c>
    </row>
    <row r="1365" spans="1:1" x14ac:dyDescent="0.25">
      <c r="A1365" t="s">
        <v>2893</v>
      </c>
    </row>
    <row r="1366" spans="1:1" x14ac:dyDescent="0.25">
      <c r="A1366" t="s">
        <v>2894</v>
      </c>
    </row>
    <row r="1367" spans="1:1" x14ac:dyDescent="0.25">
      <c r="A1367" t="s">
        <v>2895</v>
      </c>
    </row>
    <row r="1368" spans="1:1" x14ac:dyDescent="0.25">
      <c r="A1368" t="s">
        <v>2896</v>
      </c>
    </row>
    <row r="1369" spans="1:1" x14ac:dyDescent="0.25">
      <c r="A1369" t="s">
        <v>2897</v>
      </c>
    </row>
    <row r="1370" spans="1:1" x14ac:dyDescent="0.25">
      <c r="A1370" t="s">
        <v>2898</v>
      </c>
    </row>
    <row r="1371" spans="1:1" x14ac:dyDescent="0.25">
      <c r="A1371" t="s">
        <v>2899</v>
      </c>
    </row>
    <row r="1372" spans="1:1" x14ac:dyDescent="0.25">
      <c r="A1372" t="s">
        <v>2900</v>
      </c>
    </row>
    <row r="1373" spans="1:1" x14ac:dyDescent="0.25">
      <c r="A1373" t="s">
        <v>2901</v>
      </c>
    </row>
    <row r="1374" spans="1:1" x14ac:dyDescent="0.25">
      <c r="A1374" t="s">
        <v>2902</v>
      </c>
    </row>
    <row r="1375" spans="1:1" x14ac:dyDescent="0.25">
      <c r="A1375" t="s">
        <v>2903</v>
      </c>
    </row>
    <row r="1376" spans="1:1" x14ac:dyDescent="0.25">
      <c r="A1376" t="s">
        <v>2904</v>
      </c>
    </row>
    <row r="1377" spans="1:1" x14ac:dyDescent="0.25">
      <c r="A1377" t="s">
        <v>2905</v>
      </c>
    </row>
    <row r="1378" spans="1:1" x14ac:dyDescent="0.25">
      <c r="A1378" t="s">
        <v>2906</v>
      </c>
    </row>
    <row r="1379" spans="1:1" x14ac:dyDescent="0.25">
      <c r="A1379" t="s">
        <v>2907</v>
      </c>
    </row>
    <row r="1380" spans="1:1" x14ac:dyDescent="0.25">
      <c r="A1380" t="s">
        <v>2908</v>
      </c>
    </row>
    <row r="1381" spans="1:1" x14ac:dyDescent="0.25">
      <c r="A1381" t="s">
        <v>2909</v>
      </c>
    </row>
    <row r="1382" spans="1:1" x14ac:dyDescent="0.25">
      <c r="A1382" t="s">
        <v>2910</v>
      </c>
    </row>
    <row r="1383" spans="1:1" x14ac:dyDescent="0.25">
      <c r="A1383" t="s">
        <v>2911</v>
      </c>
    </row>
    <row r="1384" spans="1:1" x14ac:dyDescent="0.25">
      <c r="A1384" t="s">
        <v>2912</v>
      </c>
    </row>
    <row r="1385" spans="1:1" x14ac:dyDescent="0.25">
      <c r="A1385" t="s">
        <v>2913</v>
      </c>
    </row>
    <row r="1386" spans="1:1" x14ac:dyDescent="0.25">
      <c r="A1386" t="s">
        <v>2914</v>
      </c>
    </row>
    <row r="1387" spans="1:1" x14ac:dyDescent="0.25">
      <c r="A1387" t="s">
        <v>2915</v>
      </c>
    </row>
    <row r="1388" spans="1:1" x14ac:dyDescent="0.25">
      <c r="A1388" t="s">
        <v>2916</v>
      </c>
    </row>
    <row r="1389" spans="1:1" x14ac:dyDescent="0.25">
      <c r="A1389" t="s">
        <v>2917</v>
      </c>
    </row>
    <row r="1390" spans="1:1" x14ac:dyDescent="0.25">
      <c r="A1390" t="s">
        <v>2918</v>
      </c>
    </row>
    <row r="1391" spans="1:1" x14ac:dyDescent="0.25">
      <c r="A1391" t="s">
        <v>2919</v>
      </c>
    </row>
    <row r="1392" spans="1:1" x14ac:dyDescent="0.25">
      <c r="A1392" t="s">
        <v>2920</v>
      </c>
    </row>
    <row r="1393" spans="1:1" x14ac:dyDescent="0.25">
      <c r="A1393" t="s">
        <v>2921</v>
      </c>
    </row>
    <row r="1394" spans="1:1" x14ac:dyDescent="0.25">
      <c r="A1394" t="s">
        <v>2922</v>
      </c>
    </row>
    <row r="1395" spans="1:1" x14ac:dyDescent="0.25">
      <c r="A1395" t="s">
        <v>2923</v>
      </c>
    </row>
    <row r="1396" spans="1:1" x14ac:dyDescent="0.25">
      <c r="A1396" t="s">
        <v>2924</v>
      </c>
    </row>
    <row r="1397" spans="1:1" x14ac:dyDescent="0.25">
      <c r="A1397" t="s">
        <v>2925</v>
      </c>
    </row>
    <row r="1398" spans="1:1" x14ac:dyDescent="0.25">
      <c r="A1398" t="s">
        <v>2926</v>
      </c>
    </row>
    <row r="1399" spans="1:1" x14ac:dyDescent="0.25">
      <c r="A1399" t="s">
        <v>2927</v>
      </c>
    </row>
    <row r="1400" spans="1:1" x14ac:dyDescent="0.25">
      <c r="A1400" t="s">
        <v>2928</v>
      </c>
    </row>
    <row r="1401" spans="1:1" x14ac:dyDescent="0.25">
      <c r="A1401" t="s">
        <v>2929</v>
      </c>
    </row>
    <row r="1402" spans="1:1" x14ac:dyDescent="0.25">
      <c r="A1402" t="s">
        <v>2930</v>
      </c>
    </row>
    <row r="1403" spans="1:1" x14ac:dyDescent="0.25">
      <c r="A1403" t="s">
        <v>2931</v>
      </c>
    </row>
    <row r="1404" spans="1:1" x14ac:dyDescent="0.25">
      <c r="A1404" t="s">
        <v>2932</v>
      </c>
    </row>
    <row r="1405" spans="1:1" x14ac:dyDescent="0.25">
      <c r="A1405" t="s">
        <v>2933</v>
      </c>
    </row>
    <row r="1406" spans="1:1" x14ac:dyDescent="0.25">
      <c r="A1406" t="s">
        <v>2934</v>
      </c>
    </row>
    <row r="1407" spans="1:1" x14ac:dyDescent="0.25">
      <c r="A1407" t="s">
        <v>2935</v>
      </c>
    </row>
    <row r="1408" spans="1:1" x14ac:dyDescent="0.25">
      <c r="A1408" t="s">
        <v>2936</v>
      </c>
    </row>
    <row r="1409" spans="1:1" x14ac:dyDescent="0.25">
      <c r="A1409" t="s">
        <v>2937</v>
      </c>
    </row>
    <row r="1410" spans="1:1" x14ac:dyDescent="0.25">
      <c r="A1410" t="s">
        <v>2938</v>
      </c>
    </row>
    <row r="1411" spans="1:1" x14ac:dyDescent="0.25">
      <c r="A1411" t="s">
        <v>2939</v>
      </c>
    </row>
    <row r="1412" spans="1:1" x14ac:dyDescent="0.25">
      <c r="A1412" t="s">
        <v>2940</v>
      </c>
    </row>
    <row r="1413" spans="1:1" x14ac:dyDescent="0.25">
      <c r="A1413" t="s">
        <v>2941</v>
      </c>
    </row>
    <row r="1414" spans="1:1" x14ac:dyDescent="0.25">
      <c r="A1414" t="s">
        <v>2942</v>
      </c>
    </row>
    <row r="1415" spans="1:1" x14ac:dyDescent="0.25">
      <c r="A1415" t="s">
        <v>2943</v>
      </c>
    </row>
    <row r="1416" spans="1:1" x14ac:dyDescent="0.25">
      <c r="A1416" t="s">
        <v>2944</v>
      </c>
    </row>
    <row r="1417" spans="1:1" x14ac:dyDescent="0.25">
      <c r="A1417" t="s">
        <v>2945</v>
      </c>
    </row>
    <row r="1418" spans="1:1" x14ac:dyDescent="0.25">
      <c r="A1418" t="s">
        <v>2946</v>
      </c>
    </row>
    <row r="1419" spans="1:1" x14ac:dyDescent="0.25">
      <c r="A1419" t="s">
        <v>2947</v>
      </c>
    </row>
    <row r="1420" spans="1:1" x14ac:dyDescent="0.25">
      <c r="A1420" t="s">
        <v>2948</v>
      </c>
    </row>
    <row r="1421" spans="1:1" x14ac:dyDescent="0.25">
      <c r="A1421" t="s">
        <v>2949</v>
      </c>
    </row>
    <row r="1422" spans="1:1" x14ac:dyDescent="0.25">
      <c r="A1422" t="s">
        <v>2950</v>
      </c>
    </row>
    <row r="1423" spans="1:1" x14ac:dyDescent="0.25">
      <c r="A1423" t="s">
        <v>2951</v>
      </c>
    </row>
    <row r="1424" spans="1:1" x14ac:dyDescent="0.25">
      <c r="A1424" t="s">
        <v>2952</v>
      </c>
    </row>
    <row r="1425" spans="1:1" x14ac:dyDescent="0.25">
      <c r="A1425" t="s">
        <v>2953</v>
      </c>
    </row>
    <row r="1426" spans="1:1" x14ac:dyDescent="0.25">
      <c r="A1426" t="s">
        <v>2954</v>
      </c>
    </row>
    <row r="1427" spans="1:1" x14ac:dyDescent="0.25">
      <c r="A1427" t="s">
        <v>2955</v>
      </c>
    </row>
    <row r="1428" spans="1:1" x14ac:dyDescent="0.25">
      <c r="A1428" t="s">
        <v>2956</v>
      </c>
    </row>
    <row r="1429" spans="1:1" x14ac:dyDescent="0.25">
      <c r="A1429" t="s">
        <v>2957</v>
      </c>
    </row>
    <row r="1430" spans="1:1" x14ac:dyDescent="0.25">
      <c r="A1430" t="s">
        <v>2958</v>
      </c>
    </row>
    <row r="1431" spans="1:1" x14ac:dyDescent="0.25">
      <c r="A1431" t="s">
        <v>2959</v>
      </c>
    </row>
    <row r="1432" spans="1:1" x14ac:dyDescent="0.25">
      <c r="A1432" t="s">
        <v>2960</v>
      </c>
    </row>
    <row r="1433" spans="1:1" x14ac:dyDescent="0.25">
      <c r="A1433" t="s">
        <v>2961</v>
      </c>
    </row>
    <row r="1434" spans="1:1" x14ac:dyDescent="0.25">
      <c r="A1434" t="s">
        <v>2962</v>
      </c>
    </row>
    <row r="1435" spans="1:1" x14ac:dyDescent="0.25">
      <c r="A1435" t="s">
        <v>2963</v>
      </c>
    </row>
    <row r="1436" spans="1:1" x14ac:dyDescent="0.25">
      <c r="A1436" t="s">
        <v>2964</v>
      </c>
    </row>
    <row r="1437" spans="1:1" x14ac:dyDescent="0.25">
      <c r="A1437" t="s">
        <v>2965</v>
      </c>
    </row>
    <row r="1438" spans="1:1" x14ac:dyDescent="0.25">
      <c r="A1438" t="s">
        <v>2966</v>
      </c>
    </row>
    <row r="1439" spans="1:1" x14ac:dyDescent="0.25">
      <c r="A1439" t="s">
        <v>2967</v>
      </c>
    </row>
    <row r="1440" spans="1:1" x14ac:dyDescent="0.25">
      <c r="A1440" t="s">
        <v>2968</v>
      </c>
    </row>
    <row r="1441" spans="1:1" x14ac:dyDescent="0.25">
      <c r="A1441" t="s">
        <v>2969</v>
      </c>
    </row>
    <row r="1442" spans="1:1" x14ac:dyDescent="0.25">
      <c r="A1442" t="s">
        <v>2970</v>
      </c>
    </row>
    <row r="1443" spans="1:1" x14ac:dyDescent="0.25">
      <c r="A1443" t="s">
        <v>2971</v>
      </c>
    </row>
    <row r="1444" spans="1:1" x14ac:dyDescent="0.25">
      <c r="A1444" t="s">
        <v>2972</v>
      </c>
    </row>
    <row r="1445" spans="1:1" x14ac:dyDescent="0.25">
      <c r="A1445" t="s">
        <v>2973</v>
      </c>
    </row>
    <row r="1446" spans="1:1" x14ac:dyDescent="0.25">
      <c r="A1446" t="s">
        <v>2974</v>
      </c>
    </row>
    <row r="1447" spans="1:1" x14ac:dyDescent="0.25">
      <c r="A1447" t="s">
        <v>2975</v>
      </c>
    </row>
    <row r="1448" spans="1:1" x14ac:dyDescent="0.25">
      <c r="A1448" t="s">
        <v>2976</v>
      </c>
    </row>
    <row r="1449" spans="1:1" x14ac:dyDescent="0.25">
      <c r="A1449" t="s">
        <v>2977</v>
      </c>
    </row>
    <row r="1450" spans="1:1" x14ac:dyDescent="0.25">
      <c r="A1450" t="s">
        <v>2978</v>
      </c>
    </row>
    <row r="1451" spans="1:1" x14ac:dyDescent="0.25">
      <c r="A1451" t="s">
        <v>2979</v>
      </c>
    </row>
    <row r="1452" spans="1:1" x14ac:dyDescent="0.25">
      <c r="A1452" t="s">
        <v>2980</v>
      </c>
    </row>
    <row r="1453" spans="1:1" x14ac:dyDescent="0.25">
      <c r="A1453" t="s">
        <v>2981</v>
      </c>
    </row>
    <row r="1454" spans="1:1" x14ac:dyDescent="0.25">
      <c r="A1454" t="s">
        <v>2982</v>
      </c>
    </row>
    <row r="1455" spans="1:1" x14ac:dyDescent="0.25">
      <c r="A1455" t="s">
        <v>2983</v>
      </c>
    </row>
    <row r="1456" spans="1:1" x14ac:dyDescent="0.25">
      <c r="A1456" t="s">
        <v>2984</v>
      </c>
    </row>
    <row r="1457" spans="1:1" x14ac:dyDescent="0.25">
      <c r="A1457" t="s">
        <v>2985</v>
      </c>
    </row>
    <row r="1458" spans="1:1" x14ac:dyDescent="0.25">
      <c r="A1458" t="s">
        <v>2986</v>
      </c>
    </row>
    <row r="1459" spans="1:1" x14ac:dyDescent="0.25">
      <c r="A1459" t="s">
        <v>2987</v>
      </c>
    </row>
    <row r="1460" spans="1:1" x14ac:dyDescent="0.25">
      <c r="A1460" t="s">
        <v>2988</v>
      </c>
    </row>
    <row r="1461" spans="1:1" x14ac:dyDescent="0.25">
      <c r="A1461" t="s">
        <v>2989</v>
      </c>
    </row>
    <row r="1462" spans="1:1" x14ac:dyDescent="0.25">
      <c r="A1462" t="s">
        <v>2990</v>
      </c>
    </row>
    <row r="1463" spans="1:1" x14ac:dyDescent="0.25">
      <c r="A1463" t="s">
        <v>2991</v>
      </c>
    </row>
    <row r="1464" spans="1:1" x14ac:dyDescent="0.25">
      <c r="A1464" t="s">
        <v>2992</v>
      </c>
    </row>
    <row r="1465" spans="1:1" x14ac:dyDescent="0.25">
      <c r="A1465" t="s">
        <v>2993</v>
      </c>
    </row>
    <row r="1466" spans="1:1" x14ac:dyDescent="0.25">
      <c r="A1466" t="s">
        <v>2994</v>
      </c>
    </row>
    <row r="1467" spans="1:1" x14ac:dyDescent="0.25">
      <c r="A1467" t="s">
        <v>2995</v>
      </c>
    </row>
    <row r="1468" spans="1:1" x14ac:dyDescent="0.25">
      <c r="A1468" t="s">
        <v>2996</v>
      </c>
    </row>
    <row r="1469" spans="1:1" x14ac:dyDescent="0.25">
      <c r="A1469" t="s">
        <v>2997</v>
      </c>
    </row>
    <row r="1470" spans="1:1" x14ac:dyDescent="0.25">
      <c r="A1470" t="s">
        <v>2998</v>
      </c>
    </row>
    <row r="1471" spans="1:1" x14ac:dyDescent="0.25">
      <c r="A1471" t="s">
        <v>2999</v>
      </c>
    </row>
    <row r="1472" spans="1:1" x14ac:dyDescent="0.25">
      <c r="A1472" t="s">
        <v>3000</v>
      </c>
    </row>
    <row r="1473" spans="1:1" x14ac:dyDescent="0.25">
      <c r="A1473" t="s">
        <v>3001</v>
      </c>
    </row>
    <row r="1474" spans="1:1" x14ac:dyDescent="0.25">
      <c r="A1474" t="s">
        <v>3002</v>
      </c>
    </row>
    <row r="1475" spans="1:1" x14ac:dyDescent="0.25">
      <c r="A1475" t="s">
        <v>3003</v>
      </c>
    </row>
    <row r="1476" spans="1:1" x14ac:dyDescent="0.25">
      <c r="A1476" t="s">
        <v>3004</v>
      </c>
    </row>
    <row r="1477" spans="1:1" x14ac:dyDescent="0.25">
      <c r="A1477" t="s">
        <v>3005</v>
      </c>
    </row>
    <row r="1478" spans="1:1" x14ac:dyDescent="0.25">
      <c r="A1478" t="s">
        <v>3006</v>
      </c>
    </row>
    <row r="1479" spans="1:1" x14ac:dyDescent="0.25">
      <c r="A1479" t="s">
        <v>3007</v>
      </c>
    </row>
    <row r="1480" spans="1:1" x14ac:dyDescent="0.25">
      <c r="A1480" t="s">
        <v>3008</v>
      </c>
    </row>
    <row r="1481" spans="1:1" x14ac:dyDescent="0.25">
      <c r="A1481" t="s">
        <v>3009</v>
      </c>
    </row>
    <row r="1482" spans="1:1" x14ac:dyDescent="0.25">
      <c r="A1482" t="s">
        <v>3010</v>
      </c>
    </row>
    <row r="1483" spans="1:1" x14ac:dyDescent="0.25">
      <c r="A1483" t="s">
        <v>3011</v>
      </c>
    </row>
    <row r="1484" spans="1:1" x14ac:dyDescent="0.25">
      <c r="A1484" t="s">
        <v>3012</v>
      </c>
    </row>
    <row r="1485" spans="1:1" x14ac:dyDescent="0.25">
      <c r="A1485" t="s">
        <v>3013</v>
      </c>
    </row>
    <row r="1486" spans="1:1" x14ac:dyDescent="0.25">
      <c r="A1486" t="s">
        <v>3014</v>
      </c>
    </row>
    <row r="1487" spans="1:1" x14ac:dyDescent="0.25">
      <c r="A1487" t="s">
        <v>3015</v>
      </c>
    </row>
    <row r="1488" spans="1:1" x14ac:dyDescent="0.25">
      <c r="A1488" t="s">
        <v>3016</v>
      </c>
    </row>
    <row r="1489" spans="1:1" x14ac:dyDescent="0.25">
      <c r="A1489" t="s">
        <v>3017</v>
      </c>
    </row>
    <row r="1490" spans="1:1" x14ac:dyDescent="0.25">
      <c r="A1490" t="s">
        <v>3018</v>
      </c>
    </row>
    <row r="1491" spans="1:1" x14ac:dyDescent="0.25">
      <c r="A1491" t="s">
        <v>3019</v>
      </c>
    </row>
    <row r="1492" spans="1:1" x14ac:dyDescent="0.25">
      <c r="A1492" t="s">
        <v>3020</v>
      </c>
    </row>
    <row r="1493" spans="1:1" x14ac:dyDescent="0.25">
      <c r="A1493" t="s">
        <v>3021</v>
      </c>
    </row>
    <row r="1494" spans="1:1" x14ac:dyDescent="0.25">
      <c r="A1494" t="s">
        <v>3022</v>
      </c>
    </row>
    <row r="1495" spans="1:1" x14ac:dyDescent="0.25">
      <c r="A1495" t="s">
        <v>3023</v>
      </c>
    </row>
    <row r="1496" spans="1:1" x14ac:dyDescent="0.25">
      <c r="A1496" t="s">
        <v>3024</v>
      </c>
    </row>
    <row r="1497" spans="1:1" x14ac:dyDescent="0.25">
      <c r="A1497" t="s">
        <v>3025</v>
      </c>
    </row>
    <row r="1498" spans="1:1" x14ac:dyDescent="0.25">
      <c r="A1498" t="s">
        <v>3026</v>
      </c>
    </row>
    <row r="1499" spans="1:1" x14ac:dyDescent="0.25">
      <c r="A1499" t="s">
        <v>3027</v>
      </c>
    </row>
    <row r="1500" spans="1:1" x14ac:dyDescent="0.25">
      <c r="A1500" t="s">
        <v>3028</v>
      </c>
    </row>
    <row r="1501" spans="1:1" x14ac:dyDescent="0.25">
      <c r="A1501" t="s">
        <v>3029</v>
      </c>
    </row>
    <row r="1502" spans="1:1" x14ac:dyDescent="0.25">
      <c r="A1502" t="s">
        <v>3030</v>
      </c>
    </row>
    <row r="1503" spans="1:1" x14ac:dyDescent="0.25">
      <c r="A1503" t="s">
        <v>3031</v>
      </c>
    </row>
    <row r="1504" spans="1:1" x14ac:dyDescent="0.25">
      <c r="A1504" t="s">
        <v>3032</v>
      </c>
    </row>
    <row r="1505" spans="1:1" x14ac:dyDescent="0.25">
      <c r="A1505" t="s">
        <v>3033</v>
      </c>
    </row>
    <row r="1506" spans="1:1" x14ac:dyDescent="0.25">
      <c r="A1506" t="s">
        <v>3034</v>
      </c>
    </row>
    <row r="1507" spans="1:1" x14ac:dyDescent="0.25">
      <c r="A1507" t="s">
        <v>3035</v>
      </c>
    </row>
    <row r="1508" spans="1:1" x14ac:dyDescent="0.25">
      <c r="A1508" t="s">
        <v>3036</v>
      </c>
    </row>
    <row r="1509" spans="1:1" x14ac:dyDescent="0.25">
      <c r="A1509" t="s">
        <v>3037</v>
      </c>
    </row>
    <row r="1510" spans="1:1" x14ac:dyDescent="0.25">
      <c r="A1510" t="s">
        <v>3038</v>
      </c>
    </row>
    <row r="1511" spans="1:1" x14ac:dyDescent="0.25">
      <c r="A1511" t="s">
        <v>3039</v>
      </c>
    </row>
    <row r="1512" spans="1:1" x14ac:dyDescent="0.25">
      <c r="A1512" t="s">
        <v>3040</v>
      </c>
    </row>
    <row r="1513" spans="1:1" x14ac:dyDescent="0.25">
      <c r="A1513" t="s">
        <v>3041</v>
      </c>
    </row>
    <row r="1514" spans="1:1" x14ac:dyDescent="0.25">
      <c r="A1514" t="s">
        <v>3042</v>
      </c>
    </row>
    <row r="1515" spans="1:1" x14ac:dyDescent="0.25">
      <c r="A1515" t="s">
        <v>3043</v>
      </c>
    </row>
    <row r="1516" spans="1:1" x14ac:dyDescent="0.25">
      <c r="A1516" t="s">
        <v>3044</v>
      </c>
    </row>
    <row r="1517" spans="1:1" x14ac:dyDescent="0.25">
      <c r="A1517" t="s">
        <v>3045</v>
      </c>
    </row>
    <row r="1518" spans="1:1" x14ac:dyDescent="0.25">
      <c r="A1518" t="s">
        <v>3046</v>
      </c>
    </row>
    <row r="1519" spans="1:1" x14ac:dyDescent="0.25">
      <c r="A1519" t="s">
        <v>3047</v>
      </c>
    </row>
    <row r="1520" spans="1:1" x14ac:dyDescent="0.25">
      <c r="A1520" t="s">
        <v>3048</v>
      </c>
    </row>
    <row r="1521" spans="1:1" x14ac:dyDescent="0.25">
      <c r="A1521" t="s">
        <v>3049</v>
      </c>
    </row>
    <row r="1522" spans="1:1" x14ac:dyDescent="0.25">
      <c r="A1522" t="s">
        <v>3050</v>
      </c>
    </row>
    <row r="1523" spans="1:1" x14ac:dyDescent="0.25">
      <c r="A1523" t="s">
        <v>3051</v>
      </c>
    </row>
    <row r="1524" spans="1:1" x14ac:dyDescent="0.25">
      <c r="A1524" t="s">
        <v>3052</v>
      </c>
    </row>
    <row r="1525" spans="1:1" x14ac:dyDescent="0.25">
      <c r="A1525" t="s">
        <v>3053</v>
      </c>
    </row>
    <row r="1526" spans="1:1" x14ac:dyDescent="0.25">
      <c r="A1526" t="s">
        <v>3054</v>
      </c>
    </row>
    <row r="1527" spans="1:1" x14ac:dyDescent="0.25">
      <c r="A1527" t="s">
        <v>3055</v>
      </c>
    </row>
    <row r="1528" spans="1:1" x14ac:dyDescent="0.25">
      <c r="A1528" t="s">
        <v>3056</v>
      </c>
    </row>
    <row r="1529" spans="1:1" x14ac:dyDescent="0.25">
      <c r="A1529" t="s">
        <v>3057</v>
      </c>
    </row>
    <row r="1530" spans="1:1" x14ac:dyDescent="0.25">
      <c r="A1530" t="s">
        <v>3058</v>
      </c>
    </row>
    <row r="1531" spans="1:1" x14ac:dyDescent="0.25">
      <c r="A1531" t="s">
        <v>3059</v>
      </c>
    </row>
    <row r="1532" spans="1:1" x14ac:dyDescent="0.25">
      <c r="A1532" t="s">
        <v>3060</v>
      </c>
    </row>
    <row r="1533" spans="1:1" x14ac:dyDescent="0.25">
      <c r="A1533" t="s">
        <v>3061</v>
      </c>
    </row>
    <row r="1534" spans="1:1" x14ac:dyDescent="0.25">
      <c r="A1534" t="s">
        <v>3062</v>
      </c>
    </row>
    <row r="1535" spans="1:1" x14ac:dyDescent="0.25">
      <c r="A1535" t="s">
        <v>3063</v>
      </c>
    </row>
    <row r="1536" spans="1:1" x14ac:dyDescent="0.25">
      <c r="A1536" t="s">
        <v>3064</v>
      </c>
    </row>
    <row r="1537" spans="1:1" x14ac:dyDescent="0.25">
      <c r="A1537" t="s">
        <v>3065</v>
      </c>
    </row>
    <row r="1538" spans="1:1" x14ac:dyDescent="0.25">
      <c r="A1538" t="s">
        <v>3066</v>
      </c>
    </row>
    <row r="1539" spans="1:1" x14ac:dyDescent="0.25">
      <c r="A1539" t="s">
        <v>3067</v>
      </c>
    </row>
    <row r="1540" spans="1:1" x14ac:dyDescent="0.25">
      <c r="A1540" t="s">
        <v>3068</v>
      </c>
    </row>
    <row r="1541" spans="1:1" x14ac:dyDescent="0.25">
      <c r="A1541" t="s">
        <v>3069</v>
      </c>
    </row>
    <row r="1542" spans="1:1" x14ac:dyDescent="0.25">
      <c r="A1542" t="s">
        <v>3070</v>
      </c>
    </row>
    <row r="1543" spans="1:1" x14ac:dyDescent="0.25">
      <c r="A1543" t="s">
        <v>3071</v>
      </c>
    </row>
    <row r="1544" spans="1:1" x14ac:dyDescent="0.25">
      <c r="A1544" t="s">
        <v>3072</v>
      </c>
    </row>
    <row r="1545" spans="1:1" x14ac:dyDescent="0.25">
      <c r="A1545" t="s">
        <v>3073</v>
      </c>
    </row>
    <row r="1546" spans="1:1" x14ac:dyDescent="0.25">
      <c r="A1546" t="s">
        <v>3074</v>
      </c>
    </row>
    <row r="1547" spans="1:1" x14ac:dyDescent="0.25">
      <c r="A1547" t="s">
        <v>3075</v>
      </c>
    </row>
    <row r="1548" spans="1:1" x14ac:dyDescent="0.25">
      <c r="A1548" t="s">
        <v>3076</v>
      </c>
    </row>
    <row r="1549" spans="1:1" x14ac:dyDescent="0.25">
      <c r="A1549" t="s">
        <v>3077</v>
      </c>
    </row>
    <row r="1550" spans="1:1" x14ac:dyDescent="0.25">
      <c r="A1550" t="s">
        <v>3078</v>
      </c>
    </row>
    <row r="1551" spans="1:1" x14ac:dyDescent="0.25">
      <c r="A1551" t="s">
        <v>3079</v>
      </c>
    </row>
    <row r="1552" spans="1:1" x14ac:dyDescent="0.25">
      <c r="A1552" t="s">
        <v>3080</v>
      </c>
    </row>
    <row r="1553" spans="1:1" x14ac:dyDescent="0.25">
      <c r="A1553" t="s">
        <v>3081</v>
      </c>
    </row>
    <row r="1554" spans="1:1" x14ac:dyDescent="0.25">
      <c r="A1554" t="s">
        <v>3082</v>
      </c>
    </row>
    <row r="1555" spans="1:1" x14ac:dyDescent="0.25">
      <c r="A1555" t="s">
        <v>3083</v>
      </c>
    </row>
    <row r="1556" spans="1:1" x14ac:dyDescent="0.25">
      <c r="A1556" t="s">
        <v>3084</v>
      </c>
    </row>
    <row r="1557" spans="1:1" x14ac:dyDescent="0.25">
      <c r="A1557" t="s">
        <v>3085</v>
      </c>
    </row>
    <row r="1558" spans="1:1" x14ac:dyDescent="0.25">
      <c r="A1558" t="s">
        <v>3086</v>
      </c>
    </row>
    <row r="1559" spans="1:1" x14ac:dyDescent="0.25">
      <c r="A1559" t="s">
        <v>3087</v>
      </c>
    </row>
    <row r="1560" spans="1:1" x14ac:dyDescent="0.25">
      <c r="A1560" t="s">
        <v>3088</v>
      </c>
    </row>
    <row r="1561" spans="1:1" x14ac:dyDescent="0.25">
      <c r="A1561" t="s">
        <v>3089</v>
      </c>
    </row>
    <row r="1562" spans="1:1" x14ac:dyDescent="0.25">
      <c r="A1562" t="s">
        <v>3090</v>
      </c>
    </row>
    <row r="1563" spans="1:1" x14ac:dyDescent="0.25">
      <c r="A1563" t="s">
        <v>3091</v>
      </c>
    </row>
    <row r="1564" spans="1:1" x14ac:dyDescent="0.25">
      <c r="A1564" t="s">
        <v>3092</v>
      </c>
    </row>
    <row r="1565" spans="1:1" x14ac:dyDescent="0.25">
      <c r="A1565" t="s">
        <v>3093</v>
      </c>
    </row>
    <row r="1566" spans="1:1" x14ac:dyDescent="0.25">
      <c r="A1566" t="s">
        <v>3094</v>
      </c>
    </row>
    <row r="1567" spans="1:1" x14ac:dyDescent="0.25">
      <c r="A1567" t="s">
        <v>3095</v>
      </c>
    </row>
    <row r="1568" spans="1:1" x14ac:dyDescent="0.25">
      <c r="A1568" t="s">
        <v>3096</v>
      </c>
    </row>
    <row r="1569" spans="1:1" x14ac:dyDescent="0.25">
      <c r="A1569" t="s">
        <v>3097</v>
      </c>
    </row>
    <row r="1570" spans="1:1" x14ac:dyDescent="0.25">
      <c r="A1570" t="s">
        <v>3098</v>
      </c>
    </row>
    <row r="1571" spans="1:1" x14ac:dyDescent="0.25">
      <c r="A1571" t="s">
        <v>3099</v>
      </c>
    </row>
    <row r="1572" spans="1:1" x14ac:dyDescent="0.25">
      <c r="A1572" t="s">
        <v>3100</v>
      </c>
    </row>
    <row r="1573" spans="1:1" x14ac:dyDescent="0.25">
      <c r="A1573" t="s">
        <v>3101</v>
      </c>
    </row>
    <row r="1574" spans="1:1" x14ac:dyDescent="0.25">
      <c r="A1574" t="s">
        <v>3102</v>
      </c>
    </row>
    <row r="1575" spans="1:1" x14ac:dyDescent="0.25">
      <c r="A1575" t="s">
        <v>3103</v>
      </c>
    </row>
    <row r="1576" spans="1:1" x14ac:dyDescent="0.25">
      <c r="A1576" t="s">
        <v>3104</v>
      </c>
    </row>
    <row r="1577" spans="1:1" x14ac:dyDescent="0.25">
      <c r="A1577" t="s">
        <v>3105</v>
      </c>
    </row>
    <row r="1578" spans="1:1" x14ac:dyDescent="0.25">
      <c r="A1578" t="s">
        <v>3106</v>
      </c>
    </row>
    <row r="1579" spans="1:1" x14ac:dyDescent="0.25">
      <c r="A1579" t="s">
        <v>3107</v>
      </c>
    </row>
    <row r="1580" spans="1:1" x14ac:dyDescent="0.25">
      <c r="A1580" t="s">
        <v>3108</v>
      </c>
    </row>
    <row r="1581" spans="1:1" x14ac:dyDescent="0.25">
      <c r="A1581" t="s">
        <v>3109</v>
      </c>
    </row>
    <row r="1582" spans="1:1" x14ac:dyDescent="0.25">
      <c r="A1582" t="s">
        <v>3110</v>
      </c>
    </row>
    <row r="1583" spans="1:1" x14ac:dyDescent="0.25">
      <c r="A1583" t="s">
        <v>3111</v>
      </c>
    </row>
    <row r="1584" spans="1:1" x14ac:dyDescent="0.25">
      <c r="A1584" t="s">
        <v>3112</v>
      </c>
    </row>
    <row r="1585" spans="1:1" x14ac:dyDescent="0.25">
      <c r="A1585" t="s">
        <v>3113</v>
      </c>
    </row>
    <row r="1586" spans="1:1" x14ac:dyDescent="0.25">
      <c r="A1586" t="s">
        <v>3114</v>
      </c>
    </row>
    <row r="1587" spans="1:1" x14ac:dyDescent="0.25">
      <c r="A1587" t="s">
        <v>3115</v>
      </c>
    </row>
    <row r="1588" spans="1:1" x14ac:dyDescent="0.25">
      <c r="A1588" t="s">
        <v>3116</v>
      </c>
    </row>
    <row r="1589" spans="1:1" x14ac:dyDescent="0.25">
      <c r="A1589" t="s">
        <v>3117</v>
      </c>
    </row>
    <row r="1590" spans="1:1" x14ac:dyDescent="0.25">
      <c r="A1590" t="s">
        <v>3118</v>
      </c>
    </row>
    <row r="1591" spans="1:1" x14ac:dyDescent="0.25">
      <c r="A1591" t="s">
        <v>3119</v>
      </c>
    </row>
    <row r="1592" spans="1:1" x14ac:dyDescent="0.25">
      <c r="A1592" t="s">
        <v>3120</v>
      </c>
    </row>
    <row r="1593" spans="1:1" x14ac:dyDescent="0.25">
      <c r="A1593" t="s">
        <v>3121</v>
      </c>
    </row>
    <row r="1594" spans="1:1" x14ac:dyDescent="0.25">
      <c r="A1594" t="s">
        <v>3122</v>
      </c>
    </row>
    <row r="1595" spans="1:1" x14ac:dyDescent="0.25">
      <c r="A1595" t="s">
        <v>3123</v>
      </c>
    </row>
    <row r="1596" spans="1:1" x14ac:dyDescent="0.25">
      <c r="A1596" t="s">
        <v>3124</v>
      </c>
    </row>
    <row r="1597" spans="1:1" x14ac:dyDescent="0.25">
      <c r="A1597" t="s">
        <v>3125</v>
      </c>
    </row>
    <row r="1598" spans="1:1" x14ac:dyDescent="0.25">
      <c r="A1598" t="s">
        <v>3126</v>
      </c>
    </row>
    <row r="1599" spans="1:1" x14ac:dyDescent="0.25">
      <c r="A1599" t="s">
        <v>3127</v>
      </c>
    </row>
    <row r="1600" spans="1:1" x14ac:dyDescent="0.25">
      <c r="A1600" t="s">
        <v>3128</v>
      </c>
    </row>
    <row r="1601" spans="1:1" x14ac:dyDescent="0.25">
      <c r="A1601" t="s">
        <v>3129</v>
      </c>
    </row>
    <row r="1602" spans="1:1" x14ac:dyDescent="0.25">
      <c r="A1602" t="s">
        <v>3130</v>
      </c>
    </row>
    <row r="1603" spans="1:1" x14ac:dyDescent="0.25">
      <c r="A1603" t="s">
        <v>3131</v>
      </c>
    </row>
    <row r="1604" spans="1:1" x14ac:dyDescent="0.25">
      <c r="A1604" t="s">
        <v>3132</v>
      </c>
    </row>
    <row r="1605" spans="1:1" x14ac:dyDescent="0.25">
      <c r="A1605" t="s">
        <v>3133</v>
      </c>
    </row>
    <row r="1606" spans="1:1" x14ac:dyDescent="0.25">
      <c r="A1606" t="s">
        <v>3134</v>
      </c>
    </row>
    <row r="1607" spans="1:1" x14ac:dyDescent="0.25">
      <c r="A1607" t="s">
        <v>3135</v>
      </c>
    </row>
    <row r="1608" spans="1:1" x14ac:dyDescent="0.25">
      <c r="A1608" t="s">
        <v>3136</v>
      </c>
    </row>
    <row r="1609" spans="1:1" x14ac:dyDescent="0.25">
      <c r="A1609" t="s">
        <v>3137</v>
      </c>
    </row>
    <row r="1610" spans="1:1" x14ac:dyDescent="0.25">
      <c r="A1610" t="s">
        <v>3138</v>
      </c>
    </row>
    <row r="1611" spans="1:1" x14ac:dyDescent="0.25">
      <c r="A1611" t="s">
        <v>3139</v>
      </c>
    </row>
    <row r="1612" spans="1:1" x14ac:dyDescent="0.25">
      <c r="A1612" t="s">
        <v>3140</v>
      </c>
    </row>
    <row r="1613" spans="1:1" x14ac:dyDescent="0.25">
      <c r="A1613" t="s">
        <v>3141</v>
      </c>
    </row>
    <row r="1614" spans="1:1" x14ac:dyDescent="0.25">
      <c r="A1614" t="s">
        <v>3142</v>
      </c>
    </row>
    <row r="1615" spans="1:1" x14ac:dyDescent="0.25">
      <c r="A1615" t="s">
        <v>3143</v>
      </c>
    </row>
    <row r="1616" spans="1:1" x14ac:dyDescent="0.25">
      <c r="A1616" t="s">
        <v>3144</v>
      </c>
    </row>
    <row r="1617" spans="1:1" x14ac:dyDescent="0.25">
      <c r="A1617" t="s">
        <v>3145</v>
      </c>
    </row>
    <row r="1618" spans="1:1" x14ac:dyDescent="0.25">
      <c r="A1618" t="s">
        <v>3146</v>
      </c>
    </row>
    <row r="1619" spans="1:1" x14ac:dyDescent="0.25">
      <c r="A1619" t="s">
        <v>3147</v>
      </c>
    </row>
    <row r="1620" spans="1:1" x14ac:dyDescent="0.25">
      <c r="A1620" t="s">
        <v>3148</v>
      </c>
    </row>
    <row r="1621" spans="1:1" x14ac:dyDescent="0.25">
      <c r="A1621" t="s">
        <v>3149</v>
      </c>
    </row>
    <row r="1622" spans="1:1" x14ac:dyDescent="0.25">
      <c r="A1622" t="s">
        <v>3150</v>
      </c>
    </row>
    <row r="1623" spans="1:1" x14ac:dyDescent="0.25">
      <c r="A1623" t="s">
        <v>3151</v>
      </c>
    </row>
    <row r="1624" spans="1:1" x14ac:dyDescent="0.25">
      <c r="A1624" t="s">
        <v>3152</v>
      </c>
    </row>
    <row r="1625" spans="1:1" x14ac:dyDescent="0.25">
      <c r="A1625" t="s">
        <v>3153</v>
      </c>
    </row>
    <row r="1626" spans="1:1" x14ac:dyDescent="0.25">
      <c r="A1626" t="s">
        <v>3154</v>
      </c>
    </row>
    <row r="1627" spans="1:1" x14ac:dyDescent="0.25">
      <c r="A1627" t="s">
        <v>3155</v>
      </c>
    </row>
    <row r="1628" spans="1:1" x14ac:dyDescent="0.25">
      <c r="A1628" t="s">
        <v>3156</v>
      </c>
    </row>
    <row r="1629" spans="1:1" x14ac:dyDescent="0.25">
      <c r="A1629" t="s">
        <v>3157</v>
      </c>
    </row>
    <row r="1630" spans="1:1" x14ac:dyDescent="0.25">
      <c r="A1630" t="s">
        <v>3158</v>
      </c>
    </row>
    <row r="1631" spans="1:1" x14ac:dyDescent="0.25">
      <c r="A1631" t="s">
        <v>3159</v>
      </c>
    </row>
    <row r="1632" spans="1:1" x14ac:dyDescent="0.25">
      <c r="A1632" t="s">
        <v>3160</v>
      </c>
    </row>
    <row r="1633" spans="1:1" x14ac:dyDescent="0.25">
      <c r="A1633" t="s">
        <v>3161</v>
      </c>
    </row>
    <row r="1634" spans="1:1" x14ac:dyDescent="0.25">
      <c r="A1634" t="s">
        <v>3162</v>
      </c>
    </row>
    <row r="1635" spans="1:1" x14ac:dyDescent="0.25">
      <c r="A1635" t="s">
        <v>3163</v>
      </c>
    </row>
    <row r="1636" spans="1:1" x14ac:dyDescent="0.25">
      <c r="A1636" t="s">
        <v>3164</v>
      </c>
    </row>
    <row r="1637" spans="1:1" x14ac:dyDescent="0.25">
      <c r="A1637" t="s">
        <v>3165</v>
      </c>
    </row>
    <row r="1638" spans="1:1" x14ac:dyDescent="0.25">
      <c r="A1638" t="s">
        <v>3166</v>
      </c>
    </row>
    <row r="1639" spans="1:1" x14ac:dyDescent="0.25">
      <c r="A1639" t="s">
        <v>3167</v>
      </c>
    </row>
    <row r="1640" spans="1:1" x14ac:dyDescent="0.25">
      <c r="A1640" t="s">
        <v>3168</v>
      </c>
    </row>
    <row r="1641" spans="1:1" x14ac:dyDescent="0.25">
      <c r="A1641" t="s">
        <v>3169</v>
      </c>
    </row>
    <row r="1642" spans="1:1" x14ac:dyDescent="0.25">
      <c r="A1642" t="s">
        <v>3170</v>
      </c>
    </row>
    <row r="1643" spans="1:1" x14ac:dyDescent="0.25">
      <c r="A1643" t="s">
        <v>3171</v>
      </c>
    </row>
    <row r="1644" spans="1:1" x14ac:dyDescent="0.25">
      <c r="A1644" t="s">
        <v>3172</v>
      </c>
    </row>
    <row r="1645" spans="1:1" x14ac:dyDescent="0.25">
      <c r="A1645" t="s">
        <v>3173</v>
      </c>
    </row>
    <row r="1646" spans="1:1" x14ac:dyDescent="0.25">
      <c r="A1646" t="s">
        <v>3174</v>
      </c>
    </row>
    <row r="1647" spans="1:1" x14ac:dyDescent="0.25">
      <c r="A1647" t="s">
        <v>3175</v>
      </c>
    </row>
    <row r="1648" spans="1:1" x14ac:dyDescent="0.25">
      <c r="A1648" t="s">
        <v>3176</v>
      </c>
    </row>
    <row r="1649" spans="1:1" x14ac:dyDescent="0.25">
      <c r="A1649" t="s">
        <v>3177</v>
      </c>
    </row>
    <row r="1650" spans="1:1" x14ac:dyDescent="0.25">
      <c r="A1650" t="s">
        <v>3178</v>
      </c>
    </row>
    <row r="1651" spans="1:1" x14ac:dyDescent="0.25">
      <c r="A1651" t="s">
        <v>3179</v>
      </c>
    </row>
    <row r="1652" spans="1:1" x14ac:dyDescent="0.25">
      <c r="A1652" t="s">
        <v>3180</v>
      </c>
    </row>
    <row r="1653" spans="1:1" x14ac:dyDescent="0.25">
      <c r="A1653" t="s">
        <v>3181</v>
      </c>
    </row>
    <row r="1654" spans="1:1" x14ac:dyDescent="0.25">
      <c r="A1654" t="s">
        <v>3182</v>
      </c>
    </row>
    <row r="1655" spans="1:1" x14ac:dyDescent="0.25">
      <c r="A1655" t="s">
        <v>3183</v>
      </c>
    </row>
    <row r="1656" spans="1:1" x14ac:dyDescent="0.25">
      <c r="A1656" t="s">
        <v>3184</v>
      </c>
    </row>
    <row r="1657" spans="1:1" x14ac:dyDescent="0.25">
      <c r="A1657" t="s">
        <v>3185</v>
      </c>
    </row>
    <row r="1658" spans="1:1" x14ac:dyDescent="0.25">
      <c r="A1658" t="s">
        <v>3186</v>
      </c>
    </row>
    <row r="1659" spans="1:1" x14ac:dyDescent="0.25">
      <c r="A1659" t="s">
        <v>3187</v>
      </c>
    </row>
    <row r="1660" spans="1:1" x14ac:dyDescent="0.25">
      <c r="A1660" t="s">
        <v>3188</v>
      </c>
    </row>
    <row r="1661" spans="1:1" x14ac:dyDescent="0.25">
      <c r="A1661" t="s">
        <v>3189</v>
      </c>
    </row>
    <row r="1662" spans="1:1" x14ac:dyDescent="0.25">
      <c r="A1662" t="s">
        <v>3190</v>
      </c>
    </row>
    <row r="1663" spans="1:1" x14ac:dyDescent="0.25">
      <c r="A1663" t="s">
        <v>3191</v>
      </c>
    </row>
    <row r="1664" spans="1:1" x14ac:dyDescent="0.25">
      <c r="A1664" t="s">
        <v>3192</v>
      </c>
    </row>
    <row r="1665" spans="1:1" x14ac:dyDescent="0.25">
      <c r="A1665" t="s">
        <v>3193</v>
      </c>
    </row>
    <row r="1666" spans="1:1" x14ac:dyDescent="0.25">
      <c r="A1666" t="s">
        <v>3194</v>
      </c>
    </row>
    <row r="1667" spans="1:1" x14ac:dyDescent="0.25">
      <c r="A1667" t="s">
        <v>3195</v>
      </c>
    </row>
    <row r="1668" spans="1:1" x14ac:dyDescent="0.25">
      <c r="A1668" t="s">
        <v>3196</v>
      </c>
    </row>
    <row r="1669" spans="1:1" x14ac:dyDescent="0.25">
      <c r="A1669" t="s">
        <v>3197</v>
      </c>
    </row>
    <row r="1670" spans="1:1" x14ac:dyDescent="0.25">
      <c r="A1670" t="s">
        <v>3198</v>
      </c>
    </row>
    <row r="1671" spans="1:1" x14ac:dyDescent="0.25">
      <c r="A1671" t="s">
        <v>3199</v>
      </c>
    </row>
    <row r="1672" spans="1:1" x14ac:dyDescent="0.25">
      <c r="A1672" t="s">
        <v>3200</v>
      </c>
    </row>
    <row r="1673" spans="1:1" x14ac:dyDescent="0.25">
      <c r="A1673" t="s">
        <v>3201</v>
      </c>
    </row>
    <row r="1674" spans="1:1" x14ac:dyDescent="0.25">
      <c r="A1674" t="s">
        <v>3202</v>
      </c>
    </row>
    <row r="1675" spans="1:1" x14ac:dyDescent="0.25">
      <c r="A1675" t="s">
        <v>3203</v>
      </c>
    </row>
    <row r="1676" spans="1:1" x14ac:dyDescent="0.25">
      <c r="A1676" t="s">
        <v>3204</v>
      </c>
    </row>
    <row r="1677" spans="1:1" x14ac:dyDescent="0.25">
      <c r="A1677" t="s">
        <v>3205</v>
      </c>
    </row>
    <row r="1678" spans="1:1" x14ac:dyDescent="0.25">
      <c r="A1678" t="s">
        <v>3206</v>
      </c>
    </row>
    <row r="1679" spans="1:1" x14ac:dyDescent="0.25">
      <c r="A1679" t="s">
        <v>3207</v>
      </c>
    </row>
    <row r="1680" spans="1:1" x14ac:dyDescent="0.25">
      <c r="A1680" t="s">
        <v>3208</v>
      </c>
    </row>
    <row r="1681" spans="1:1" x14ac:dyDescent="0.25">
      <c r="A1681" t="s">
        <v>3209</v>
      </c>
    </row>
    <row r="1682" spans="1:1" x14ac:dyDescent="0.25">
      <c r="A1682" t="s">
        <v>3210</v>
      </c>
    </row>
    <row r="1683" spans="1:1" x14ac:dyDescent="0.25">
      <c r="A1683" t="s">
        <v>3211</v>
      </c>
    </row>
    <row r="1684" spans="1:1" x14ac:dyDescent="0.25">
      <c r="A1684" t="s">
        <v>3212</v>
      </c>
    </row>
    <row r="1685" spans="1:1" x14ac:dyDescent="0.25">
      <c r="A1685" t="s">
        <v>3213</v>
      </c>
    </row>
    <row r="1686" spans="1:1" x14ac:dyDescent="0.25">
      <c r="A1686" t="s">
        <v>3214</v>
      </c>
    </row>
    <row r="1687" spans="1:1" x14ac:dyDescent="0.25">
      <c r="A1687" t="s">
        <v>3215</v>
      </c>
    </row>
    <row r="1688" spans="1:1" x14ac:dyDescent="0.25">
      <c r="A1688" t="s">
        <v>3216</v>
      </c>
    </row>
    <row r="1689" spans="1:1" x14ac:dyDescent="0.25">
      <c r="A1689" t="s">
        <v>3217</v>
      </c>
    </row>
    <row r="1690" spans="1:1" x14ac:dyDescent="0.25">
      <c r="A1690" t="s">
        <v>3218</v>
      </c>
    </row>
    <row r="1691" spans="1:1" x14ac:dyDescent="0.25">
      <c r="A1691" t="s">
        <v>3219</v>
      </c>
    </row>
    <row r="1692" spans="1:1" x14ac:dyDescent="0.25">
      <c r="A1692" t="s">
        <v>3220</v>
      </c>
    </row>
    <row r="1693" spans="1:1" x14ac:dyDescent="0.25">
      <c r="A1693" t="s">
        <v>3221</v>
      </c>
    </row>
    <row r="1694" spans="1:1" x14ac:dyDescent="0.25">
      <c r="A1694" t="s">
        <v>3222</v>
      </c>
    </row>
    <row r="1695" spans="1:1" x14ac:dyDescent="0.25">
      <c r="A1695" t="s">
        <v>3223</v>
      </c>
    </row>
    <row r="1696" spans="1:1" x14ac:dyDescent="0.25">
      <c r="A1696" t="s">
        <v>3224</v>
      </c>
    </row>
    <row r="1697" spans="1:1" x14ac:dyDescent="0.25">
      <c r="A1697" t="s">
        <v>3225</v>
      </c>
    </row>
    <row r="1698" spans="1:1" x14ac:dyDescent="0.25">
      <c r="A1698" t="s">
        <v>3226</v>
      </c>
    </row>
    <row r="1699" spans="1:1" x14ac:dyDescent="0.25">
      <c r="A1699" t="s">
        <v>3227</v>
      </c>
    </row>
    <row r="1700" spans="1:1" x14ac:dyDescent="0.25">
      <c r="A1700" t="s">
        <v>3228</v>
      </c>
    </row>
    <row r="1701" spans="1:1" x14ac:dyDescent="0.25">
      <c r="A1701" t="s">
        <v>3229</v>
      </c>
    </row>
    <row r="1702" spans="1:1" x14ac:dyDescent="0.25">
      <c r="A1702" t="s">
        <v>3230</v>
      </c>
    </row>
    <row r="1703" spans="1:1" x14ac:dyDescent="0.25">
      <c r="A1703" t="s">
        <v>3231</v>
      </c>
    </row>
    <row r="1704" spans="1:1" x14ac:dyDescent="0.25">
      <c r="A1704" t="s">
        <v>3232</v>
      </c>
    </row>
    <row r="1705" spans="1:1" x14ac:dyDescent="0.25">
      <c r="A1705" t="s">
        <v>3233</v>
      </c>
    </row>
    <row r="1706" spans="1:1" x14ac:dyDescent="0.25">
      <c r="A1706" t="s">
        <v>3234</v>
      </c>
    </row>
    <row r="1707" spans="1:1" x14ac:dyDescent="0.25">
      <c r="A1707" t="s">
        <v>3235</v>
      </c>
    </row>
    <row r="1708" spans="1:1" x14ac:dyDescent="0.25">
      <c r="A1708" t="s">
        <v>3236</v>
      </c>
    </row>
    <row r="1709" spans="1:1" x14ac:dyDescent="0.25">
      <c r="A1709" t="s">
        <v>3237</v>
      </c>
    </row>
    <row r="1710" spans="1:1" x14ac:dyDescent="0.25">
      <c r="A1710" t="s">
        <v>3238</v>
      </c>
    </row>
    <row r="1711" spans="1:1" x14ac:dyDescent="0.25">
      <c r="A1711" t="s">
        <v>3239</v>
      </c>
    </row>
    <row r="1712" spans="1:1" x14ac:dyDescent="0.25">
      <c r="A1712" t="s">
        <v>3240</v>
      </c>
    </row>
    <row r="1713" spans="1:1" x14ac:dyDescent="0.25">
      <c r="A1713" t="s">
        <v>3241</v>
      </c>
    </row>
    <row r="1714" spans="1:1" x14ac:dyDescent="0.25">
      <c r="A1714" t="s">
        <v>3242</v>
      </c>
    </row>
    <row r="1715" spans="1:1" x14ac:dyDescent="0.25">
      <c r="A1715" t="s">
        <v>3243</v>
      </c>
    </row>
    <row r="1716" spans="1:1" x14ac:dyDescent="0.25">
      <c r="A1716" t="s">
        <v>3244</v>
      </c>
    </row>
    <row r="1717" spans="1:1" x14ac:dyDescent="0.25">
      <c r="A1717" t="s">
        <v>3245</v>
      </c>
    </row>
    <row r="1718" spans="1:1" x14ac:dyDescent="0.25">
      <c r="A1718" t="s">
        <v>3246</v>
      </c>
    </row>
    <row r="1719" spans="1:1" x14ac:dyDescent="0.25">
      <c r="A1719" t="s">
        <v>3247</v>
      </c>
    </row>
    <row r="1720" spans="1:1" x14ac:dyDescent="0.25">
      <c r="A1720" t="s">
        <v>3248</v>
      </c>
    </row>
    <row r="1721" spans="1:1" x14ac:dyDescent="0.25">
      <c r="A1721" t="s">
        <v>3249</v>
      </c>
    </row>
    <row r="1722" spans="1:1" x14ac:dyDescent="0.25">
      <c r="A1722" t="s">
        <v>3250</v>
      </c>
    </row>
    <row r="1723" spans="1:1" x14ac:dyDescent="0.25">
      <c r="A1723" t="s">
        <v>3251</v>
      </c>
    </row>
    <row r="1724" spans="1:1" x14ac:dyDescent="0.25">
      <c r="A1724" t="s">
        <v>3252</v>
      </c>
    </row>
    <row r="1725" spans="1:1" x14ac:dyDescent="0.25">
      <c r="A1725" t="s">
        <v>3253</v>
      </c>
    </row>
    <row r="1726" spans="1:1" x14ac:dyDescent="0.25">
      <c r="A1726" t="s">
        <v>3254</v>
      </c>
    </row>
    <row r="1727" spans="1:1" x14ac:dyDescent="0.25">
      <c r="A1727" t="s">
        <v>3255</v>
      </c>
    </row>
    <row r="1728" spans="1:1" x14ac:dyDescent="0.25">
      <c r="A1728" t="s">
        <v>3256</v>
      </c>
    </row>
    <row r="1729" spans="1:1" x14ac:dyDescent="0.25">
      <c r="A1729" t="s">
        <v>3257</v>
      </c>
    </row>
    <row r="1730" spans="1:1" x14ac:dyDescent="0.25">
      <c r="A1730" t="s">
        <v>3258</v>
      </c>
    </row>
    <row r="1731" spans="1:1" x14ac:dyDescent="0.25">
      <c r="A1731" t="s">
        <v>3259</v>
      </c>
    </row>
    <row r="1732" spans="1:1" x14ac:dyDescent="0.25">
      <c r="A1732" t="s">
        <v>3260</v>
      </c>
    </row>
    <row r="1733" spans="1:1" x14ac:dyDescent="0.25">
      <c r="A1733" t="s">
        <v>3261</v>
      </c>
    </row>
    <row r="1734" spans="1:1" x14ac:dyDescent="0.25">
      <c r="A1734" t="s">
        <v>3262</v>
      </c>
    </row>
    <row r="1735" spans="1:1" x14ac:dyDescent="0.25">
      <c r="A1735" t="s">
        <v>3263</v>
      </c>
    </row>
    <row r="1736" spans="1:1" x14ac:dyDescent="0.25">
      <c r="A1736" t="s">
        <v>3264</v>
      </c>
    </row>
    <row r="1737" spans="1:1" x14ac:dyDescent="0.25">
      <c r="A1737" t="s">
        <v>3265</v>
      </c>
    </row>
    <row r="1738" spans="1:1" x14ac:dyDescent="0.25">
      <c r="A1738" t="s">
        <v>3266</v>
      </c>
    </row>
    <row r="1739" spans="1:1" x14ac:dyDescent="0.25">
      <c r="A1739" t="s">
        <v>3267</v>
      </c>
    </row>
    <row r="1740" spans="1:1" x14ac:dyDescent="0.25">
      <c r="A1740" t="s">
        <v>3268</v>
      </c>
    </row>
    <row r="1741" spans="1:1" x14ac:dyDescent="0.25">
      <c r="A1741" t="s">
        <v>3269</v>
      </c>
    </row>
    <row r="1742" spans="1:1" x14ac:dyDescent="0.25">
      <c r="A1742" t="s">
        <v>3270</v>
      </c>
    </row>
    <row r="1743" spans="1:1" x14ac:dyDescent="0.25">
      <c r="A1743" t="s">
        <v>3271</v>
      </c>
    </row>
    <row r="1744" spans="1:1" x14ac:dyDescent="0.25">
      <c r="A1744" t="s">
        <v>3272</v>
      </c>
    </row>
    <row r="1745" spans="1:1" x14ac:dyDescent="0.25">
      <c r="A1745" t="s">
        <v>3273</v>
      </c>
    </row>
    <row r="1746" spans="1:1" x14ac:dyDescent="0.25">
      <c r="A1746" t="s">
        <v>3274</v>
      </c>
    </row>
    <row r="1747" spans="1:1" x14ac:dyDescent="0.25">
      <c r="A1747" t="s">
        <v>3275</v>
      </c>
    </row>
    <row r="1748" spans="1:1" x14ac:dyDescent="0.25">
      <c r="A1748" t="s">
        <v>3276</v>
      </c>
    </row>
    <row r="1749" spans="1:1" x14ac:dyDescent="0.25">
      <c r="A1749" t="s">
        <v>3277</v>
      </c>
    </row>
    <row r="1750" spans="1:1" x14ac:dyDescent="0.25">
      <c r="A1750" t="s">
        <v>3278</v>
      </c>
    </row>
    <row r="1751" spans="1:1" x14ac:dyDescent="0.25">
      <c r="A1751" t="s">
        <v>3279</v>
      </c>
    </row>
    <row r="1752" spans="1:1" x14ac:dyDescent="0.25">
      <c r="A1752" t="s">
        <v>3280</v>
      </c>
    </row>
    <row r="1753" spans="1:1" x14ac:dyDescent="0.25">
      <c r="A1753" t="s">
        <v>3281</v>
      </c>
    </row>
    <row r="1754" spans="1:1" x14ac:dyDescent="0.25">
      <c r="A1754" t="s">
        <v>3282</v>
      </c>
    </row>
    <row r="1755" spans="1:1" x14ac:dyDescent="0.25">
      <c r="A1755" t="s">
        <v>3283</v>
      </c>
    </row>
    <row r="1756" spans="1:1" x14ac:dyDescent="0.25">
      <c r="A1756" t="s">
        <v>3284</v>
      </c>
    </row>
    <row r="1757" spans="1:1" x14ac:dyDescent="0.25">
      <c r="A1757" t="s">
        <v>3285</v>
      </c>
    </row>
    <row r="1758" spans="1:1" x14ac:dyDescent="0.25">
      <c r="A1758" t="s">
        <v>3286</v>
      </c>
    </row>
    <row r="1759" spans="1:1" x14ac:dyDescent="0.25">
      <c r="A1759" t="s">
        <v>3287</v>
      </c>
    </row>
    <row r="1760" spans="1:1" x14ac:dyDescent="0.25">
      <c r="A1760" t="s">
        <v>3288</v>
      </c>
    </row>
    <row r="1761" spans="1:1" x14ac:dyDescent="0.25">
      <c r="A1761" t="s">
        <v>3289</v>
      </c>
    </row>
    <row r="1762" spans="1:1" x14ac:dyDescent="0.25">
      <c r="A1762" t="s">
        <v>3290</v>
      </c>
    </row>
    <row r="1763" spans="1:1" x14ac:dyDescent="0.25">
      <c r="A1763" t="s">
        <v>3291</v>
      </c>
    </row>
    <row r="1764" spans="1:1" x14ac:dyDescent="0.25">
      <c r="A1764" t="s">
        <v>3292</v>
      </c>
    </row>
    <row r="1765" spans="1:1" x14ac:dyDescent="0.25">
      <c r="A1765" t="s">
        <v>3293</v>
      </c>
    </row>
    <row r="1766" spans="1:1" x14ac:dyDescent="0.25">
      <c r="A1766" t="s">
        <v>3294</v>
      </c>
    </row>
    <row r="1767" spans="1:1" x14ac:dyDescent="0.25">
      <c r="A1767" t="s">
        <v>3295</v>
      </c>
    </row>
    <row r="1768" spans="1:1" x14ac:dyDescent="0.25">
      <c r="A1768" t="s">
        <v>3296</v>
      </c>
    </row>
    <row r="1769" spans="1:1" x14ac:dyDescent="0.25">
      <c r="A1769" t="s">
        <v>3297</v>
      </c>
    </row>
    <row r="1770" spans="1:1" x14ac:dyDescent="0.25">
      <c r="A1770" t="s">
        <v>3298</v>
      </c>
    </row>
    <row r="1771" spans="1:1" x14ac:dyDescent="0.25">
      <c r="A1771" t="s">
        <v>3299</v>
      </c>
    </row>
    <row r="1772" spans="1:1" x14ac:dyDescent="0.25">
      <c r="A1772" t="s">
        <v>3300</v>
      </c>
    </row>
    <row r="1773" spans="1:1" x14ac:dyDescent="0.25">
      <c r="A1773" t="s">
        <v>3301</v>
      </c>
    </row>
    <row r="1774" spans="1:1" x14ac:dyDescent="0.25">
      <c r="A1774" t="s">
        <v>3302</v>
      </c>
    </row>
    <row r="1775" spans="1:1" x14ac:dyDescent="0.25">
      <c r="A1775" t="s">
        <v>3303</v>
      </c>
    </row>
    <row r="1776" spans="1:1" x14ac:dyDescent="0.25">
      <c r="A1776" t="s">
        <v>3304</v>
      </c>
    </row>
    <row r="1777" spans="1:1" x14ac:dyDescent="0.25">
      <c r="A1777" t="s">
        <v>3305</v>
      </c>
    </row>
    <row r="1778" spans="1:1" x14ac:dyDescent="0.25">
      <c r="A1778" t="s">
        <v>3306</v>
      </c>
    </row>
    <row r="1779" spans="1:1" x14ac:dyDescent="0.25">
      <c r="A1779" t="s">
        <v>3307</v>
      </c>
    </row>
    <row r="1780" spans="1:1" x14ac:dyDescent="0.25">
      <c r="A1780" t="s">
        <v>3308</v>
      </c>
    </row>
    <row r="1781" spans="1:1" x14ac:dyDescent="0.25">
      <c r="A1781" t="s">
        <v>3309</v>
      </c>
    </row>
    <row r="1782" spans="1:1" x14ac:dyDescent="0.25">
      <c r="A1782" t="s">
        <v>3310</v>
      </c>
    </row>
    <row r="1783" spans="1:1" x14ac:dyDescent="0.25">
      <c r="A1783" t="s">
        <v>3311</v>
      </c>
    </row>
    <row r="1784" spans="1:1" x14ac:dyDescent="0.25">
      <c r="A1784" t="s">
        <v>3312</v>
      </c>
    </row>
    <row r="1785" spans="1:1" x14ac:dyDescent="0.25">
      <c r="A1785" t="s">
        <v>3313</v>
      </c>
    </row>
    <row r="1786" spans="1:1" x14ac:dyDescent="0.25">
      <c r="A1786" t="s">
        <v>3314</v>
      </c>
    </row>
    <row r="1787" spans="1:1" x14ac:dyDescent="0.25">
      <c r="A1787" t="s">
        <v>3315</v>
      </c>
    </row>
    <row r="1788" spans="1:1" x14ac:dyDescent="0.25">
      <c r="A1788" t="s">
        <v>3316</v>
      </c>
    </row>
    <row r="1789" spans="1:1" x14ac:dyDescent="0.25">
      <c r="A1789" t="s">
        <v>3317</v>
      </c>
    </row>
    <row r="1790" spans="1:1" x14ac:dyDescent="0.25">
      <c r="A1790" t="s">
        <v>3318</v>
      </c>
    </row>
    <row r="1791" spans="1:1" x14ac:dyDescent="0.25">
      <c r="A1791" t="s">
        <v>3319</v>
      </c>
    </row>
    <row r="1792" spans="1:1" x14ac:dyDescent="0.25">
      <c r="A1792" t="s">
        <v>3320</v>
      </c>
    </row>
    <row r="1793" spans="1:1" x14ac:dyDescent="0.25">
      <c r="A1793" t="s">
        <v>3321</v>
      </c>
    </row>
    <row r="1794" spans="1:1" x14ac:dyDescent="0.25">
      <c r="A1794" t="s">
        <v>3322</v>
      </c>
    </row>
    <row r="1795" spans="1:1" x14ac:dyDescent="0.25">
      <c r="A1795" t="s">
        <v>3323</v>
      </c>
    </row>
    <row r="1796" spans="1:1" x14ac:dyDescent="0.25">
      <c r="A1796" t="s">
        <v>3324</v>
      </c>
    </row>
    <row r="1797" spans="1:1" x14ac:dyDescent="0.25">
      <c r="A1797" t="s">
        <v>3325</v>
      </c>
    </row>
    <row r="1798" spans="1:1" x14ac:dyDescent="0.25">
      <c r="A1798" t="s">
        <v>3326</v>
      </c>
    </row>
    <row r="1799" spans="1:1" x14ac:dyDescent="0.25">
      <c r="A1799" t="s">
        <v>3327</v>
      </c>
    </row>
    <row r="1800" spans="1:1" x14ac:dyDescent="0.25">
      <c r="A1800" t="s">
        <v>3328</v>
      </c>
    </row>
    <row r="1801" spans="1:1" x14ac:dyDescent="0.25">
      <c r="A1801" t="s">
        <v>3329</v>
      </c>
    </row>
    <row r="1802" spans="1:1" x14ac:dyDescent="0.25">
      <c r="A1802" t="s">
        <v>3330</v>
      </c>
    </row>
    <row r="1803" spans="1:1" x14ac:dyDescent="0.25">
      <c r="A1803" t="s">
        <v>3331</v>
      </c>
    </row>
    <row r="1804" spans="1:1" x14ac:dyDescent="0.25">
      <c r="A1804" t="s">
        <v>3332</v>
      </c>
    </row>
    <row r="1805" spans="1:1" x14ac:dyDescent="0.25">
      <c r="A1805" t="s">
        <v>3333</v>
      </c>
    </row>
    <row r="1806" spans="1:1" x14ac:dyDescent="0.25">
      <c r="A1806" t="s">
        <v>3334</v>
      </c>
    </row>
    <row r="1807" spans="1:1" x14ac:dyDescent="0.25">
      <c r="A1807" t="s">
        <v>3335</v>
      </c>
    </row>
    <row r="1808" spans="1:1" x14ac:dyDescent="0.25">
      <c r="A1808" t="s">
        <v>3336</v>
      </c>
    </row>
    <row r="1809" spans="1:1" x14ac:dyDescent="0.25">
      <c r="A1809" t="s">
        <v>3337</v>
      </c>
    </row>
    <row r="1810" spans="1:1" x14ac:dyDescent="0.25">
      <c r="A1810" t="s">
        <v>3338</v>
      </c>
    </row>
    <row r="1811" spans="1:1" x14ac:dyDescent="0.25">
      <c r="A1811" t="s">
        <v>3339</v>
      </c>
    </row>
    <row r="1812" spans="1:1" x14ac:dyDescent="0.25">
      <c r="A1812" t="s">
        <v>3340</v>
      </c>
    </row>
    <row r="1813" spans="1:1" x14ac:dyDescent="0.25">
      <c r="A1813" t="s">
        <v>3341</v>
      </c>
    </row>
    <row r="1814" spans="1:1" x14ac:dyDescent="0.25">
      <c r="A1814" t="s">
        <v>3342</v>
      </c>
    </row>
    <row r="1815" spans="1:1" x14ac:dyDescent="0.25">
      <c r="A1815" t="s">
        <v>3343</v>
      </c>
    </row>
    <row r="1816" spans="1:1" x14ac:dyDescent="0.25">
      <c r="A1816" t="s">
        <v>3344</v>
      </c>
    </row>
    <row r="1817" spans="1:1" x14ac:dyDescent="0.25">
      <c r="A1817" t="s">
        <v>3345</v>
      </c>
    </row>
    <row r="1818" spans="1:1" x14ac:dyDescent="0.25">
      <c r="A1818" t="s">
        <v>3346</v>
      </c>
    </row>
    <row r="1819" spans="1:1" x14ac:dyDescent="0.25">
      <c r="A1819" t="s">
        <v>3347</v>
      </c>
    </row>
    <row r="1820" spans="1:1" x14ac:dyDescent="0.25">
      <c r="A1820" t="s">
        <v>3348</v>
      </c>
    </row>
    <row r="1821" spans="1:1" x14ac:dyDescent="0.25">
      <c r="A1821" t="s">
        <v>3349</v>
      </c>
    </row>
    <row r="1822" spans="1:1" x14ac:dyDescent="0.25">
      <c r="A1822" t="s">
        <v>3350</v>
      </c>
    </row>
    <row r="1823" spans="1:1" x14ac:dyDescent="0.25">
      <c r="A1823" t="s">
        <v>3351</v>
      </c>
    </row>
    <row r="1824" spans="1:1" x14ac:dyDescent="0.25">
      <c r="A1824" t="s">
        <v>3352</v>
      </c>
    </row>
    <row r="1825" spans="1:1" x14ac:dyDescent="0.25">
      <c r="A1825" t="s">
        <v>3353</v>
      </c>
    </row>
    <row r="1826" spans="1:1" x14ac:dyDescent="0.25">
      <c r="A1826" t="s">
        <v>3354</v>
      </c>
    </row>
    <row r="1827" spans="1:1" x14ac:dyDescent="0.25">
      <c r="A1827" t="s">
        <v>3355</v>
      </c>
    </row>
    <row r="1828" spans="1:1" x14ac:dyDescent="0.25">
      <c r="A1828" t="s">
        <v>3356</v>
      </c>
    </row>
    <row r="1829" spans="1:1" x14ac:dyDescent="0.25">
      <c r="A1829" t="s">
        <v>3357</v>
      </c>
    </row>
    <row r="1830" spans="1:1" x14ac:dyDescent="0.25">
      <c r="A1830" t="s">
        <v>3358</v>
      </c>
    </row>
    <row r="1831" spans="1:1" x14ac:dyDescent="0.25">
      <c r="A1831" t="s">
        <v>3359</v>
      </c>
    </row>
    <row r="1832" spans="1:1" x14ac:dyDescent="0.25">
      <c r="A1832" t="s">
        <v>3360</v>
      </c>
    </row>
    <row r="1833" spans="1:1" x14ac:dyDescent="0.25">
      <c r="A1833" t="s">
        <v>3361</v>
      </c>
    </row>
    <row r="1834" spans="1:1" x14ac:dyDescent="0.25">
      <c r="A1834" t="s">
        <v>3362</v>
      </c>
    </row>
    <row r="1835" spans="1:1" x14ac:dyDescent="0.25">
      <c r="A1835" t="s">
        <v>3363</v>
      </c>
    </row>
    <row r="1836" spans="1:1" x14ac:dyDescent="0.25">
      <c r="A1836" t="s">
        <v>3364</v>
      </c>
    </row>
    <row r="1837" spans="1:1" x14ac:dyDescent="0.25">
      <c r="A1837" t="s">
        <v>3365</v>
      </c>
    </row>
    <row r="1838" spans="1:1" x14ac:dyDescent="0.25">
      <c r="A1838" t="s">
        <v>3366</v>
      </c>
    </row>
    <row r="1839" spans="1:1" x14ac:dyDescent="0.25">
      <c r="A1839" t="s">
        <v>3367</v>
      </c>
    </row>
    <row r="1840" spans="1:1" x14ac:dyDescent="0.25">
      <c r="A1840" t="s">
        <v>3368</v>
      </c>
    </row>
    <row r="1841" spans="1:1" x14ac:dyDescent="0.25">
      <c r="A1841" t="s">
        <v>3369</v>
      </c>
    </row>
    <row r="1842" spans="1:1" x14ac:dyDescent="0.25">
      <c r="A1842" t="s">
        <v>3370</v>
      </c>
    </row>
    <row r="1843" spans="1:1" x14ac:dyDescent="0.25">
      <c r="A1843" t="s">
        <v>3371</v>
      </c>
    </row>
    <row r="1844" spans="1:1" x14ac:dyDescent="0.25">
      <c r="A1844" t="s">
        <v>3372</v>
      </c>
    </row>
    <row r="1845" spans="1:1" x14ac:dyDescent="0.25">
      <c r="A1845" t="s">
        <v>3373</v>
      </c>
    </row>
    <row r="1846" spans="1:1" x14ac:dyDescent="0.25">
      <c r="A1846" t="s">
        <v>3374</v>
      </c>
    </row>
    <row r="1847" spans="1:1" x14ac:dyDescent="0.25">
      <c r="A1847" t="s">
        <v>3375</v>
      </c>
    </row>
    <row r="1848" spans="1:1" x14ac:dyDescent="0.25">
      <c r="A1848" t="s">
        <v>3376</v>
      </c>
    </row>
    <row r="1849" spans="1:1" x14ac:dyDescent="0.25">
      <c r="A1849" t="s">
        <v>3377</v>
      </c>
    </row>
    <row r="1850" spans="1:1" x14ac:dyDescent="0.25">
      <c r="A1850" t="s">
        <v>3378</v>
      </c>
    </row>
    <row r="1851" spans="1:1" x14ac:dyDescent="0.25">
      <c r="A1851" t="s">
        <v>3379</v>
      </c>
    </row>
    <row r="1852" spans="1:1" x14ac:dyDescent="0.25">
      <c r="A1852" t="s">
        <v>3380</v>
      </c>
    </row>
    <row r="1853" spans="1:1" x14ac:dyDescent="0.25">
      <c r="A1853" t="s">
        <v>3381</v>
      </c>
    </row>
    <row r="1854" spans="1:1" x14ac:dyDescent="0.25">
      <c r="A1854" t="s">
        <v>3382</v>
      </c>
    </row>
    <row r="1855" spans="1:1" x14ac:dyDescent="0.25">
      <c r="A1855" t="s">
        <v>3383</v>
      </c>
    </row>
    <row r="1856" spans="1:1" x14ac:dyDescent="0.25">
      <c r="A1856" t="s">
        <v>3384</v>
      </c>
    </row>
    <row r="1857" spans="1:1" x14ac:dyDescent="0.25">
      <c r="A1857" t="s">
        <v>3385</v>
      </c>
    </row>
    <row r="1858" spans="1:1" x14ac:dyDescent="0.25">
      <c r="A1858" t="s">
        <v>3386</v>
      </c>
    </row>
    <row r="1859" spans="1:1" x14ac:dyDescent="0.25">
      <c r="A1859" t="s">
        <v>3387</v>
      </c>
    </row>
    <row r="1860" spans="1:1" x14ac:dyDescent="0.25">
      <c r="A1860" t="s">
        <v>3388</v>
      </c>
    </row>
    <row r="1861" spans="1:1" x14ac:dyDescent="0.25">
      <c r="A1861" t="s">
        <v>3389</v>
      </c>
    </row>
    <row r="1862" spans="1:1" x14ac:dyDescent="0.25">
      <c r="A1862" t="s">
        <v>3390</v>
      </c>
    </row>
    <row r="1863" spans="1:1" x14ac:dyDescent="0.25">
      <c r="A1863" t="s">
        <v>3391</v>
      </c>
    </row>
    <row r="1864" spans="1:1" x14ac:dyDescent="0.25">
      <c r="A1864" t="s">
        <v>3392</v>
      </c>
    </row>
    <row r="1865" spans="1:1" x14ac:dyDescent="0.25">
      <c r="A1865" t="s">
        <v>3393</v>
      </c>
    </row>
    <row r="1866" spans="1:1" x14ac:dyDescent="0.25">
      <c r="A1866" t="s">
        <v>3394</v>
      </c>
    </row>
    <row r="1867" spans="1:1" x14ac:dyDescent="0.25">
      <c r="A1867" t="s">
        <v>3395</v>
      </c>
    </row>
    <row r="1868" spans="1:1" x14ac:dyDescent="0.25">
      <c r="A1868" t="s">
        <v>3396</v>
      </c>
    </row>
    <row r="1869" spans="1:1" x14ac:dyDescent="0.25">
      <c r="A1869" t="s">
        <v>3397</v>
      </c>
    </row>
    <row r="1870" spans="1:1" x14ac:dyDescent="0.25">
      <c r="A1870" t="s">
        <v>3398</v>
      </c>
    </row>
    <row r="1871" spans="1:1" x14ac:dyDescent="0.25">
      <c r="A1871" t="s">
        <v>3399</v>
      </c>
    </row>
    <row r="1872" spans="1:1" x14ac:dyDescent="0.25">
      <c r="A1872" t="s">
        <v>3400</v>
      </c>
    </row>
    <row r="1873" spans="1:1" x14ac:dyDescent="0.25">
      <c r="A1873" t="s">
        <v>3401</v>
      </c>
    </row>
    <row r="1874" spans="1:1" x14ac:dyDescent="0.25">
      <c r="A1874" t="s">
        <v>3402</v>
      </c>
    </row>
    <row r="1875" spans="1:1" x14ac:dyDescent="0.25">
      <c r="A1875" t="s">
        <v>3403</v>
      </c>
    </row>
    <row r="1876" spans="1:1" x14ac:dyDescent="0.25">
      <c r="A1876" t="s">
        <v>3404</v>
      </c>
    </row>
    <row r="1877" spans="1:1" x14ac:dyDescent="0.25">
      <c r="A1877" t="s">
        <v>3405</v>
      </c>
    </row>
    <row r="1878" spans="1:1" x14ac:dyDescent="0.25">
      <c r="A1878" t="s">
        <v>3406</v>
      </c>
    </row>
    <row r="1879" spans="1:1" x14ac:dyDescent="0.25">
      <c r="A1879" t="s">
        <v>3407</v>
      </c>
    </row>
    <row r="1880" spans="1:1" x14ac:dyDescent="0.25">
      <c r="A1880" t="s">
        <v>3408</v>
      </c>
    </row>
    <row r="1881" spans="1:1" x14ac:dyDescent="0.25">
      <c r="A1881" t="s">
        <v>3409</v>
      </c>
    </row>
    <row r="1882" spans="1:1" x14ac:dyDescent="0.25">
      <c r="A1882" t="s">
        <v>3410</v>
      </c>
    </row>
    <row r="1883" spans="1:1" x14ac:dyDescent="0.25">
      <c r="A1883" t="s">
        <v>3411</v>
      </c>
    </row>
    <row r="1884" spans="1:1" x14ac:dyDescent="0.25">
      <c r="A1884" t="s">
        <v>3412</v>
      </c>
    </row>
    <row r="1885" spans="1:1" x14ac:dyDescent="0.25">
      <c r="A1885" t="s">
        <v>3413</v>
      </c>
    </row>
    <row r="1886" spans="1:1" x14ac:dyDescent="0.25">
      <c r="A1886" t="s">
        <v>3414</v>
      </c>
    </row>
    <row r="1887" spans="1:1" x14ac:dyDescent="0.25">
      <c r="A1887" t="s">
        <v>3415</v>
      </c>
    </row>
    <row r="1888" spans="1:1" x14ac:dyDescent="0.25">
      <c r="A1888" t="s">
        <v>3416</v>
      </c>
    </row>
    <row r="1889" spans="1:1" x14ac:dyDescent="0.25">
      <c r="A1889" t="s">
        <v>3417</v>
      </c>
    </row>
    <row r="1890" spans="1:1" x14ac:dyDescent="0.25">
      <c r="A1890" t="s">
        <v>3418</v>
      </c>
    </row>
    <row r="1891" spans="1:1" x14ac:dyDescent="0.25">
      <c r="A1891" t="s">
        <v>3419</v>
      </c>
    </row>
    <row r="1892" spans="1:1" x14ac:dyDescent="0.25">
      <c r="A1892" t="s">
        <v>3420</v>
      </c>
    </row>
    <row r="1893" spans="1:1" x14ac:dyDescent="0.25">
      <c r="A1893" t="s">
        <v>3421</v>
      </c>
    </row>
    <row r="1894" spans="1:1" x14ac:dyDescent="0.25">
      <c r="A1894" t="s">
        <v>3422</v>
      </c>
    </row>
    <row r="1895" spans="1:1" x14ac:dyDescent="0.25">
      <c r="A1895" t="s">
        <v>3423</v>
      </c>
    </row>
    <row r="1896" spans="1:1" x14ac:dyDescent="0.25">
      <c r="A1896" t="s">
        <v>3424</v>
      </c>
    </row>
    <row r="1897" spans="1:1" x14ac:dyDescent="0.25">
      <c r="A1897" t="s">
        <v>3425</v>
      </c>
    </row>
    <row r="1898" spans="1:1" x14ac:dyDescent="0.25">
      <c r="A1898" t="s">
        <v>3426</v>
      </c>
    </row>
    <row r="1899" spans="1:1" x14ac:dyDescent="0.25">
      <c r="A1899" t="s">
        <v>3427</v>
      </c>
    </row>
    <row r="1900" spans="1:1" x14ac:dyDescent="0.25">
      <c r="A1900" t="s">
        <v>3428</v>
      </c>
    </row>
    <row r="1901" spans="1:1" x14ac:dyDescent="0.25">
      <c r="A1901" t="s">
        <v>3429</v>
      </c>
    </row>
    <row r="1902" spans="1:1" x14ac:dyDescent="0.25">
      <c r="A1902" t="s">
        <v>3430</v>
      </c>
    </row>
    <row r="1903" spans="1:1" x14ac:dyDescent="0.25">
      <c r="A1903" t="s">
        <v>3431</v>
      </c>
    </row>
    <row r="1904" spans="1:1" x14ac:dyDescent="0.25">
      <c r="A1904" t="s">
        <v>3432</v>
      </c>
    </row>
    <row r="1905" spans="1:1" x14ac:dyDescent="0.25">
      <c r="A1905" t="s">
        <v>3433</v>
      </c>
    </row>
    <row r="1906" spans="1:1" x14ac:dyDescent="0.25">
      <c r="A1906" t="s">
        <v>3434</v>
      </c>
    </row>
    <row r="1907" spans="1:1" x14ac:dyDescent="0.25">
      <c r="A1907" t="s">
        <v>3435</v>
      </c>
    </row>
    <row r="1908" spans="1:1" x14ac:dyDescent="0.25">
      <c r="A1908" t="s">
        <v>3436</v>
      </c>
    </row>
    <row r="1909" spans="1:1" x14ac:dyDescent="0.25">
      <c r="A1909" t="s">
        <v>3437</v>
      </c>
    </row>
    <row r="1910" spans="1:1" x14ac:dyDescent="0.25">
      <c r="A1910" t="s">
        <v>3438</v>
      </c>
    </row>
    <row r="1911" spans="1:1" x14ac:dyDescent="0.25">
      <c r="A1911" t="s">
        <v>3439</v>
      </c>
    </row>
    <row r="1912" spans="1:1" x14ac:dyDescent="0.25">
      <c r="A1912" t="s">
        <v>3440</v>
      </c>
    </row>
    <row r="1913" spans="1:1" x14ac:dyDescent="0.25">
      <c r="A1913" t="s">
        <v>3441</v>
      </c>
    </row>
    <row r="1914" spans="1:1" x14ac:dyDescent="0.25">
      <c r="A1914" t="s">
        <v>3442</v>
      </c>
    </row>
    <row r="1915" spans="1:1" x14ac:dyDescent="0.25">
      <c r="A1915" t="s">
        <v>3443</v>
      </c>
    </row>
    <row r="1916" spans="1:1" x14ac:dyDescent="0.25">
      <c r="A1916" t="s">
        <v>3444</v>
      </c>
    </row>
    <row r="1917" spans="1:1" x14ac:dyDescent="0.25">
      <c r="A1917" t="s">
        <v>3445</v>
      </c>
    </row>
    <row r="1918" spans="1:1" x14ac:dyDescent="0.25">
      <c r="A1918" t="s">
        <v>3446</v>
      </c>
    </row>
    <row r="1919" spans="1:1" x14ac:dyDescent="0.25">
      <c r="A1919" t="s">
        <v>3447</v>
      </c>
    </row>
    <row r="1920" spans="1:1" x14ac:dyDescent="0.25">
      <c r="A1920" t="s">
        <v>3448</v>
      </c>
    </row>
    <row r="1921" spans="1:1" x14ac:dyDescent="0.25">
      <c r="A1921" t="s">
        <v>3449</v>
      </c>
    </row>
    <row r="1922" spans="1:1" x14ac:dyDescent="0.25">
      <c r="A1922" t="s">
        <v>3450</v>
      </c>
    </row>
    <row r="1923" spans="1:1" x14ac:dyDescent="0.25">
      <c r="A1923" t="s">
        <v>3451</v>
      </c>
    </row>
    <row r="1924" spans="1:1" x14ac:dyDescent="0.25">
      <c r="A1924" t="s">
        <v>3452</v>
      </c>
    </row>
    <row r="1925" spans="1:1" x14ac:dyDescent="0.25">
      <c r="A1925" t="s">
        <v>3453</v>
      </c>
    </row>
    <row r="1926" spans="1:1" x14ac:dyDescent="0.25">
      <c r="A1926" t="s">
        <v>3454</v>
      </c>
    </row>
    <row r="1927" spans="1:1" x14ac:dyDescent="0.25">
      <c r="A1927" t="s">
        <v>3455</v>
      </c>
    </row>
    <row r="1928" spans="1:1" x14ac:dyDescent="0.25">
      <c r="A1928" t="s">
        <v>3456</v>
      </c>
    </row>
    <row r="1929" spans="1:1" x14ac:dyDescent="0.25">
      <c r="A1929" t="s">
        <v>3457</v>
      </c>
    </row>
    <row r="1930" spans="1:1" x14ac:dyDescent="0.25">
      <c r="A1930" t="s">
        <v>3458</v>
      </c>
    </row>
    <row r="1931" spans="1:1" x14ac:dyDescent="0.25">
      <c r="A1931" t="s">
        <v>3459</v>
      </c>
    </row>
    <row r="1932" spans="1:1" x14ac:dyDescent="0.25">
      <c r="A1932" t="s">
        <v>3460</v>
      </c>
    </row>
    <row r="1933" spans="1:1" x14ac:dyDescent="0.25">
      <c r="A1933" t="s">
        <v>3461</v>
      </c>
    </row>
    <row r="1934" spans="1:1" x14ac:dyDescent="0.25">
      <c r="A1934" t="s">
        <v>3462</v>
      </c>
    </row>
    <row r="1935" spans="1:1" x14ac:dyDescent="0.25">
      <c r="A1935" t="s">
        <v>3463</v>
      </c>
    </row>
    <row r="1936" spans="1:1" x14ac:dyDescent="0.25">
      <c r="A1936" t="s">
        <v>3464</v>
      </c>
    </row>
    <row r="1937" spans="1:1" x14ac:dyDescent="0.25">
      <c r="A1937" t="s">
        <v>3465</v>
      </c>
    </row>
    <row r="1938" spans="1:1" x14ac:dyDescent="0.25">
      <c r="A1938" t="s">
        <v>3466</v>
      </c>
    </row>
    <row r="1939" spans="1:1" x14ac:dyDescent="0.25">
      <c r="A1939" t="s">
        <v>3467</v>
      </c>
    </row>
    <row r="1940" spans="1:1" x14ac:dyDescent="0.25">
      <c r="A1940" t="s">
        <v>3468</v>
      </c>
    </row>
    <row r="1941" spans="1:1" x14ac:dyDescent="0.25">
      <c r="A1941" t="s">
        <v>3469</v>
      </c>
    </row>
    <row r="1942" spans="1:1" x14ac:dyDescent="0.25">
      <c r="A1942" t="s">
        <v>3470</v>
      </c>
    </row>
    <row r="1943" spans="1:1" x14ac:dyDescent="0.25">
      <c r="A1943" t="s">
        <v>3471</v>
      </c>
    </row>
    <row r="1944" spans="1:1" x14ac:dyDescent="0.25">
      <c r="A1944" t="s">
        <v>3472</v>
      </c>
    </row>
    <row r="1945" spans="1:1" x14ac:dyDescent="0.25">
      <c r="A1945" t="s">
        <v>3473</v>
      </c>
    </row>
    <row r="1946" spans="1:1" x14ac:dyDescent="0.25">
      <c r="A1946" t="s">
        <v>3474</v>
      </c>
    </row>
    <row r="1947" spans="1:1" x14ac:dyDescent="0.25">
      <c r="A1947" t="s">
        <v>3475</v>
      </c>
    </row>
    <row r="1948" spans="1:1" x14ac:dyDescent="0.25">
      <c r="A1948" t="s">
        <v>3476</v>
      </c>
    </row>
    <row r="1949" spans="1:1" x14ac:dyDescent="0.25">
      <c r="A1949" t="s">
        <v>3477</v>
      </c>
    </row>
    <row r="1950" spans="1:1" x14ac:dyDescent="0.25">
      <c r="A1950" t="s">
        <v>3478</v>
      </c>
    </row>
    <row r="1951" spans="1:1" x14ac:dyDescent="0.25">
      <c r="A1951" t="s">
        <v>3479</v>
      </c>
    </row>
    <row r="1952" spans="1:1" x14ac:dyDescent="0.25">
      <c r="A1952" t="s">
        <v>3480</v>
      </c>
    </row>
    <row r="1953" spans="1:1" x14ac:dyDescent="0.25">
      <c r="A1953" t="s">
        <v>3481</v>
      </c>
    </row>
    <row r="1954" spans="1:1" x14ac:dyDescent="0.25">
      <c r="A1954" t="s">
        <v>3482</v>
      </c>
    </row>
    <row r="1955" spans="1:1" x14ac:dyDescent="0.25">
      <c r="A1955" t="s">
        <v>3483</v>
      </c>
    </row>
    <row r="1956" spans="1:1" x14ac:dyDescent="0.25">
      <c r="A1956" t="s">
        <v>3484</v>
      </c>
    </row>
    <row r="1957" spans="1:1" x14ac:dyDescent="0.25">
      <c r="A1957" t="s">
        <v>3485</v>
      </c>
    </row>
    <row r="1958" spans="1:1" x14ac:dyDescent="0.25">
      <c r="A1958" t="s">
        <v>3486</v>
      </c>
    </row>
    <row r="1959" spans="1:1" x14ac:dyDescent="0.25">
      <c r="A1959" t="s">
        <v>3487</v>
      </c>
    </row>
    <row r="1960" spans="1:1" x14ac:dyDescent="0.25">
      <c r="A1960" t="s">
        <v>3488</v>
      </c>
    </row>
    <row r="1961" spans="1:1" x14ac:dyDescent="0.25">
      <c r="A1961" t="s">
        <v>3489</v>
      </c>
    </row>
    <row r="1962" spans="1:1" x14ac:dyDescent="0.25">
      <c r="A1962" t="s">
        <v>3490</v>
      </c>
    </row>
    <row r="1963" spans="1:1" x14ac:dyDescent="0.25">
      <c r="A1963" t="s">
        <v>3491</v>
      </c>
    </row>
    <row r="1964" spans="1:1" x14ac:dyDescent="0.25">
      <c r="A1964" t="s">
        <v>3492</v>
      </c>
    </row>
    <row r="1965" spans="1:1" x14ac:dyDescent="0.25">
      <c r="A1965" t="s">
        <v>3493</v>
      </c>
    </row>
    <row r="1966" spans="1:1" x14ac:dyDescent="0.25">
      <c r="A1966" t="s">
        <v>3494</v>
      </c>
    </row>
    <row r="1967" spans="1:1" x14ac:dyDescent="0.25">
      <c r="A1967" t="s">
        <v>3495</v>
      </c>
    </row>
    <row r="1968" spans="1:1" x14ac:dyDescent="0.25">
      <c r="A1968" t="s">
        <v>3496</v>
      </c>
    </row>
    <row r="1969" spans="1:1" x14ac:dyDescent="0.25">
      <c r="A1969" t="s">
        <v>3497</v>
      </c>
    </row>
    <row r="1970" spans="1:1" x14ac:dyDescent="0.25">
      <c r="A1970" t="s">
        <v>3498</v>
      </c>
    </row>
    <row r="1971" spans="1:1" x14ac:dyDescent="0.25">
      <c r="A1971" t="s">
        <v>3499</v>
      </c>
    </row>
    <row r="1972" spans="1:1" x14ac:dyDescent="0.25">
      <c r="A1972" t="s">
        <v>3500</v>
      </c>
    </row>
    <row r="1973" spans="1:1" x14ac:dyDescent="0.25">
      <c r="A1973" t="s">
        <v>3501</v>
      </c>
    </row>
    <row r="1974" spans="1:1" x14ac:dyDescent="0.25">
      <c r="A1974" t="s">
        <v>3502</v>
      </c>
    </row>
    <row r="1975" spans="1:1" x14ac:dyDescent="0.25">
      <c r="A1975" t="s">
        <v>3503</v>
      </c>
    </row>
    <row r="1976" spans="1:1" x14ac:dyDescent="0.25">
      <c r="A1976" t="s">
        <v>3504</v>
      </c>
    </row>
    <row r="1977" spans="1:1" x14ac:dyDescent="0.25">
      <c r="A1977" t="s">
        <v>3505</v>
      </c>
    </row>
    <row r="1978" spans="1:1" x14ac:dyDescent="0.25">
      <c r="A1978" t="s">
        <v>3506</v>
      </c>
    </row>
    <row r="1979" spans="1:1" x14ac:dyDescent="0.25">
      <c r="A1979" t="s">
        <v>3507</v>
      </c>
    </row>
    <row r="1980" spans="1:1" x14ac:dyDescent="0.25">
      <c r="A1980" t="s">
        <v>3508</v>
      </c>
    </row>
    <row r="1981" spans="1:1" x14ac:dyDescent="0.25">
      <c r="A1981" t="s">
        <v>3509</v>
      </c>
    </row>
    <row r="1982" spans="1:1" x14ac:dyDescent="0.25">
      <c r="A1982" t="s">
        <v>3510</v>
      </c>
    </row>
    <row r="1983" spans="1:1" x14ac:dyDescent="0.25">
      <c r="A1983" t="s">
        <v>3511</v>
      </c>
    </row>
    <row r="1984" spans="1:1" x14ac:dyDescent="0.25">
      <c r="A1984" t="s">
        <v>3512</v>
      </c>
    </row>
    <row r="1985" spans="1:1" x14ac:dyDescent="0.25">
      <c r="A1985" t="s">
        <v>3513</v>
      </c>
    </row>
    <row r="1986" spans="1:1" x14ac:dyDescent="0.25">
      <c r="A1986" t="s">
        <v>3514</v>
      </c>
    </row>
    <row r="1987" spans="1:1" x14ac:dyDescent="0.25">
      <c r="A1987" t="s">
        <v>3515</v>
      </c>
    </row>
    <row r="1988" spans="1:1" x14ac:dyDescent="0.25">
      <c r="A1988" t="s">
        <v>3516</v>
      </c>
    </row>
    <row r="1989" spans="1:1" x14ac:dyDescent="0.25">
      <c r="A1989" t="s">
        <v>3517</v>
      </c>
    </row>
    <row r="1990" spans="1:1" x14ac:dyDescent="0.25">
      <c r="A1990" t="s">
        <v>3518</v>
      </c>
    </row>
    <row r="1991" spans="1:1" x14ac:dyDescent="0.25">
      <c r="A1991" t="s">
        <v>3519</v>
      </c>
    </row>
    <row r="1992" spans="1:1" x14ac:dyDescent="0.25">
      <c r="A1992" t="s">
        <v>3520</v>
      </c>
    </row>
    <row r="1993" spans="1:1" x14ac:dyDescent="0.25">
      <c r="A1993" t="s">
        <v>3521</v>
      </c>
    </row>
    <row r="1994" spans="1:1" x14ac:dyDescent="0.25">
      <c r="A1994" t="s">
        <v>3522</v>
      </c>
    </row>
    <row r="1995" spans="1:1" x14ac:dyDescent="0.25">
      <c r="A1995" t="s">
        <v>3523</v>
      </c>
    </row>
    <row r="1996" spans="1:1" x14ac:dyDescent="0.25">
      <c r="A1996" t="s">
        <v>3524</v>
      </c>
    </row>
    <row r="1997" spans="1:1" x14ac:dyDescent="0.25">
      <c r="A1997" t="s">
        <v>3525</v>
      </c>
    </row>
    <row r="1998" spans="1:1" x14ac:dyDescent="0.25">
      <c r="A1998" t="s">
        <v>3526</v>
      </c>
    </row>
    <row r="1999" spans="1:1" x14ac:dyDescent="0.25">
      <c r="A1999" t="s">
        <v>3527</v>
      </c>
    </row>
    <row r="2000" spans="1:1" x14ac:dyDescent="0.25">
      <c r="A2000" t="s">
        <v>3528</v>
      </c>
    </row>
    <row r="2001" spans="1:1" x14ac:dyDescent="0.25">
      <c r="A2001" t="s">
        <v>3529</v>
      </c>
    </row>
    <row r="2002" spans="1:1" x14ac:dyDescent="0.25">
      <c r="A2002" t="s">
        <v>3530</v>
      </c>
    </row>
    <row r="2003" spans="1:1" x14ac:dyDescent="0.25">
      <c r="A2003" t="s">
        <v>3531</v>
      </c>
    </row>
    <row r="2004" spans="1:1" x14ac:dyDescent="0.25">
      <c r="A2004" t="s">
        <v>3532</v>
      </c>
    </row>
    <row r="2005" spans="1:1" x14ac:dyDescent="0.25">
      <c r="A2005" t="s">
        <v>3533</v>
      </c>
    </row>
    <row r="2006" spans="1:1" x14ac:dyDescent="0.25">
      <c r="A2006" t="s">
        <v>3534</v>
      </c>
    </row>
    <row r="2007" spans="1:1" x14ac:dyDescent="0.25">
      <c r="A2007" t="s">
        <v>3535</v>
      </c>
    </row>
    <row r="2008" spans="1:1" x14ac:dyDescent="0.25">
      <c r="A2008" t="s">
        <v>3536</v>
      </c>
    </row>
    <row r="2009" spans="1:1" x14ac:dyDescent="0.25">
      <c r="A2009" t="s">
        <v>3537</v>
      </c>
    </row>
    <row r="2010" spans="1:1" x14ac:dyDescent="0.25">
      <c r="A2010" t="s">
        <v>3538</v>
      </c>
    </row>
    <row r="2011" spans="1:1" x14ac:dyDescent="0.25">
      <c r="A2011" t="s">
        <v>3539</v>
      </c>
    </row>
    <row r="2012" spans="1:1" x14ac:dyDescent="0.25">
      <c r="A2012" t="s">
        <v>3540</v>
      </c>
    </row>
    <row r="2013" spans="1:1" x14ac:dyDescent="0.25">
      <c r="A2013" t="s">
        <v>3541</v>
      </c>
    </row>
    <row r="2014" spans="1:1" x14ac:dyDescent="0.25">
      <c r="A2014" t="s">
        <v>3542</v>
      </c>
    </row>
    <row r="2015" spans="1:1" x14ac:dyDescent="0.25">
      <c r="A2015" t="s">
        <v>3543</v>
      </c>
    </row>
    <row r="2016" spans="1:1" x14ac:dyDescent="0.25">
      <c r="A2016" t="s">
        <v>3544</v>
      </c>
    </row>
    <row r="2017" spans="1:1" x14ac:dyDescent="0.25">
      <c r="A2017" t="s">
        <v>3545</v>
      </c>
    </row>
    <row r="2018" spans="1:1" x14ac:dyDescent="0.25">
      <c r="A2018" t="s">
        <v>3546</v>
      </c>
    </row>
    <row r="2019" spans="1:1" x14ac:dyDescent="0.25">
      <c r="A2019" t="s">
        <v>3547</v>
      </c>
    </row>
    <row r="2020" spans="1:1" x14ac:dyDescent="0.25">
      <c r="A2020" t="s">
        <v>3548</v>
      </c>
    </row>
    <row r="2021" spans="1:1" x14ac:dyDescent="0.25">
      <c r="A2021" t="s">
        <v>3549</v>
      </c>
    </row>
    <row r="2022" spans="1:1" x14ac:dyDescent="0.25">
      <c r="A2022" t="s">
        <v>3550</v>
      </c>
    </row>
    <row r="2023" spans="1:1" x14ac:dyDescent="0.25">
      <c r="A2023" t="s">
        <v>3551</v>
      </c>
    </row>
    <row r="2024" spans="1:1" x14ac:dyDescent="0.25">
      <c r="A2024" t="s">
        <v>3552</v>
      </c>
    </row>
    <row r="2025" spans="1:1" x14ac:dyDescent="0.25">
      <c r="A2025" t="s">
        <v>3553</v>
      </c>
    </row>
    <row r="2026" spans="1:1" x14ac:dyDescent="0.25">
      <c r="A2026" t="s">
        <v>3554</v>
      </c>
    </row>
    <row r="2027" spans="1:1" x14ac:dyDescent="0.25">
      <c r="A2027" t="s">
        <v>3555</v>
      </c>
    </row>
    <row r="2028" spans="1:1" x14ac:dyDescent="0.25">
      <c r="A2028" t="s">
        <v>3556</v>
      </c>
    </row>
    <row r="2029" spans="1:1" x14ac:dyDescent="0.25">
      <c r="A2029" t="s">
        <v>3557</v>
      </c>
    </row>
    <row r="2030" spans="1:1" x14ac:dyDescent="0.25">
      <c r="A2030" t="s">
        <v>3558</v>
      </c>
    </row>
    <row r="2031" spans="1:1" x14ac:dyDescent="0.25">
      <c r="A2031" t="s">
        <v>3559</v>
      </c>
    </row>
    <row r="2032" spans="1:1" x14ac:dyDescent="0.25">
      <c r="A2032" t="s">
        <v>3560</v>
      </c>
    </row>
    <row r="2033" spans="1:1" x14ac:dyDescent="0.25">
      <c r="A2033" t="s">
        <v>3561</v>
      </c>
    </row>
    <row r="2034" spans="1:1" x14ac:dyDescent="0.25">
      <c r="A2034" t="s">
        <v>3562</v>
      </c>
    </row>
    <row r="2035" spans="1:1" x14ac:dyDescent="0.25">
      <c r="A2035" t="s">
        <v>3563</v>
      </c>
    </row>
    <row r="2036" spans="1:1" x14ac:dyDescent="0.25">
      <c r="A2036" t="s">
        <v>3564</v>
      </c>
    </row>
    <row r="2037" spans="1:1" x14ac:dyDescent="0.25">
      <c r="A2037" t="s">
        <v>3565</v>
      </c>
    </row>
    <row r="2038" spans="1:1" x14ac:dyDescent="0.25">
      <c r="A2038" t="s">
        <v>3566</v>
      </c>
    </row>
    <row r="2039" spans="1:1" x14ac:dyDescent="0.25">
      <c r="A2039" t="s">
        <v>3567</v>
      </c>
    </row>
    <row r="2040" spans="1:1" x14ac:dyDescent="0.25">
      <c r="A2040" t="s">
        <v>3568</v>
      </c>
    </row>
    <row r="2041" spans="1:1" x14ac:dyDescent="0.25">
      <c r="A2041" t="s">
        <v>3569</v>
      </c>
    </row>
    <row r="2042" spans="1:1" x14ac:dyDescent="0.25">
      <c r="A2042" t="s">
        <v>3570</v>
      </c>
    </row>
    <row r="2043" spans="1:1" x14ac:dyDescent="0.25">
      <c r="A2043" t="s">
        <v>3571</v>
      </c>
    </row>
    <row r="2044" spans="1:1" x14ac:dyDescent="0.25">
      <c r="A2044" t="s">
        <v>3572</v>
      </c>
    </row>
    <row r="2045" spans="1:1" x14ac:dyDescent="0.25">
      <c r="A2045" t="s">
        <v>3573</v>
      </c>
    </row>
    <row r="2046" spans="1:1" x14ac:dyDescent="0.25">
      <c r="A2046" t="s">
        <v>3574</v>
      </c>
    </row>
    <row r="2047" spans="1:1" x14ac:dyDescent="0.25">
      <c r="A2047" t="s">
        <v>3575</v>
      </c>
    </row>
    <row r="2048" spans="1:1" x14ac:dyDescent="0.25">
      <c r="A2048" t="s">
        <v>3576</v>
      </c>
    </row>
    <row r="2049" spans="1:1" x14ac:dyDescent="0.25">
      <c r="A2049" t="s">
        <v>3577</v>
      </c>
    </row>
    <row r="2050" spans="1:1" x14ac:dyDescent="0.25">
      <c r="A2050" t="s">
        <v>3578</v>
      </c>
    </row>
    <row r="2051" spans="1:1" x14ac:dyDescent="0.25">
      <c r="A2051" t="s">
        <v>3579</v>
      </c>
    </row>
    <row r="2052" spans="1:1" x14ac:dyDescent="0.25">
      <c r="A2052" t="s">
        <v>3580</v>
      </c>
    </row>
    <row r="2053" spans="1:1" x14ac:dyDescent="0.25">
      <c r="A2053" t="s">
        <v>3581</v>
      </c>
    </row>
    <row r="2054" spans="1:1" x14ac:dyDescent="0.25">
      <c r="A2054" t="s">
        <v>3582</v>
      </c>
    </row>
    <row r="2055" spans="1:1" x14ac:dyDescent="0.25">
      <c r="A2055" t="s">
        <v>3583</v>
      </c>
    </row>
    <row r="2056" spans="1:1" x14ac:dyDescent="0.25">
      <c r="A2056" t="s">
        <v>3584</v>
      </c>
    </row>
    <row r="2057" spans="1:1" x14ac:dyDescent="0.25">
      <c r="A2057" t="s">
        <v>3585</v>
      </c>
    </row>
    <row r="2058" spans="1:1" x14ac:dyDescent="0.25">
      <c r="A2058" t="s">
        <v>3586</v>
      </c>
    </row>
    <row r="2059" spans="1:1" x14ac:dyDescent="0.25">
      <c r="A2059" t="s">
        <v>3587</v>
      </c>
    </row>
    <row r="2060" spans="1:1" x14ac:dyDescent="0.25">
      <c r="A2060" t="s">
        <v>3588</v>
      </c>
    </row>
    <row r="2061" spans="1:1" x14ac:dyDescent="0.25">
      <c r="A2061" t="s">
        <v>3589</v>
      </c>
    </row>
    <row r="2062" spans="1:1" x14ac:dyDescent="0.25">
      <c r="A2062" t="s">
        <v>3590</v>
      </c>
    </row>
    <row r="2063" spans="1:1" x14ac:dyDescent="0.25">
      <c r="A2063" t="s">
        <v>3591</v>
      </c>
    </row>
    <row r="2064" spans="1:1" x14ac:dyDescent="0.25">
      <c r="A2064" t="s">
        <v>3592</v>
      </c>
    </row>
    <row r="2065" spans="1:1" x14ac:dyDescent="0.25">
      <c r="A2065" t="s">
        <v>3593</v>
      </c>
    </row>
    <row r="2066" spans="1:1" x14ac:dyDescent="0.25">
      <c r="A2066" t="s">
        <v>3594</v>
      </c>
    </row>
    <row r="2067" spans="1:1" x14ac:dyDescent="0.25">
      <c r="A2067" t="s">
        <v>3595</v>
      </c>
    </row>
    <row r="2068" spans="1:1" x14ac:dyDescent="0.25">
      <c r="A2068" t="s">
        <v>3596</v>
      </c>
    </row>
    <row r="2069" spans="1:1" x14ac:dyDescent="0.25">
      <c r="A2069" t="s">
        <v>3597</v>
      </c>
    </row>
    <row r="2070" spans="1:1" x14ac:dyDescent="0.25">
      <c r="A2070" t="s">
        <v>3598</v>
      </c>
    </row>
    <row r="2071" spans="1:1" x14ac:dyDescent="0.25">
      <c r="A2071" t="s">
        <v>3599</v>
      </c>
    </row>
    <row r="2072" spans="1:1" x14ac:dyDescent="0.25">
      <c r="A2072" t="s">
        <v>3600</v>
      </c>
    </row>
    <row r="2073" spans="1:1" x14ac:dyDescent="0.25">
      <c r="A2073" t="s">
        <v>3601</v>
      </c>
    </row>
    <row r="2074" spans="1:1" x14ac:dyDescent="0.25">
      <c r="A2074" t="s">
        <v>3602</v>
      </c>
    </row>
    <row r="2075" spans="1:1" x14ac:dyDescent="0.25">
      <c r="A2075" t="s">
        <v>3603</v>
      </c>
    </row>
    <row r="2076" spans="1:1" x14ac:dyDescent="0.25">
      <c r="A2076" t="s">
        <v>3604</v>
      </c>
    </row>
    <row r="2077" spans="1:1" x14ac:dyDescent="0.25">
      <c r="A2077" t="s">
        <v>3605</v>
      </c>
    </row>
    <row r="2078" spans="1:1" x14ac:dyDescent="0.25">
      <c r="A2078" t="s">
        <v>3606</v>
      </c>
    </row>
    <row r="2079" spans="1:1" x14ac:dyDescent="0.25">
      <c r="A2079" t="s">
        <v>3607</v>
      </c>
    </row>
    <row r="2080" spans="1:1" x14ac:dyDescent="0.25">
      <c r="A2080" t="s">
        <v>3608</v>
      </c>
    </row>
    <row r="2081" spans="1:1" x14ac:dyDescent="0.25">
      <c r="A2081" t="s">
        <v>3609</v>
      </c>
    </row>
    <row r="2082" spans="1:1" x14ac:dyDescent="0.25">
      <c r="A2082" t="s">
        <v>3610</v>
      </c>
    </row>
    <row r="2083" spans="1:1" x14ac:dyDescent="0.25">
      <c r="A2083" t="s">
        <v>3611</v>
      </c>
    </row>
    <row r="2084" spans="1:1" x14ac:dyDescent="0.25">
      <c r="A2084" t="s">
        <v>3612</v>
      </c>
    </row>
    <row r="2085" spans="1:1" x14ac:dyDescent="0.25">
      <c r="A2085" t="s">
        <v>3613</v>
      </c>
    </row>
    <row r="2086" spans="1:1" x14ac:dyDescent="0.25">
      <c r="A2086" t="s">
        <v>3614</v>
      </c>
    </row>
    <row r="2087" spans="1:1" x14ac:dyDescent="0.25">
      <c r="A2087" t="s">
        <v>3615</v>
      </c>
    </row>
    <row r="2088" spans="1:1" x14ac:dyDescent="0.25">
      <c r="A2088" t="s">
        <v>3616</v>
      </c>
    </row>
    <row r="2089" spans="1:1" x14ac:dyDescent="0.25">
      <c r="A2089" t="s">
        <v>3617</v>
      </c>
    </row>
    <row r="2090" spans="1:1" x14ac:dyDescent="0.25">
      <c r="A2090" t="s">
        <v>3618</v>
      </c>
    </row>
    <row r="2091" spans="1:1" x14ac:dyDescent="0.25">
      <c r="A2091" t="s">
        <v>3619</v>
      </c>
    </row>
    <row r="2092" spans="1:1" x14ac:dyDescent="0.25">
      <c r="A2092" t="s">
        <v>3620</v>
      </c>
    </row>
    <row r="2093" spans="1:1" x14ac:dyDescent="0.25">
      <c r="A2093" t="s">
        <v>3621</v>
      </c>
    </row>
    <row r="2094" spans="1:1" x14ac:dyDescent="0.25">
      <c r="A2094" t="s">
        <v>3622</v>
      </c>
    </row>
    <row r="2095" spans="1:1" x14ac:dyDescent="0.25">
      <c r="A2095" t="s">
        <v>3623</v>
      </c>
    </row>
    <row r="2096" spans="1:1" x14ac:dyDescent="0.25">
      <c r="A2096" t="s">
        <v>3624</v>
      </c>
    </row>
    <row r="2097" spans="1:1" x14ac:dyDescent="0.25">
      <c r="A2097" t="s">
        <v>3625</v>
      </c>
    </row>
    <row r="2098" spans="1:1" x14ac:dyDescent="0.25">
      <c r="A2098" t="s">
        <v>3626</v>
      </c>
    </row>
    <row r="2099" spans="1:1" x14ac:dyDescent="0.25">
      <c r="A2099" t="s">
        <v>3627</v>
      </c>
    </row>
    <row r="2100" spans="1:1" x14ac:dyDescent="0.25">
      <c r="A2100" t="s">
        <v>3628</v>
      </c>
    </row>
    <row r="2101" spans="1:1" x14ac:dyDescent="0.25">
      <c r="A2101" t="s">
        <v>3629</v>
      </c>
    </row>
    <row r="2102" spans="1:1" x14ac:dyDescent="0.25">
      <c r="A2102" t="s">
        <v>3630</v>
      </c>
    </row>
    <row r="2103" spans="1:1" x14ac:dyDescent="0.25">
      <c r="A2103" t="s">
        <v>3631</v>
      </c>
    </row>
    <row r="2104" spans="1:1" x14ac:dyDescent="0.25">
      <c r="A2104" t="s">
        <v>3632</v>
      </c>
    </row>
    <row r="2105" spans="1:1" x14ac:dyDescent="0.25">
      <c r="A2105" t="s">
        <v>3633</v>
      </c>
    </row>
    <row r="2106" spans="1:1" x14ac:dyDescent="0.25">
      <c r="A2106" t="s">
        <v>3634</v>
      </c>
    </row>
    <row r="2107" spans="1:1" x14ac:dyDescent="0.25">
      <c r="A2107" t="s">
        <v>3635</v>
      </c>
    </row>
    <row r="2108" spans="1:1" x14ac:dyDescent="0.25">
      <c r="A2108" t="s">
        <v>3636</v>
      </c>
    </row>
    <row r="2109" spans="1:1" x14ac:dyDescent="0.25">
      <c r="A2109" t="s">
        <v>3637</v>
      </c>
    </row>
    <row r="2110" spans="1:1" x14ac:dyDescent="0.25">
      <c r="A2110" t="s">
        <v>3638</v>
      </c>
    </row>
    <row r="2111" spans="1:1" x14ac:dyDescent="0.25">
      <c r="A2111" t="s">
        <v>3639</v>
      </c>
    </row>
    <row r="2112" spans="1:1" x14ac:dyDescent="0.25">
      <c r="A2112" t="s">
        <v>3640</v>
      </c>
    </row>
    <row r="2113" spans="1:1" x14ac:dyDescent="0.25">
      <c r="A2113" t="s">
        <v>3641</v>
      </c>
    </row>
    <row r="2114" spans="1:1" x14ac:dyDescent="0.25">
      <c r="A2114" t="s">
        <v>3642</v>
      </c>
    </row>
    <row r="2115" spans="1:1" x14ac:dyDescent="0.25">
      <c r="A2115" t="s">
        <v>3643</v>
      </c>
    </row>
    <row r="2116" spans="1:1" x14ac:dyDescent="0.25">
      <c r="A2116" t="s">
        <v>3644</v>
      </c>
    </row>
    <row r="2117" spans="1:1" x14ac:dyDescent="0.25">
      <c r="A2117" t="s">
        <v>3645</v>
      </c>
    </row>
    <row r="2118" spans="1:1" x14ac:dyDescent="0.25">
      <c r="A2118" t="s">
        <v>3646</v>
      </c>
    </row>
    <row r="2119" spans="1:1" x14ac:dyDescent="0.25">
      <c r="A2119" t="s">
        <v>3647</v>
      </c>
    </row>
    <row r="2120" spans="1:1" x14ac:dyDescent="0.25">
      <c r="A2120" t="s">
        <v>3648</v>
      </c>
    </row>
    <row r="2121" spans="1:1" x14ac:dyDescent="0.25">
      <c r="A2121" t="s">
        <v>3649</v>
      </c>
    </row>
    <row r="2122" spans="1:1" x14ac:dyDescent="0.25">
      <c r="A2122" t="s">
        <v>3650</v>
      </c>
    </row>
    <row r="2123" spans="1:1" x14ac:dyDescent="0.25">
      <c r="A2123" t="s">
        <v>3651</v>
      </c>
    </row>
    <row r="2124" spans="1:1" x14ac:dyDescent="0.25">
      <c r="A2124" t="s">
        <v>3652</v>
      </c>
    </row>
    <row r="2125" spans="1:1" x14ac:dyDescent="0.25">
      <c r="A2125" t="s">
        <v>3653</v>
      </c>
    </row>
    <row r="2126" spans="1:1" x14ac:dyDescent="0.25">
      <c r="A2126" t="s">
        <v>3654</v>
      </c>
    </row>
    <row r="2127" spans="1:1" x14ac:dyDescent="0.25">
      <c r="A2127" t="s">
        <v>3655</v>
      </c>
    </row>
    <row r="2128" spans="1:1" x14ac:dyDescent="0.25">
      <c r="A2128" t="s">
        <v>3656</v>
      </c>
    </row>
    <row r="2129" spans="1:1" x14ac:dyDescent="0.25">
      <c r="A2129" t="s">
        <v>3657</v>
      </c>
    </row>
    <row r="2130" spans="1:1" x14ac:dyDescent="0.25">
      <c r="A2130" t="s">
        <v>3658</v>
      </c>
    </row>
    <row r="2131" spans="1:1" x14ac:dyDescent="0.25">
      <c r="A2131" t="s">
        <v>3659</v>
      </c>
    </row>
    <row r="2132" spans="1:1" x14ac:dyDescent="0.25">
      <c r="A2132" t="s">
        <v>3660</v>
      </c>
    </row>
    <row r="2133" spans="1:1" x14ac:dyDescent="0.25">
      <c r="A2133" t="s">
        <v>3661</v>
      </c>
    </row>
    <row r="2134" spans="1:1" x14ac:dyDescent="0.25">
      <c r="A2134" t="s">
        <v>3662</v>
      </c>
    </row>
    <row r="2135" spans="1:1" x14ac:dyDescent="0.25">
      <c r="A2135" t="s">
        <v>3663</v>
      </c>
    </row>
    <row r="2136" spans="1:1" x14ac:dyDescent="0.25">
      <c r="A2136" t="s">
        <v>3664</v>
      </c>
    </row>
    <row r="2137" spans="1:1" x14ac:dyDescent="0.25">
      <c r="A2137" t="s">
        <v>3665</v>
      </c>
    </row>
    <row r="2138" spans="1:1" x14ac:dyDescent="0.25">
      <c r="A2138" t="s">
        <v>3666</v>
      </c>
    </row>
    <row r="2139" spans="1:1" x14ac:dyDescent="0.25">
      <c r="A2139" t="s">
        <v>3667</v>
      </c>
    </row>
    <row r="2140" spans="1:1" x14ac:dyDescent="0.25">
      <c r="A2140" t="s">
        <v>3668</v>
      </c>
    </row>
    <row r="2141" spans="1:1" x14ac:dyDescent="0.25">
      <c r="A2141" t="s">
        <v>3669</v>
      </c>
    </row>
    <row r="2142" spans="1:1" x14ac:dyDescent="0.25">
      <c r="A2142" t="s">
        <v>3670</v>
      </c>
    </row>
    <row r="2143" spans="1:1" x14ac:dyDescent="0.25">
      <c r="A2143" t="s">
        <v>3671</v>
      </c>
    </row>
    <row r="2144" spans="1:1" x14ac:dyDescent="0.25">
      <c r="A2144" t="s">
        <v>3672</v>
      </c>
    </row>
    <row r="2145" spans="1:1" x14ac:dyDescent="0.25">
      <c r="A2145" t="s">
        <v>3673</v>
      </c>
    </row>
    <row r="2146" spans="1:1" x14ac:dyDescent="0.25">
      <c r="A2146" t="s">
        <v>3674</v>
      </c>
    </row>
    <row r="2147" spans="1:1" x14ac:dyDescent="0.25">
      <c r="A2147" t="s">
        <v>3675</v>
      </c>
    </row>
    <row r="2148" spans="1:1" x14ac:dyDescent="0.25">
      <c r="A2148" t="s">
        <v>3676</v>
      </c>
    </row>
    <row r="2149" spans="1:1" x14ac:dyDescent="0.25">
      <c r="A2149" t="s">
        <v>3677</v>
      </c>
    </row>
    <row r="2150" spans="1:1" x14ac:dyDescent="0.25">
      <c r="A2150" t="s">
        <v>3678</v>
      </c>
    </row>
    <row r="2151" spans="1:1" x14ac:dyDescent="0.25">
      <c r="A2151" t="s">
        <v>3679</v>
      </c>
    </row>
    <row r="2152" spans="1:1" x14ac:dyDescent="0.25">
      <c r="A2152" t="s">
        <v>3680</v>
      </c>
    </row>
    <row r="2153" spans="1:1" x14ac:dyDescent="0.25">
      <c r="A2153" t="s">
        <v>3681</v>
      </c>
    </row>
    <row r="2154" spans="1:1" x14ac:dyDescent="0.25">
      <c r="A2154" t="s">
        <v>3682</v>
      </c>
    </row>
    <row r="2155" spans="1:1" x14ac:dyDescent="0.25">
      <c r="A2155" t="s">
        <v>3683</v>
      </c>
    </row>
    <row r="2156" spans="1:1" x14ac:dyDescent="0.25">
      <c r="A2156" t="s">
        <v>3684</v>
      </c>
    </row>
    <row r="2157" spans="1:1" x14ac:dyDescent="0.25">
      <c r="A2157" t="s">
        <v>3685</v>
      </c>
    </row>
    <row r="2158" spans="1:1" x14ac:dyDescent="0.25">
      <c r="A2158" t="s">
        <v>3686</v>
      </c>
    </row>
    <row r="2159" spans="1:1" x14ac:dyDescent="0.25">
      <c r="A2159" t="s">
        <v>3687</v>
      </c>
    </row>
    <row r="2160" spans="1:1" x14ac:dyDescent="0.25">
      <c r="A2160" t="s">
        <v>3688</v>
      </c>
    </row>
    <row r="2161" spans="1:1" x14ac:dyDescent="0.25">
      <c r="A2161" t="s">
        <v>3689</v>
      </c>
    </row>
    <row r="2162" spans="1:1" x14ac:dyDescent="0.25">
      <c r="A2162" t="s">
        <v>3690</v>
      </c>
    </row>
    <row r="2163" spans="1:1" x14ac:dyDescent="0.25">
      <c r="A2163" t="s">
        <v>3691</v>
      </c>
    </row>
    <row r="2164" spans="1:1" x14ac:dyDescent="0.25">
      <c r="A2164" t="s">
        <v>3692</v>
      </c>
    </row>
    <row r="2165" spans="1:1" x14ac:dyDescent="0.25">
      <c r="A2165" t="s">
        <v>3693</v>
      </c>
    </row>
    <row r="2166" spans="1:1" x14ac:dyDescent="0.25">
      <c r="A2166" t="s">
        <v>3694</v>
      </c>
    </row>
    <row r="2167" spans="1:1" x14ac:dyDescent="0.25">
      <c r="A2167" t="s">
        <v>3695</v>
      </c>
    </row>
    <row r="2168" spans="1:1" x14ac:dyDescent="0.25">
      <c r="A2168" t="s">
        <v>3696</v>
      </c>
    </row>
    <row r="2169" spans="1:1" x14ac:dyDescent="0.25">
      <c r="A2169" t="s">
        <v>3697</v>
      </c>
    </row>
    <row r="2170" spans="1:1" x14ac:dyDescent="0.25">
      <c r="A2170" t="s">
        <v>3698</v>
      </c>
    </row>
    <row r="2171" spans="1:1" x14ac:dyDescent="0.25">
      <c r="A2171" t="s">
        <v>3699</v>
      </c>
    </row>
    <row r="2172" spans="1:1" x14ac:dyDescent="0.25">
      <c r="A2172" t="s">
        <v>3700</v>
      </c>
    </row>
    <row r="2173" spans="1:1" x14ac:dyDescent="0.25">
      <c r="A2173" t="s">
        <v>3701</v>
      </c>
    </row>
    <row r="2174" spans="1:1" x14ac:dyDescent="0.25">
      <c r="A2174" t="s">
        <v>3702</v>
      </c>
    </row>
    <row r="2175" spans="1:1" x14ac:dyDescent="0.25">
      <c r="A2175" t="s">
        <v>3703</v>
      </c>
    </row>
    <row r="2176" spans="1:1" x14ac:dyDescent="0.25">
      <c r="A2176" t="s">
        <v>3704</v>
      </c>
    </row>
    <row r="2177" spans="1:1" x14ac:dyDescent="0.25">
      <c r="A2177" t="s">
        <v>3705</v>
      </c>
    </row>
    <row r="2178" spans="1:1" x14ac:dyDescent="0.25">
      <c r="A2178" t="s">
        <v>3706</v>
      </c>
    </row>
    <row r="2179" spans="1:1" x14ac:dyDescent="0.25">
      <c r="A2179" t="s">
        <v>3707</v>
      </c>
    </row>
    <row r="2180" spans="1:1" x14ac:dyDescent="0.25">
      <c r="A2180" t="s">
        <v>3708</v>
      </c>
    </row>
    <row r="2181" spans="1:1" x14ac:dyDescent="0.25">
      <c r="A2181" t="s">
        <v>3709</v>
      </c>
    </row>
    <row r="2182" spans="1:1" x14ac:dyDescent="0.25">
      <c r="A2182" t="s">
        <v>3710</v>
      </c>
    </row>
    <row r="2183" spans="1:1" x14ac:dyDescent="0.25">
      <c r="A2183" t="s">
        <v>3711</v>
      </c>
    </row>
    <row r="2184" spans="1:1" x14ac:dyDescent="0.25">
      <c r="A2184" t="s">
        <v>3712</v>
      </c>
    </row>
    <row r="2185" spans="1:1" x14ac:dyDescent="0.25">
      <c r="A2185" t="s">
        <v>3713</v>
      </c>
    </row>
    <row r="2186" spans="1:1" x14ac:dyDescent="0.25">
      <c r="A2186" t="s">
        <v>3714</v>
      </c>
    </row>
    <row r="2187" spans="1:1" x14ac:dyDescent="0.25">
      <c r="A2187" t="s">
        <v>3715</v>
      </c>
    </row>
    <row r="2188" spans="1:1" x14ac:dyDescent="0.25">
      <c r="A2188" t="s">
        <v>3716</v>
      </c>
    </row>
    <row r="2189" spans="1:1" x14ac:dyDescent="0.25">
      <c r="A2189" t="s">
        <v>3717</v>
      </c>
    </row>
    <row r="2190" spans="1:1" x14ac:dyDescent="0.25">
      <c r="A2190" t="s">
        <v>3718</v>
      </c>
    </row>
    <row r="2191" spans="1:1" x14ac:dyDescent="0.25">
      <c r="A2191" t="s">
        <v>3719</v>
      </c>
    </row>
    <row r="2192" spans="1:1" x14ac:dyDescent="0.25">
      <c r="A2192" t="s">
        <v>3720</v>
      </c>
    </row>
    <row r="2193" spans="1:1" x14ac:dyDescent="0.25">
      <c r="A2193" t="s">
        <v>3721</v>
      </c>
    </row>
    <row r="2194" spans="1:1" x14ac:dyDescent="0.25">
      <c r="A2194" t="s">
        <v>3722</v>
      </c>
    </row>
    <row r="2195" spans="1:1" x14ac:dyDescent="0.25">
      <c r="A2195" t="s">
        <v>3723</v>
      </c>
    </row>
    <row r="2196" spans="1:1" x14ac:dyDescent="0.25">
      <c r="A2196" t="s">
        <v>3724</v>
      </c>
    </row>
    <row r="2197" spans="1:1" x14ac:dyDescent="0.25">
      <c r="A2197" t="s">
        <v>3725</v>
      </c>
    </row>
    <row r="2198" spans="1:1" x14ac:dyDescent="0.25">
      <c r="A2198" t="s">
        <v>3726</v>
      </c>
    </row>
    <row r="2199" spans="1:1" x14ac:dyDescent="0.25">
      <c r="A2199" t="s">
        <v>3727</v>
      </c>
    </row>
    <row r="2200" spans="1:1" x14ac:dyDescent="0.25">
      <c r="A2200" t="s">
        <v>3728</v>
      </c>
    </row>
    <row r="2201" spans="1:1" x14ac:dyDescent="0.25">
      <c r="A2201" t="s">
        <v>3729</v>
      </c>
    </row>
    <row r="2202" spans="1:1" x14ac:dyDescent="0.25">
      <c r="A2202" t="s">
        <v>3730</v>
      </c>
    </row>
    <row r="2203" spans="1:1" x14ac:dyDescent="0.25">
      <c r="A2203" t="s">
        <v>3731</v>
      </c>
    </row>
    <row r="2204" spans="1:1" x14ac:dyDescent="0.25">
      <c r="A2204" t="s">
        <v>3732</v>
      </c>
    </row>
    <row r="2205" spans="1:1" x14ac:dyDescent="0.25">
      <c r="A2205" t="s">
        <v>3733</v>
      </c>
    </row>
    <row r="2206" spans="1:1" x14ac:dyDescent="0.25">
      <c r="A2206" t="s">
        <v>3734</v>
      </c>
    </row>
    <row r="2207" spans="1:1" x14ac:dyDescent="0.25">
      <c r="A2207" t="s">
        <v>3735</v>
      </c>
    </row>
    <row r="2208" spans="1:1" x14ac:dyDescent="0.25">
      <c r="A2208" t="s">
        <v>3736</v>
      </c>
    </row>
    <row r="2209" spans="1:1" x14ac:dyDescent="0.25">
      <c r="A2209" t="s">
        <v>3737</v>
      </c>
    </row>
    <row r="2210" spans="1:1" x14ac:dyDescent="0.25">
      <c r="A2210" t="s">
        <v>3738</v>
      </c>
    </row>
    <row r="2211" spans="1:1" x14ac:dyDescent="0.25">
      <c r="A2211" t="s">
        <v>3739</v>
      </c>
    </row>
    <row r="2212" spans="1:1" x14ac:dyDescent="0.25">
      <c r="A2212" t="s">
        <v>3740</v>
      </c>
    </row>
    <row r="2213" spans="1:1" x14ac:dyDescent="0.25">
      <c r="A2213" t="s">
        <v>3741</v>
      </c>
    </row>
    <row r="2214" spans="1:1" x14ac:dyDescent="0.25">
      <c r="A2214" t="s">
        <v>3742</v>
      </c>
    </row>
    <row r="2215" spans="1:1" x14ac:dyDescent="0.25">
      <c r="A2215" t="s">
        <v>3743</v>
      </c>
    </row>
    <row r="2216" spans="1:1" x14ac:dyDescent="0.25">
      <c r="A2216" t="s">
        <v>3744</v>
      </c>
    </row>
    <row r="2217" spans="1:1" x14ac:dyDescent="0.25">
      <c r="A2217" t="s">
        <v>3745</v>
      </c>
    </row>
    <row r="2218" spans="1:1" x14ac:dyDescent="0.25">
      <c r="A2218" t="s">
        <v>3746</v>
      </c>
    </row>
    <row r="2219" spans="1:1" x14ac:dyDescent="0.25">
      <c r="A2219" t="s">
        <v>3747</v>
      </c>
    </row>
    <row r="2220" spans="1:1" x14ac:dyDescent="0.25">
      <c r="A2220" t="s">
        <v>3748</v>
      </c>
    </row>
    <row r="2221" spans="1:1" x14ac:dyDescent="0.25">
      <c r="A2221" t="s">
        <v>3749</v>
      </c>
    </row>
    <row r="2222" spans="1:1" x14ac:dyDescent="0.25">
      <c r="A2222" t="s">
        <v>3750</v>
      </c>
    </row>
    <row r="2223" spans="1:1" x14ac:dyDescent="0.25">
      <c r="A2223" t="s">
        <v>3751</v>
      </c>
    </row>
    <row r="2224" spans="1:1" x14ac:dyDescent="0.25">
      <c r="A2224" t="s">
        <v>3752</v>
      </c>
    </row>
    <row r="2225" spans="1:1" x14ac:dyDescent="0.25">
      <c r="A2225" t="s">
        <v>3753</v>
      </c>
    </row>
    <row r="2226" spans="1:1" x14ac:dyDescent="0.25">
      <c r="A2226" t="s">
        <v>3754</v>
      </c>
    </row>
    <row r="2227" spans="1:1" x14ac:dyDescent="0.25">
      <c r="A2227" t="s">
        <v>3755</v>
      </c>
    </row>
    <row r="2228" spans="1:1" x14ac:dyDescent="0.25">
      <c r="A2228" t="s">
        <v>3756</v>
      </c>
    </row>
    <row r="2229" spans="1:1" x14ac:dyDescent="0.25">
      <c r="A2229" t="s">
        <v>3757</v>
      </c>
    </row>
    <row r="2230" spans="1:1" x14ac:dyDescent="0.25">
      <c r="A2230" t="s">
        <v>3758</v>
      </c>
    </row>
    <row r="2231" spans="1:1" x14ac:dyDescent="0.25">
      <c r="A2231" t="s">
        <v>3759</v>
      </c>
    </row>
    <row r="2232" spans="1:1" x14ac:dyDescent="0.25">
      <c r="A2232" t="s">
        <v>3760</v>
      </c>
    </row>
    <row r="2233" spans="1:1" x14ac:dyDescent="0.25">
      <c r="A2233" t="s">
        <v>3761</v>
      </c>
    </row>
    <row r="2234" spans="1:1" x14ac:dyDescent="0.25">
      <c r="A2234" t="s">
        <v>3762</v>
      </c>
    </row>
    <row r="2235" spans="1:1" x14ac:dyDescent="0.25">
      <c r="A2235" t="s">
        <v>3763</v>
      </c>
    </row>
    <row r="2236" spans="1:1" x14ac:dyDescent="0.25">
      <c r="A2236" t="s">
        <v>3764</v>
      </c>
    </row>
    <row r="2237" spans="1:1" x14ac:dyDescent="0.25">
      <c r="A2237" t="s">
        <v>3765</v>
      </c>
    </row>
    <row r="2238" spans="1:1" x14ac:dyDescent="0.25">
      <c r="A2238" t="s">
        <v>3766</v>
      </c>
    </row>
    <row r="2239" spans="1:1" x14ac:dyDescent="0.25">
      <c r="A2239" t="s">
        <v>3767</v>
      </c>
    </row>
    <row r="2240" spans="1:1" x14ac:dyDescent="0.25">
      <c r="A2240" t="s">
        <v>3768</v>
      </c>
    </row>
    <row r="2241" spans="1:1" x14ac:dyDescent="0.25">
      <c r="A2241" t="s">
        <v>3769</v>
      </c>
    </row>
    <row r="2242" spans="1:1" x14ac:dyDescent="0.25">
      <c r="A2242" t="s">
        <v>3770</v>
      </c>
    </row>
    <row r="2243" spans="1:1" x14ac:dyDescent="0.25">
      <c r="A2243" t="s">
        <v>3771</v>
      </c>
    </row>
    <row r="2244" spans="1:1" x14ac:dyDescent="0.25">
      <c r="A2244" t="s">
        <v>3772</v>
      </c>
    </row>
    <row r="2245" spans="1:1" x14ac:dyDescent="0.25">
      <c r="A2245" t="s">
        <v>3773</v>
      </c>
    </row>
    <row r="2246" spans="1:1" x14ac:dyDescent="0.25">
      <c r="A2246" t="s">
        <v>3774</v>
      </c>
    </row>
    <row r="2247" spans="1:1" x14ac:dyDescent="0.25">
      <c r="A2247" t="s">
        <v>3775</v>
      </c>
    </row>
    <row r="2248" spans="1:1" x14ac:dyDescent="0.25">
      <c r="A2248" t="s">
        <v>3776</v>
      </c>
    </row>
    <row r="2249" spans="1:1" x14ac:dyDescent="0.25">
      <c r="A2249" t="s">
        <v>3777</v>
      </c>
    </row>
    <row r="2250" spans="1:1" x14ac:dyDescent="0.25">
      <c r="A2250" t="s">
        <v>3778</v>
      </c>
    </row>
    <row r="2251" spans="1:1" x14ac:dyDescent="0.25">
      <c r="A2251" t="s">
        <v>3779</v>
      </c>
    </row>
    <row r="2252" spans="1:1" x14ac:dyDescent="0.25">
      <c r="A2252" t="s">
        <v>3780</v>
      </c>
    </row>
    <row r="2253" spans="1:1" x14ac:dyDescent="0.25">
      <c r="A2253" t="s">
        <v>3781</v>
      </c>
    </row>
    <row r="2254" spans="1:1" x14ac:dyDescent="0.25">
      <c r="A2254" t="s">
        <v>3782</v>
      </c>
    </row>
    <row r="2255" spans="1:1" x14ac:dyDescent="0.25">
      <c r="A2255" t="s">
        <v>3783</v>
      </c>
    </row>
    <row r="2256" spans="1:1" x14ac:dyDescent="0.25">
      <c r="A2256" t="s">
        <v>3784</v>
      </c>
    </row>
    <row r="2257" spans="1:1" x14ac:dyDescent="0.25">
      <c r="A2257" t="s">
        <v>3785</v>
      </c>
    </row>
    <row r="2258" spans="1:1" x14ac:dyDescent="0.25">
      <c r="A2258" t="s">
        <v>3786</v>
      </c>
    </row>
    <row r="2259" spans="1:1" x14ac:dyDescent="0.25">
      <c r="A2259" t="s">
        <v>3787</v>
      </c>
    </row>
    <row r="2260" spans="1:1" x14ac:dyDescent="0.25">
      <c r="A2260" t="s">
        <v>3788</v>
      </c>
    </row>
    <row r="2261" spans="1:1" x14ac:dyDescent="0.25">
      <c r="A2261" t="s">
        <v>3789</v>
      </c>
    </row>
    <row r="2262" spans="1:1" x14ac:dyDescent="0.25">
      <c r="A2262" t="s">
        <v>3790</v>
      </c>
    </row>
    <row r="2263" spans="1:1" x14ac:dyDescent="0.25">
      <c r="A2263" t="s">
        <v>3791</v>
      </c>
    </row>
    <row r="2264" spans="1:1" x14ac:dyDescent="0.25">
      <c r="A2264" t="s">
        <v>3792</v>
      </c>
    </row>
    <row r="2265" spans="1:1" x14ac:dyDescent="0.25">
      <c r="A2265" t="s">
        <v>3793</v>
      </c>
    </row>
    <row r="2266" spans="1:1" x14ac:dyDescent="0.25">
      <c r="A2266" t="s">
        <v>3794</v>
      </c>
    </row>
    <row r="2267" spans="1:1" x14ac:dyDescent="0.25">
      <c r="A2267" t="s">
        <v>3795</v>
      </c>
    </row>
    <row r="2268" spans="1:1" x14ac:dyDescent="0.25">
      <c r="A2268" t="s">
        <v>3796</v>
      </c>
    </row>
    <row r="2269" spans="1:1" x14ac:dyDescent="0.25">
      <c r="A2269" t="s">
        <v>3797</v>
      </c>
    </row>
    <row r="2270" spans="1:1" x14ac:dyDescent="0.25">
      <c r="A2270" t="s">
        <v>3798</v>
      </c>
    </row>
    <row r="2271" spans="1:1" x14ac:dyDescent="0.25">
      <c r="A2271" t="s">
        <v>3799</v>
      </c>
    </row>
    <row r="2272" spans="1:1" x14ac:dyDescent="0.25">
      <c r="A2272" t="s">
        <v>3800</v>
      </c>
    </row>
    <row r="2273" spans="1:1" x14ac:dyDescent="0.25">
      <c r="A2273" t="s">
        <v>3801</v>
      </c>
    </row>
    <row r="2274" spans="1:1" x14ac:dyDescent="0.25">
      <c r="A2274" t="s">
        <v>3802</v>
      </c>
    </row>
    <row r="2275" spans="1:1" x14ac:dyDescent="0.25">
      <c r="A2275" t="s">
        <v>3803</v>
      </c>
    </row>
    <row r="2276" spans="1:1" x14ac:dyDescent="0.25">
      <c r="A2276" t="s">
        <v>3804</v>
      </c>
    </row>
    <row r="2277" spans="1:1" x14ac:dyDescent="0.25">
      <c r="A2277" t="s">
        <v>3805</v>
      </c>
    </row>
    <row r="2278" spans="1:1" x14ac:dyDescent="0.25">
      <c r="A2278" t="s">
        <v>3806</v>
      </c>
    </row>
    <row r="2279" spans="1:1" x14ac:dyDescent="0.25">
      <c r="A2279" t="s">
        <v>3807</v>
      </c>
    </row>
    <row r="2280" spans="1:1" x14ac:dyDescent="0.25">
      <c r="A2280" t="s">
        <v>3808</v>
      </c>
    </row>
    <row r="2281" spans="1:1" x14ac:dyDescent="0.25">
      <c r="A2281" t="s">
        <v>3809</v>
      </c>
    </row>
    <row r="2282" spans="1:1" x14ac:dyDescent="0.25">
      <c r="A2282" t="s">
        <v>3810</v>
      </c>
    </row>
    <row r="2283" spans="1:1" x14ac:dyDescent="0.25">
      <c r="A2283" t="s">
        <v>3811</v>
      </c>
    </row>
    <row r="2284" spans="1:1" x14ac:dyDescent="0.25">
      <c r="A2284" t="s">
        <v>3812</v>
      </c>
    </row>
    <row r="2285" spans="1:1" x14ac:dyDescent="0.25">
      <c r="A2285" t="s">
        <v>3813</v>
      </c>
    </row>
    <row r="2286" spans="1:1" x14ac:dyDescent="0.25">
      <c r="A2286" t="s">
        <v>3814</v>
      </c>
    </row>
    <row r="2287" spans="1:1" x14ac:dyDescent="0.25">
      <c r="A2287" t="s">
        <v>3815</v>
      </c>
    </row>
    <row r="2288" spans="1:1" x14ac:dyDescent="0.25">
      <c r="A2288" t="s">
        <v>3816</v>
      </c>
    </row>
    <row r="2289" spans="1:1" x14ac:dyDescent="0.25">
      <c r="A2289" t="s">
        <v>3817</v>
      </c>
    </row>
    <row r="2290" spans="1:1" x14ac:dyDescent="0.25">
      <c r="A2290" t="s">
        <v>3818</v>
      </c>
    </row>
    <row r="2291" spans="1:1" x14ac:dyDescent="0.25">
      <c r="A2291" t="s">
        <v>3819</v>
      </c>
    </row>
    <row r="2292" spans="1:1" x14ac:dyDescent="0.25">
      <c r="A2292" t="s">
        <v>3820</v>
      </c>
    </row>
    <row r="2293" spans="1:1" x14ac:dyDescent="0.25">
      <c r="A2293" t="s">
        <v>3821</v>
      </c>
    </row>
    <row r="2294" spans="1:1" x14ac:dyDescent="0.25">
      <c r="A2294" t="s">
        <v>3822</v>
      </c>
    </row>
    <row r="2295" spans="1:1" x14ac:dyDescent="0.25">
      <c r="A2295" t="s">
        <v>3823</v>
      </c>
    </row>
    <row r="2296" spans="1:1" x14ac:dyDescent="0.25">
      <c r="A2296" t="s">
        <v>3824</v>
      </c>
    </row>
    <row r="2297" spans="1:1" x14ac:dyDescent="0.25">
      <c r="A2297" t="s">
        <v>3825</v>
      </c>
    </row>
    <row r="2298" spans="1:1" x14ac:dyDescent="0.25">
      <c r="A2298" t="s">
        <v>3826</v>
      </c>
    </row>
    <row r="2299" spans="1:1" x14ac:dyDescent="0.25">
      <c r="A2299" t="s">
        <v>3827</v>
      </c>
    </row>
    <row r="2300" spans="1:1" x14ac:dyDescent="0.25">
      <c r="A2300" t="s">
        <v>3828</v>
      </c>
    </row>
    <row r="2301" spans="1:1" x14ac:dyDescent="0.25">
      <c r="A2301" t="s">
        <v>3829</v>
      </c>
    </row>
    <row r="2302" spans="1:1" x14ac:dyDescent="0.25">
      <c r="A2302" t="s">
        <v>3830</v>
      </c>
    </row>
    <row r="2303" spans="1:1" x14ac:dyDescent="0.25">
      <c r="A2303" t="s">
        <v>3831</v>
      </c>
    </row>
    <row r="2304" spans="1:1" x14ac:dyDescent="0.25">
      <c r="A2304" t="s">
        <v>3832</v>
      </c>
    </row>
    <row r="2305" spans="1:1" x14ac:dyDescent="0.25">
      <c r="A2305" t="s">
        <v>3833</v>
      </c>
    </row>
    <row r="2306" spans="1:1" x14ac:dyDescent="0.25">
      <c r="A2306" t="s">
        <v>3834</v>
      </c>
    </row>
    <row r="2307" spans="1:1" x14ac:dyDescent="0.25">
      <c r="A2307" t="s">
        <v>3835</v>
      </c>
    </row>
    <row r="2308" spans="1:1" x14ac:dyDescent="0.25">
      <c r="A2308" t="s">
        <v>3836</v>
      </c>
    </row>
    <row r="2309" spans="1:1" x14ac:dyDescent="0.25">
      <c r="A2309" t="s">
        <v>3837</v>
      </c>
    </row>
    <row r="2310" spans="1:1" x14ac:dyDescent="0.25">
      <c r="A2310" t="s">
        <v>3838</v>
      </c>
    </row>
    <row r="2311" spans="1:1" x14ac:dyDescent="0.25">
      <c r="A2311" t="s">
        <v>3839</v>
      </c>
    </row>
    <row r="2312" spans="1:1" x14ac:dyDescent="0.25">
      <c r="A2312" t="s">
        <v>3840</v>
      </c>
    </row>
    <row r="2313" spans="1:1" x14ac:dyDescent="0.25">
      <c r="A2313" t="s">
        <v>3841</v>
      </c>
    </row>
    <row r="2314" spans="1:1" x14ac:dyDescent="0.25">
      <c r="A2314" t="s">
        <v>3842</v>
      </c>
    </row>
    <row r="2315" spans="1:1" x14ac:dyDescent="0.25">
      <c r="A2315" t="s">
        <v>3843</v>
      </c>
    </row>
    <row r="2316" spans="1:1" x14ac:dyDescent="0.25">
      <c r="A2316" t="s">
        <v>3844</v>
      </c>
    </row>
    <row r="2317" spans="1:1" x14ac:dyDescent="0.25">
      <c r="A2317" t="s">
        <v>3845</v>
      </c>
    </row>
    <row r="2318" spans="1:1" x14ac:dyDescent="0.25">
      <c r="A2318" t="s">
        <v>3846</v>
      </c>
    </row>
    <row r="2319" spans="1:1" x14ac:dyDescent="0.25">
      <c r="A2319" t="s">
        <v>3847</v>
      </c>
    </row>
    <row r="2320" spans="1:1" x14ac:dyDescent="0.25">
      <c r="A2320" t="s">
        <v>3848</v>
      </c>
    </row>
    <row r="2321" spans="1:1" x14ac:dyDescent="0.25">
      <c r="A2321" t="s">
        <v>3849</v>
      </c>
    </row>
    <row r="2322" spans="1:1" x14ac:dyDescent="0.25">
      <c r="A2322" t="s">
        <v>3850</v>
      </c>
    </row>
    <row r="2323" spans="1:1" x14ac:dyDescent="0.25">
      <c r="A2323" t="s">
        <v>3851</v>
      </c>
    </row>
    <row r="2324" spans="1:1" x14ac:dyDescent="0.25">
      <c r="A2324" t="s">
        <v>3852</v>
      </c>
    </row>
    <row r="2325" spans="1:1" x14ac:dyDescent="0.25">
      <c r="A2325" t="s">
        <v>3853</v>
      </c>
    </row>
    <row r="2326" spans="1:1" x14ac:dyDescent="0.25">
      <c r="A2326" t="s">
        <v>3854</v>
      </c>
    </row>
    <row r="2327" spans="1:1" x14ac:dyDescent="0.25">
      <c r="A2327" t="s">
        <v>3855</v>
      </c>
    </row>
    <row r="2328" spans="1:1" x14ac:dyDescent="0.25">
      <c r="A2328" t="s">
        <v>3856</v>
      </c>
    </row>
    <row r="2329" spans="1:1" x14ac:dyDescent="0.25">
      <c r="A2329" t="s">
        <v>3857</v>
      </c>
    </row>
    <row r="2330" spans="1:1" x14ac:dyDescent="0.25">
      <c r="A2330" t="s">
        <v>3858</v>
      </c>
    </row>
    <row r="2331" spans="1:1" x14ac:dyDescent="0.25">
      <c r="A2331" t="s">
        <v>3859</v>
      </c>
    </row>
    <row r="2332" spans="1:1" x14ac:dyDescent="0.25">
      <c r="A2332" t="s">
        <v>3860</v>
      </c>
    </row>
    <row r="2333" spans="1:1" x14ac:dyDescent="0.25">
      <c r="A2333" t="s">
        <v>3861</v>
      </c>
    </row>
    <row r="2334" spans="1:1" x14ac:dyDescent="0.25">
      <c r="A2334" t="s">
        <v>3862</v>
      </c>
    </row>
    <row r="2335" spans="1:1" x14ac:dyDescent="0.25">
      <c r="A2335" t="s">
        <v>3863</v>
      </c>
    </row>
    <row r="2336" spans="1:1" x14ac:dyDescent="0.25">
      <c r="A2336" t="s">
        <v>3864</v>
      </c>
    </row>
    <row r="2337" spans="1:1" x14ac:dyDescent="0.25">
      <c r="A2337" t="s">
        <v>3865</v>
      </c>
    </row>
    <row r="2338" spans="1:1" x14ac:dyDescent="0.25">
      <c r="A2338" t="s">
        <v>3866</v>
      </c>
    </row>
    <row r="2339" spans="1:1" x14ac:dyDescent="0.25">
      <c r="A2339" t="s">
        <v>3867</v>
      </c>
    </row>
    <row r="2340" spans="1:1" x14ac:dyDescent="0.25">
      <c r="A2340" t="s">
        <v>3868</v>
      </c>
    </row>
    <row r="2341" spans="1:1" x14ac:dyDescent="0.25">
      <c r="A2341" t="s">
        <v>3869</v>
      </c>
    </row>
    <row r="2342" spans="1:1" x14ac:dyDescent="0.25">
      <c r="A2342" t="s">
        <v>3870</v>
      </c>
    </row>
    <row r="2343" spans="1:1" x14ac:dyDescent="0.25">
      <c r="A2343" t="s">
        <v>3871</v>
      </c>
    </row>
    <row r="2344" spans="1:1" x14ac:dyDescent="0.25">
      <c r="A2344" t="s">
        <v>3872</v>
      </c>
    </row>
    <row r="2345" spans="1:1" x14ac:dyDescent="0.25">
      <c r="A2345" t="s">
        <v>3873</v>
      </c>
    </row>
    <row r="2346" spans="1:1" x14ac:dyDescent="0.25">
      <c r="A2346" t="s">
        <v>3874</v>
      </c>
    </row>
    <row r="2347" spans="1:1" x14ac:dyDescent="0.25">
      <c r="A2347" t="s">
        <v>3875</v>
      </c>
    </row>
    <row r="2348" spans="1:1" x14ac:dyDescent="0.25">
      <c r="A2348" t="s">
        <v>3876</v>
      </c>
    </row>
    <row r="2349" spans="1:1" x14ac:dyDescent="0.25">
      <c r="A2349" t="s">
        <v>3877</v>
      </c>
    </row>
    <row r="2350" spans="1:1" x14ac:dyDescent="0.25">
      <c r="A2350" t="s">
        <v>3878</v>
      </c>
    </row>
    <row r="2351" spans="1:1" x14ac:dyDescent="0.25">
      <c r="A2351" t="s">
        <v>3879</v>
      </c>
    </row>
    <row r="2352" spans="1:1" x14ac:dyDescent="0.25">
      <c r="A2352" t="s">
        <v>3880</v>
      </c>
    </row>
    <row r="2353" spans="1:1" x14ac:dyDescent="0.25">
      <c r="A2353" t="s">
        <v>3881</v>
      </c>
    </row>
    <row r="2354" spans="1:1" x14ac:dyDescent="0.25">
      <c r="A2354" t="s">
        <v>3882</v>
      </c>
    </row>
    <row r="2355" spans="1:1" x14ac:dyDescent="0.25">
      <c r="A2355" t="s">
        <v>3883</v>
      </c>
    </row>
    <row r="2356" spans="1:1" x14ac:dyDescent="0.25">
      <c r="A2356" t="s">
        <v>3884</v>
      </c>
    </row>
    <row r="2357" spans="1:1" x14ac:dyDescent="0.25">
      <c r="A2357" t="s">
        <v>3885</v>
      </c>
    </row>
    <row r="2358" spans="1:1" x14ac:dyDescent="0.25">
      <c r="A2358" t="s">
        <v>3886</v>
      </c>
    </row>
    <row r="2359" spans="1:1" x14ac:dyDescent="0.25">
      <c r="A2359" t="s">
        <v>3887</v>
      </c>
    </row>
    <row r="2360" spans="1:1" x14ac:dyDescent="0.25">
      <c r="A2360" t="s">
        <v>3888</v>
      </c>
    </row>
    <row r="2361" spans="1:1" x14ac:dyDescent="0.25">
      <c r="A2361" t="s">
        <v>3889</v>
      </c>
    </row>
    <row r="2362" spans="1:1" x14ac:dyDescent="0.25">
      <c r="A2362" t="s">
        <v>3890</v>
      </c>
    </row>
    <row r="2363" spans="1:1" x14ac:dyDescent="0.25">
      <c r="A2363" t="s">
        <v>3891</v>
      </c>
    </row>
    <row r="2364" spans="1:1" x14ac:dyDescent="0.25">
      <c r="A2364" t="s">
        <v>3892</v>
      </c>
    </row>
    <row r="2365" spans="1:1" x14ac:dyDescent="0.25">
      <c r="A2365" t="s">
        <v>3893</v>
      </c>
    </row>
    <row r="2366" spans="1:1" x14ac:dyDescent="0.25">
      <c r="A2366" t="s">
        <v>3894</v>
      </c>
    </row>
    <row r="2367" spans="1:1" x14ac:dyDescent="0.25">
      <c r="A2367" t="s">
        <v>3895</v>
      </c>
    </row>
    <row r="2368" spans="1:1" x14ac:dyDescent="0.25">
      <c r="A2368" t="s">
        <v>3896</v>
      </c>
    </row>
    <row r="2369" spans="1:1" x14ac:dyDescent="0.25">
      <c r="A2369" t="s">
        <v>3897</v>
      </c>
    </row>
    <row r="2370" spans="1:1" x14ac:dyDescent="0.25">
      <c r="A2370" t="s">
        <v>3898</v>
      </c>
    </row>
    <row r="2371" spans="1:1" x14ac:dyDescent="0.25">
      <c r="A2371" t="s">
        <v>3899</v>
      </c>
    </row>
    <row r="2372" spans="1:1" x14ac:dyDescent="0.25">
      <c r="A2372" t="s">
        <v>3900</v>
      </c>
    </row>
    <row r="2373" spans="1:1" x14ac:dyDescent="0.25">
      <c r="A2373" t="s">
        <v>3901</v>
      </c>
    </row>
    <row r="2374" spans="1:1" x14ac:dyDescent="0.25">
      <c r="A2374" t="s">
        <v>3902</v>
      </c>
    </row>
    <row r="2375" spans="1:1" x14ac:dyDescent="0.25">
      <c r="A2375" t="s">
        <v>3903</v>
      </c>
    </row>
    <row r="2376" spans="1:1" x14ac:dyDescent="0.25">
      <c r="A2376" t="s">
        <v>3904</v>
      </c>
    </row>
    <row r="2377" spans="1:1" x14ac:dyDescent="0.25">
      <c r="A2377" t="s">
        <v>3905</v>
      </c>
    </row>
    <row r="2378" spans="1:1" x14ac:dyDescent="0.25">
      <c r="A2378" t="s">
        <v>3906</v>
      </c>
    </row>
    <row r="2379" spans="1:1" x14ac:dyDescent="0.25">
      <c r="A2379" t="s">
        <v>3907</v>
      </c>
    </row>
    <row r="2380" spans="1:1" x14ac:dyDescent="0.25">
      <c r="A2380" t="s">
        <v>3908</v>
      </c>
    </row>
    <row r="2381" spans="1:1" x14ac:dyDescent="0.25">
      <c r="A2381" t="s">
        <v>3909</v>
      </c>
    </row>
    <row r="2382" spans="1:1" x14ac:dyDescent="0.25">
      <c r="A2382" t="s">
        <v>3910</v>
      </c>
    </row>
    <row r="2383" spans="1:1" x14ac:dyDescent="0.25">
      <c r="A2383" t="s">
        <v>3911</v>
      </c>
    </row>
    <row r="2384" spans="1:1" x14ac:dyDescent="0.25">
      <c r="A2384" t="s">
        <v>3912</v>
      </c>
    </row>
    <row r="2385" spans="1:1" x14ac:dyDescent="0.25">
      <c r="A2385" t="s">
        <v>3913</v>
      </c>
    </row>
    <row r="2386" spans="1:1" x14ac:dyDescent="0.25">
      <c r="A2386" t="s">
        <v>3914</v>
      </c>
    </row>
    <row r="2387" spans="1:1" x14ac:dyDescent="0.25">
      <c r="A2387" t="s">
        <v>3915</v>
      </c>
    </row>
    <row r="2388" spans="1:1" x14ac:dyDescent="0.25">
      <c r="A2388" t="s">
        <v>3916</v>
      </c>
    </row>
    <row r="2389" spans="1:1" x14ac:dyDescent="0.25">
      <c r="A2389" t="s">
        <v>3917</v>
      </c>
    </row>
    <row r="2390" spans="1:1" x14ac:dyDescent="0.25">
      <c r="A2390" t="s">
        <v>3918</v>
      </c>
    </row>
    <row r="2391" spans="1:1" x14ac:dyDescent="0.25">
      <c r="A2391" t="s">
        <v>3919</v>
      </c>
    </row>
    <row r="2392" spans="1:1" x14ac:dyDescent="0.25">
      <c r="A2392" t="s">
        <v>3920</v>
      </c>
    </row>
    <row r="2393" spans="1:1" x14ac:dyDescent="0.25">
      <c r="A2393" t="s">
        <v>3921</v>
      </c>
    </row>
    <row r="2394" spans="1:1" x14ac:dyDescent="0.25">
      <c r="A2394" t="s">
        <v>3922</v>
      </c>
    </row>
    <row r="2395" spans="1:1" x14ac:dyDescent="0.25">
      <c r="A2395" t="s">
        <v>3923</v>
      </c>
    </row>
    <row r="2396" spans="1:1" x14ac:dyDescent="0.25">
      <c r="A2396" t="s">
        <v>3924</v>
      </c>
    </row>
    <row r="2397" spans="1:1" x14ac:dyDescent="0.25">
      <c r="A2397" t="s">
        <v>3925</v>
      </c>
    </row>
    <row r="2398" spans="1:1" x14ac:dyDescent="0.25">
      <c r="A2398" t="s">
        <v>3926</v>
      </c>
    </row>
    <row r="2399" spans="1:1" x14ac:dyDescent="0.25">
      <c r="A2399" t="s">
        <v>3927</v>
      </c>
    </row>
    <row r="2400" spans="1:1" x14ac:dyDescent="0.25">
      <c r="A2400" t="s">
        <v>3928</v>
      </c>
    </row>
    <row r="2401" spans="1:1" x14ac:dyDescent="0.25">
      <c r="A2401" t="s">
        <v>3929</v>
      </c>
    </row>
    <row r="2402" spans="1:1" x14ac:dyDescent="0.25">
      <c r="A2402" t="s">
        <v>3930</v>
      </c>
    </row>
    <row r="2403" spans="1:1" x14ac:dyDescent="0.25">
      <c r="A2403" t="s">
        <v>3931</v>
      </c>
    </row>
    <row r="2404" spans="1:1" x14ac:dyDescent="0.25">
      <c r="A2404" t="s">
        <v>3932</v>
      </c>
    </row>
    <row r="2405" spans="1:1" x14ac:dyDescent="0.25">
      <c r="A2405" t="s">
        <v>3933</v>
      </c>
    </row>
    <row r="2406" spans="1:1" x14ac:dyDescent="0.25">
      <c r="A2406" t="s">
        <v>3934</v>
      </c>
    </row>
    <row r="2407" spans="1:1" x14ac:dyDescent="0.25">
      <c r="A2407" t="s">
        <v>3935</v>
      </c>
    </row>
    <row r="2408" spans="1:1" x14ac:dyDescent="0.25">
      <c r="A2408" t="s">
        <v>3936</v>
      </c>
    </row>
    <row r="2409" spans="1:1" x14ac:dyDescent="0.25">
      <c r="A2409" t="s">
        <v>3937</v>
      </c>
    </row>
    <row r="2410" spans="1:1" x14ac:dyDescent="0.25">
      <c r="A2410" t="s">
        <v>3938</v>
      </c>
    </row>
    <row r="2411" spans="1:1" x14ac:dyDescent="0.25">
      <c r="A2411" t="s">
        <v>3939</v>
      </c>
    </row>
    <row r="2412" spans="1:1" x14ac:dyDescent="0.25">
      <c r="A2412" t="s">
        <v>3940</v>
      </c>
    </row>
    <row r="2413" spans="1:1" x14ac:dyDescent="0.25">
      <c r="A2413" t="s">
        <v>3941</v>
      </c>
    </row>
    <row r="2414" spans="1:1" x14ac:dyDescent="0.25">
      <c r="A2414" t="s">
        <v>3942</v>
      </c>
    </row>
    <row r="2415" spans="1:1" x14ac:dyDescent="0.25">
      <c r="A2415" t="s">
        <v>3943</v>
      </c>
    </row>
    <row r="2416" spans="1:1" x14ac:dyDescent="0.25">
      <c r="A2416" t="s">
        <v>3944</v>
      </c>
    </row>
    <row r="2417" spans="1:1" x14ac:dyDescent="0.25">
      <c r="A2417" t="s">
        <v>3945</v>
      </c>
    </row>
    <row r="2418" spans="1:1" x14ac:dyDescent="0.25">
      <c r="A2418" t="s">
        <v>3946</v>
      </c>
    </row>
    <row r="2419" spans="1:1" x14ac:dyDescent="0.25">
      <c r="A2419" t="s">
        <v>3947</v>
      </c>
    </row>
    <row r="2420" spans="1:1" x14ac:dyDescent="0.25">
      <c r="A2420" t="s">
        <v>3948</v>
      </c>
    </row>
    <row r="2421" spans="1:1" x14ac:dyDescent="0.25">
      <c r="A2421" t="s">
        <v>3949</v>
      </c>
    </row>
    <row r="2422" spans="1:1" x14ac:dyDescent="0.25">
      <c r="A2422" t="s">
        <v>3950</v>
      </c>
    </row>
    <row r="2423" spans="1:1" x14ac:dyDescent="0.25">
      <c r="A2423" t="s">
        <v>3951</v>
      </c>
    </row>
    <row r="2424" spans="1:1" x14ac:dyDescent="0.25">
      <c r="A2424" t="s">
        <v>3952</v>
      </c>
    </row>
    <row r="2425" spans="1:1" x14ac:dyDescent="0.25">
      <c r="A2425" t="s">
        <v>3953</v>
      </c>
    </row>
    <row r="2426" spans="1:1" x14ac:dyDescent="0.25">
      <c r="A2426" t="s">
        <v>3954</v>
      </c>
    </row>
    <row r="2427" spans="1:1" x14ac:dyDescent="0.25">
      <c r="A2427" t="s">
        <v>3955</v>
      </c>
    </row>
    <row r="2428" spans="1:1" x14ac:dyDescent="0.25">
      <c r="A2428" t="s">
        <v>3956</v>
      </c>
    </row>
    <row r="2429" spans="1:1" x14ac:dyDescent="0.25">
      <c r="A2429" t="s">
        <v>3957</v>
      </c>
    </row>
    <row r="2430" spans="1:1" x14ac:dyDescent="0.25">
      <c r="A2430" t="s">
        <v>3958</v>
      </c>
    </row>
    <row r="2431" spans="1:1" x14ac:dyDescent="0.25">
      <c r="A2431" t="s">
        <v>3959</v>
      </c>
    </row>
    <row r="2432" spans="1:1" x14ac:dyDescent="0.25">
      <c r="A2432" t="s">
        <v>3960</v>
      </c>
    </row>
    <row r="2433" spans="1:1" x14ac:dyDescent="0.25">
      <c r="A2433" t="s">
        <v>3961</v>
      </c>
    </row>
    <row r="2434" spans="1:1" x14ac:dyDescent="0.25">
      <c r="A2434" t="s">
        <v>3962</v>
      </c>
    </row>
    <row r="2435" spans="1:1" x14ac:dyDescent="0.25">
      <c r="A2435" t="s">
        <v>3963</v>
      </c>
    </row>
    <row r="2436" spans="1:1" x14ac:dyDescent="0.25">
      <c r="A2436" t="s">
        <v>3964</v>
      </c>
    </row>
    <row r="2437" spans="1:1" x14ac:dyDescent="0.25">
      <c r="A2437" t="s">
        <v>3965</v>
      </c>
    </row>
    <row r="2438" spans="1:1" x14ac:dyDescent="0.25">
      <c r="A2438" t="s">
        <v>3966</v>
      </c>
    </row>
    <row r="2439" spans="1:1" x14ac:dyDescent="0.25">
      <c r="A2439" t="s">
        <v>3967</v>
      </c>
    </row>
    <row r="2440" spans="1:1" x14ac:dyDescent="0.25">
      <c r="A2440" t="s">
        <v>3968</v>
      </c>
    </row>
    <row r="2441" spans="1:1" x14ac:dyDescent="0.25">
      <c r="A2441" t="s">
        <v>3969</v>
      </c>
    </row>
    <row r="2442" spans="1:1" x14ac:dyDescent="0.25">
      <c r="A2442" t="s">
        <v>3970</v>
      </c>
    </row>
    <row r="2443" spans="1:1" x14ac:dyDescent="0.25">
      <c r="A2443" t="s">
        <v>3971</v>
      </c>
    </row>
    <row r="2444" spans="1:1" x14ac:dyDescent="0.25">
      <c r="A2444" t="s">
        <v>3972</v>
      </c>
    </row>
    <row r="2445" spans="1:1" x14ac:dyDescent="0.25">
      <c r="A2445" t="s">
        <v>3973</v>
      </c>
    </row>
    <row r="2446" spans="1:1" x14ac:dyDescent="0.25">
      <c r="A2446" t="s">
        <v>3974</v>
      </c>
    </row>
    <row r="2447" spans="1:1" x14ac:dyDescent="0.25">
      <c r="A2447" t="s">
        <v>3975</v>
      </c>
    </row>
    <row r="2448" spans="1:1" x14ac:dyDescent="0.25">
      <c r="A2448" t="s">
        <v>3976</v>
      </c>
    </row>
    <row r="2449" spans="1:1" x14ac:dyDescent="0.25">
      <c r="A2449" t="s">
        <v>3977</v>
      </c>
    </row>
    <row r="2450" spans="1:1" x14ac:dyDescent="0.25">
      <c r="A2450" t="s">
        <v>3978</v>
      </c>
    </row>
    <row r="2451" spans="1:1" x14ac:dyDescent="0.25">
      <c r="A2451" t="s">
        <v>3979</v>
      </c>
    </row>
    <row r="2452" spans="1:1" x14ac:dyDescent="0.25">
      <c r="A2452" t="s">
        <v>3980</v>
      </c>
    </row>
    <row r="2453" spans="1:1" x14ac:dyDescent="0.25">
      <c r="A2453" t="s">
        <v>3981</v>
      </c>
    </row>
    <row r="2454" spans="1:1" x14ac:dyDescent="0.25">
      <c r="A2454" t="s">
        <v>3982</v>
      </c>
    </row>
    <row r="2455" spans="1:1" x14ac:dyDescent="0.25">
      <c r="A2455" t="s">
        <v>3983</v>
      </c>
    </row>
    <row r="2456" spans="1:1" x14ac:dyDescent="0.25">
      <c r="A2456" t="s">
        <v>3984</v>
      </c>
    </row>
    <row r="2457" spans="1:1" x14ac:dyDescent="0.25">
      <c r="A2457" t="s">
        <v>3985</v>
      </c>
    </row>
    <row r="2458" spans="1:1" x14ac:dyDescent="0.25">
      <c r="A2458" t="s">
        <v>3986</v>
      </c>
    </row>
    <row r="2459" spans="1:1" x14ac:dyDescent="0.25">
      <c r="A2459" t="s">
        <v>3987</v>
      </c>
    </row>
    <row r="2460" spans="1:1" x14ac:dyDescent="0.25">
      <c r="A2460" t="s">
        <v>3988</v>
      </c>
    </row>
    <row r="2461" spans="1:1" x14ac:dyDescent="0.25">
      <c r="A2461" t="s">
        <v>3989</v>
      </c>
    </row>
    <row r="2462" spans="1:1" x14ac:dyDescent="0.25">
      <c r="A2462" t="s">
        <v>3990</v>
      </c>
    </row>
    <row r="2463" spans="1:1" x14ac:dyDescent="0.25">
      <c r="A2463" t="s">
        <v>3991</v>
      </c>
    </row>
    <row r="2464" spans="1:1" x14ac:dyDescent="0.25">
      <c r="A2464" t="s">
        <v>3992</v>
      </c>
    </row>
    <row r="2465" spans="1:1" x14ac:dyDescent="0.25">
      <c r="A2465" t="s">
        <v>3993</v>
      </c>
    </row>
    <row r="2466" spans="1:1" x14ac:dyDescent="0.25">
      <c r="A2466" t="s">
        <v>3994</v>
      </c>
    </row>
    <row r="2467" spans="1:1" x14ac:dyDescent="0.25">
      <c r="A2467" t="s">
        <v>3995</v>
      </c>
    </row>
    <row r="2468" spans="1:1" x14ac:dyDescent="0.25">
      <c r="A2468" t="s">
        <v>3996</v>
      </c>
    </row>
    <row r="2469" spans="1:1" x14ac:dyDescent="0.25">
      <c r="A2469" t="s">
        <v>3997</v>
      </c>
    </row>
    <row r="2470" spans="1:1" x14ac:dyDescent="0.25">
      <c r="A2470" t="s">
        <v>3998</v>
      </c>
    </row>
    <row r="2471" spans="1:1" x14ac:dyDescent="0.25">
      <c r="A2471" t="s">
        <v>3999</v>
      </c>
    </row>
    <row r="2472" spans="1:1" x14ac:dyDescent="0.25">
      <c r="A2472" t="s">
        <v>4000</v>
      </c>
    </row>
    <row r="2473" spans="1:1" x14ac:dyDescent="0.25">
      <c r="A2473" t="s">
        <v>4001</v>
      </c>
    </row>
    <row r="2474" spans="1:1" x14ac:dyDescent="0.25">
      <c r="A2474" t="s">
        <v>4002</v>
      </c>
    </row>
    <row r="2475" spans="1:1" x14ac:dyDescent="0.25">
      <c r="A2475" t="s">
        <v>4003</v>
      </c>
    </row>
    <row r="2476" spans="1:1" x14ac:dyDescent="0.25">
      <c r="A2476" t="s">
        <v>4004</v>
      </c>
    </row>
    <row r="2477" spans="1:1" x14ac:dyDescent="0.25">
      <c r="A2477" t="s">
        <v>4005</v>
      </c>
    </row>
    <row r="2478" spans="1:1" x14ac:dyDescent="0.25">
      <c r="A2478" t="s">
        <v>4006</v>
      </c>
    </row>
    <row r="2479" spans="1:1" x14ac:dyDescent="0.25">
      <c r="A2479" t="s">
        <v>4007</v>
      </c>
    </row>
    <row r="2480" spans="1:1" x14ac:dyDescent="0.25">
      <c r="A2480" t="s">
        <v>4008</v>
      </c>
    </row>
    <row r="2481" spans="1:1" x14ac:dyDescent="0.25">
      <c r="A2481" t="s">
        <v>4009</v>
      </c>
    </row>
    <row r="2482" spans="1:1" x14ac:dyDescent="0.25">
      <c r="A2482" t="s">
        <v>4010</v>
      </c>
    </row>
    <row r="2483" spans="1:1" x14ac:dyDescent="0.25">
      <c r="A2483" t="s">
        <v>4011</v>
      </c>
    </row>
    <row r="2484" spans="1:1" x14ac:dyDescent="0.25">
      <c r="A2484" t="s">
        <v>4012</v>
      </c>
    </row>
    <row r="2485" spans="1:1" x14ac:dyDescent="0.25">
      <c r="A2485" t="s">
        <v>4013</v>
      </c>
    </row>
    <row r="2486" spans="1:1" x14ac:dyDescent="0.25">
      <c r="A2486" t="s">
        <v>4014</v>
      </c>
    </row>
    <row r="2487" spans="1:1" x14ac:dyDescent="0.25">
      <c r="A2487" t="s">
        <v>4015</v>
      </c>
    </row>
    <row r="2488" spans="1:1" x14ac:dyDescent="0.25">
      <c r="A2488" t="s">
        <v>4016</v>
      </c>
    </row>
    <row r="2489" spans="1:1" x14ac:dyDescent="0.25">
      <c r="A2489" t="s">
        <v>4017</v>
      </c>
    </row>
    <row r="2490" spans="1:1" x14ac:dyDescent="0.25">
      <c r="A2490" t="s">
        <v>4018</v>
      </c>
    </row>
    <row r="2491" spans="1:1" x14ac:dyDescent="0.25">
      <c r="A2491" t="s">
        <v>4019</v>
      </c>
    </row>
    <row r="2492" spans="1:1" x14ac:dyDescent="0.25">
      <c r="A2492" t="s">
        <v>4020</v>
      </c>
    </row>
    <row r="2493" spans="1:1" x14ac:dyDescent="0.25">
      <c r="A2493" t="s">
        <v>4021</v>
      </c>
    </row>
    <row r="2494" spans="1:1" x14ac:dyDescent="0.25">
      <c r="A2494" t="s">
        <v>4022</v>
      </c>
    </row>
    <row r="2495" spans="1:1" x14ac:dyDescent="0.25">
      <c r="A2495" t="s">
        <v>4023</v>
      </c>
    </row>
    <row r="2496" spans="1:1" x14ac:dyDescent="0.25">
      <c r="A2496" t="s">
        <v>4024</v>
      </c>
    </row>
    <row r="2497" spans="1:1" x14ac:dyDescent="0.25">
      <c r="A2497" t="s">
        <v>4025</v>
      </c>
    </row>
    <row r="2498" spans="1:1" x14ac:dyDescent="0.25">
      <c r="A2498" t="s">
        <v>4026</v>
      </c>
    </row>
    <row r="2499" spans="1:1" x14ac:dyDescent="0.25">
      <c r="A2499" t="s">
        <v>4027</v>
      </c>
    </row>
    <row r="2500" spans="1:1" x14ac:dyDescent="0.25">
      <c r="A2500" t="s">
        <v>4028</v>
      </c>
    </row>
    <row r="2501" spans="1:1" x14ac:dyDescent="0.25">
      <c r="A2501" t="s">
        <v>4029</v>
      </c>
    </row>
    <row r="2502" spans="1:1" x14ac:dyDescent="0.25">
      <c r="A2502" t="s">
        <v>4030</v>
      </c>
    </row>
    <row r="2503" spans="1:1" x14ac:dyDescent="0.25">
      <c r="A2503" t="s">
        <v>4031</v>
      </c>
    </row>
    <row r="2504" spans="1:1" x14ac:dyDescent="0.25">
      <c r="A2504" t="s">
        <v>4032</v>
      </c>
    </row>
    <row r="2505" spans="1:1" x14ac:dyDescent="0.25">
      <c r="A2505" t="s">
        <v>4033</v>
      </c>
    </row>
    <row r="2506" spans="1:1" x14ac:dyDescent="0.25">
      <c r="A2506" t="s">
        <v>4034</v>
      </c>
    </row>
    <row r="2507" spans="1:1" x14ac:dyDescent="0.25">
      <c r="A2507" t="s">
        <v>4035</v>
      </c>
    </row>
    <row r="2508" spans="1:1" x14ac:dyDescent="0.25">
      <c r="A2508" t="s">
        <v>4036</v>
      </c>
    </row>
    <row r="2509" spans="1:1" x14ac:dyDescent="0.25">
      <c r="A2509" t="s">
        <v>4037</v>
      </c>
    </row>
    <row r="2510" spans="1:1" x14ac:dyDescent="0.25">
      <c r="A2510" t="s">
        <v>4038</v>
      </c>
    </row>
    <row r="2511" spans="1:1" x14ac:dyDescent="0.25">
      <c r="A2511" t="s">
        <v>4039</v>
      </c>
    </row>
    <row r="2512" spans="1:1" x14ac:dyDescent="0.25">
      <c r="A2512" t="s">
        <v>4040</v>
      </c>
    </row>
    <row r="2513" spans="1:1" x14ac:dyDescent="0.25">
      <c r="A2513" t="s">
        <v>4041</v>
      </c>
    </row>
    <row r="2514" spans="1:1" x14ac:dyDescent="0.25">
      <c r="A2514" t="s">
        <v>4042</v>
      </c>
    </row>
    <row r="2515" spans="1:1" x14ac:dyDescent="0.25">
      <c r="A2515" t="s">
        <v>4043</v>
      </c>
    </row>
    <row r="2516" spans="1:1" x14ac:dyDescent="0.25">
      <c r="A2516" t="s">
        <v>4044</v>
      </c>
    </row>
    <row r="2517" spans="1:1" x14ac:dyDescent="0.25">
      <c r="A2517" t="s">
        <v>4045</v>
      </c>
    </row>
    <row r="2518" spans="1:1" x14ac:dyDescent="0.25">
      <c r="A2518" t="s">
        <v>4046</v>
      </c>
    </row>
    <row r="2519" spans="1:1" x14ac:dyDescent="0.25">
      <c r="A2519" t="s">
        <v>4047</v>
      </c>
    </row>
    <row r="2520" spans="1:1" x14ac:dyDescent="0.25">
      <c r="A2520" t="s">
        <v>4048</v>
      </c>
    </row>
    <row r="2521" spans="1:1" x14ac:dyDescent="0.25">
      <c r="A2521" t="s">
        <v>4049</v>
      </c>
    </row>
    <row r="2522" spans="1:1" x14ac:dyDescent="0.25">
      <c r="A2522" t="s">
        <v>4050</v>
      </c>
    </row>
    <row r="2523" spans="1:1" x14ac:dyDescent="0.25">
      <c r="A2523" t="s">
        <v>4051</v>
      </c>
    </row>
    <row r="2524" spans="1:1" x14ac:dyDescent="0.25">
      <c r="A2524" t="s">
        <v>4052</v>
      </c>
    </row>
    <row r="2525" spans="1:1" x14ac:dyDescent="0.25">
      <c r="A2525" t="s">
        <v>4053</v>
      </c>
    </row>
    <row r="2526" spans="1:1" x14ac:dyDescent="0.25">
      <c r="A2526" t="s">
        <v>4054</v>
      </c>
    </row>
    <row r="2527" spans="1:1" x14ac:dyDescent="0.25">
      <c r="A2527" t="s">
        <v>4055</v>
      </c>
    </row>
    <row r="2528" spans="1:1" x14ac:dyDescent="0.25">
      <c r="A2528" t="s">
        <v>4056</v>
      </c>
    </row>
    <row r="2529" spans="1:1" x14ac:dyDescent="0.25">
      <c r="A2529" t="s">
        <v>4057</v>
      </c>
    </row>
    <row r="2530" spans="1:1" x14ac:dyDescent="0.25">
      <c r="A2530" t="s">
        <v>4058</v>
      </c>
    </row>
    <row r="2531" spans="1:1" x14ac:dyDescent="0.25">
      <c r="A2531" t="s">
        <v>4059</v>
      </c>
    </row>
    <row r="2532" spans="1:1" x14ac:dyDescent="0.25">
      <c r="A2532" t="s">
        <v>4060</v>
      </c>
    </row>
    <row r="2533" spans="1:1" x14ac:dyDescent="0.25">
      <c r="A2533" t="s">
        <v>4061</v>
      </c>
    </row>
    <row r="2534" spans="1:1" x14ac:dyDescent="0.25">
      <c r="A2534" t="s">
        <v>4062</v>
      </c>
    </row>
    <row r="2535" spans="1:1" x14ac:dyDescent="0.25">
      <c r="A2535" t="s">
        <v>4063</v>
      </c>
    </row>
    <row r="2536" spans="1:1" x14ac:dyDescent="0.25">
      <c r="A2536" t="s">
        <v>4064</v>
      </c>
    </row>
    <row r="2537" spans="1:1" x14ac:dyDescent="0.25">
      <c r="A2537" t="s">
        <v>4065</v>
      </c>
    </row>
    <row r="2538" spans="1:1" x14ac:dyDescent="0.25">
      <c r="A2538" t="s">
        <v>4066</v>
      </c>
    </row>
    <row r="2539" spans="1:1" x14ac:dyDescent="0.25">
      <c r="A2539" t="s">
        <v>4067</v>
      </c>
    </row>
    <row r="2540" spans="1:1" x14ac:dyDescent="0.25">
      <c r="A2540" t="s">
        <v>4068</v>
      </c>
    </row>
    <row r="2541" spans="1:1" x14ac:dyDescent="0.25">
      <c r="A2541" t="s">
        <v>4069</v>
      </c>
    </row>
    <row r="2542" spans="1:1" x14ac:dyDescent="0.25">
      <c r="A2542" t="s">
        <v>4070</v>
      </c>
    </row>
    <row r="2543" spans="1:1" x14ac:dyDescent="0.25">
      <c r="A2543" t="s">
        <v>4071</v>
      </c>
    </row>
    <row r="2544" spans="1:1" x14ac:dyDescent="0.25">
      <c r="A2544" t="s">
        <v>4072</v>
      </c>
    </row>
    <row r="2545" spans="1:1" x14ac:dyDescent="0.25">
      <c r="A2545" t="s">
        <v>4073</v>
      </c>
    </row>
    <row r="2546" spans="1:1" x14ac:dyDescent="0.25">
      <c r="A2546" t="s">
        <v>4074</v>
      </c>
    </row>
    <row r="2547" spans="1:1" x14ac:dyDescent="0.25">
      <c r="A2547" t="s">
        <v>4075</v>
      </c>
    </row>
    <row r="2548" spans="1:1" x14ac:dyDescent="0.25">
      <c r="A2548" t="s">
        <v>4076</v>
      </c>
    </row>
    <row r="2549" spans="1:1" x14ac:dyDescent="0.25">
      <c r="A2549" t="s">
        <v>4077</v>
      </c>
    </row>
    <row r="2550" spans="1:1" x14ac:dyDescent="0.25">
      <c r="A2550" t="s">
        <v>4078</v>
      </c>
    </row>
    <row r="2551" spans="1:1" x14ac:dyDescent="0.25">
      <c r="A2551" t="s">
        <v>4079</v>
      </c>
    </row>
    <row r="2552" spans="1:1" x14ac:dyDescent="0.25">
      <c r="A2552" t="s">
        <v>4080</v>
      </c>
    </row>
    <row r="2553" spans="1:1" x14ac:dyDescent="0.25">
      <c r="A2553" t="s">
        <v>4081</v>
      </c>
    </row>
    <row r="2554" spans="1:1" x14ac:dyDescent="0.25">
      <c r="A2554" t="s">
        <v>4082</v>
      </c>
    </row>
    <row r="2555" spans="1:1" x14ac:dyDescent="0.25">
      <c r="A2555" t="s">
        <v>4083</v>
      </c>
    </row>
    <row r="2556" spans="1:1" x14ac:dyDescent="0.25">
      <c r="A2556" t="s">
        <v>4084</v>
      </c>
    </row>
    <row r="2557" spans="1:1" x14ac:dyDescent="0.25">
      <c r="A2557" t="s">
        <v>4085</v>
      </c>
    </row>
    <row r="2558" spans="1:1" x14ac:dyDescent="0.25">
      <c r="A2558" t="s">
        <v>4086</v>
      </c>
    </row>
    <row r="2559" spans="1:1" x14ac:dyDescent="0.25">
      <c r="A2559" t="s">
        <v>4087</v>
      </c>
    </row>
    <row r="2560" spans="1:1" x14ac:dyDescent="0.25">
      <c r="A2560" t="s">
        <v>4088</v>
      </c>
    </row>
    <row r="2561" spans="1:1" x14ac:dyDescent="0.25">
      <c r="A2561" t="s">
        <v>4089</v>
      </c>
    </row>
    <row r="2562" spans="1:1" x14ac:dyDescent="0.25">
      <c r="A2562" t="s">
        <v>4090</v>
      </c>
    </row>
    <row r="2563" spans="1:1" x14ac:dyDescent="0.25">
      <c r="A2563" t="s">
        <v>4091</v>
      </c>
    </row>
    <row r="2564" spans="1:1" x14ac:dyDescent="0.25">
      <c r="A2564" t="s">
        <v>4092</v>
      </c>
    </row>
    <row r="2565" spans="1:1" x14ac:dyDescent="0.25">
      <c r="A2565" t="s">
        <v>4093</v>
      </c>
    </row>
    <row r="2566" spans="1:1" x14ac:dyDescent="0.25">
      <c r="A2566" t="s">
        <v>4094</v>
      </c>
    </row>
    <row r="2567" spans="1:1" x14ac:dyDescent="0.25">
      <c r="A2567" t="s">
        <v>4095</v>
      </c>
    </row>
    <row r="2568" spans="1:1" x14ac:dyDescent="0.25">
      <c r="A2568" t="s">
        <v>4096</v>
      </c>
    </row>
    <row r="2569" spans="1:1" x14ac:dyDescent="0.25">
      <c r="A2569" t="s">
        <v>4097</v>
      </c>
    </row>
    <row r="2570" spans="1:1" x14ac:dyDescent="0.25">
      <c r="A2570" t="s">
        <v>4098</v>
      </c>
    </row>
    <row r="2571" spans="1:1" x14ac:dyDescent="0.25">
      <c r="A2571" t="s">
        <v>4099</v>
      </c>
    </row>
    <row r="2572" spans="1:1" x14ac:dyDescent="0.25">
      <c r="A2572" t="s">
        <v>4100</v>
      </c>
    </row>
    <row r="2573" spans="1:1" x14ac:dyDescent="0.25">
      <c r="A2573" t="s">
        <v>4101</v>
      </c>
    </row>
    <row r="2574" spans="1:1" x14ac:dyDescent="0.25">
      <c r="A2574" t="s">
        <v>4102</v>
      </c>
    </row>
    <row r="2575" spans="1:1" x14ac:dyDescent="0.25">
      <c r="A2575" t="s">
        <v>4103</v>
      </c>
    </row>
    <row r="2576" spans="1:1" x14ac:dyDescent="0.25">
      <c r="A2576" t="s">
        <v>4104</v>
      </c>
    </row>
    <row r="2577" spans="1:1" x14ac:dyDescent="0.25">
      <c r="A2577" t="s">
        <v>4105</v>
      </c>
    </row>
    <row r="2578" spans="1:1" x14ac:dyDescent="0.25">
      <c r="A2578" t="s">
        <v>4106</v>
      </c>
    </row>
    <row r="2579" spans="1:1" x14ac:dyDescent="0.25">
      <c r="A2579" t="s">
        <v>4107</v>
      </c>
    </row>
    <row r="2580" spans="1:1" x14ac:dyDescent="0.25">
      <c r="A2580" t="s">
        <v>4108</v>
      </c>
    </row>
    <row r="2581" spans="1:1" x14ac:dyDescent="0.25">
      <c r="A2581" t="s">
        <v>4109</v>
      </c>
    </row>
    <row r="2582" spans="1:1" x14ac:dyDescent="0.25">
      <c r="A2582" t="s">
        <v>4110</v>
      </c>
    </row>
    <row r="2583" spans="1:1" x14ac:dyDescent="0.25">
      <c r="A2583" t="s">
        <v>4111</v>
      </c>
    </row>
    <row r="2584" spans="1:1" x14ac:dyDescent="0.25">
      <c r="A2584" t="s">
        <v>4112</v>
      </c>
    </row>
    <row r="2585" spans="1:1" x14ac:dyDescent="0.25">
      <c r="A2585" t="s">
        <v>4113</v>
      </c>
    </row>
    <row r="2586" spans="1:1" x14ac:dyDescent="0.25">
      <c r="A2586" t="s">
        <v>4114</v>
      </c>
    </row>
    <row r="2587" spans="1:1" x14ac:dyDescent="0.25">
      <c r="A2587" t="s">
        <v>4115</v>
      </c>
    </row>
    <row r="2588" spans="1:1" x14ac:dyDescent="0.25">
      <c r="A2588" t="s">
        <v>4116</v>
      </c>
    </row>
    <row r="2589" spans="1:1" x14ac:dyDescent="0.25">
      <c r="A2589" t="s">
        <v>4117</v>
      </c>
    </row>
    <row r="2590" spans="1:1" x14ac:dyDescent="0.25">
      <c r="A2590" t="s">
        <v>4118</v>
      </c>
    </row>
    <row r="2591" spans="1:1" x14ac:dyDescent="0.25">
      <c r="A2591" t="s">
        <v>4119</v>
      </c>
    </row>
    <row r="2592" spans="1:1" x14ac:dyDescent="0.25">
      <c r="A2592" t="s">
        <v>4120</v>
      </c>
    </row>
    <row r="2593" spans="1:1" x14ac:dyDescent="0.25">
      <c r="A2593" t="s">
        <v>4121</v>
      </c>
    </row>
    <row r="2594" spans="1:1" x14ac:dyDescent="0.25">
      <c r="A2594" t="s">
        <v>4122</v>
      </c>
    </row>
    <row r="2595" spans="1:1" x14ac:dyDescent="0.25">
      <c r="A2595" t="s">
        <v>4123</v>
      </c>
    </row>
    <row r="2596" spans="1:1" x14ac:dyDescent="0.25">
      <c r="A2596" t="s">
        <v>4124</v>
      </c>
    </row>
    <row r="2597" spans="1:1" x14ac:dyDescent="0.25">
      <c r="A2597" t="s">
        <v>4125</v>
      </c>
    </row>
    <row r="2598" spans="1:1" x14ac:dyDescent="0.25">
      <c r="A2598" t="s">
        <v>4126</v>
      </c>
    </row>
    <row r="2599" spans="1:1" x14ac:dyDescent="0.25">
      <c r="A2599" t="s">
        <v>4127</v>
      </c>
    </row>
    <row r="2600" spans="1:1" x14ac:dyDescent="0.25">
      <c r="A2600" t="s">
        <v>4128</v>
      </c>
    </row>
    <row r="2601" spans="1:1" x14ac:dyDescent="0.25">
      <c r="A2601" t="s">
        <v>4129</v>
      </c>
    </row>
    <row r="2602" spans="1:1" x14ac:dyDescent="0.25">
      <c r="A2602" t="s">
        <v>4130</v>
      </c>
    </row>
    <row r="2603" spans="1:1" x14ac:dyDescent="0.25">
      <c r="A2603" t="s">
        <v>4131</v>
      </c>
    </row>
    <row r="2604" spans="1:1" x14ac:dyDescent="0.25">
      <c r="A2604" t="s">
        <v>4132</v>
      </c>
    </row>
    <row r="2605" spans="1:1" x14ac:dyDescent="0.25">
      <c r="A2605" t="s">
        <v>4133</v>
      </c>
    </row>
    <row r="2606" spans="1:1" x14ac:dyDescent="0.25">
      <c r="A2606" t="s">
        <v>4134</v>
      </c>
    </row>
    <row r="2607" spans="1:1" x14ac:dyDescent="0.25">
      <c r="A2607" t="s">
        <v>4135</v>
      </c>
    </row>
    <row r="2608" spans="1:1" x14ac:dyDescent="0.25">
      <c r="A2608" t="s">
        <v>4136</v>
      </c>
    </row>
    <row r="2609" spans="1:1" x14ac:dyDescent="0.25">
      <c r="A2609" t="s">
        <v>4137</v>
      </c>
    </row>
    <row r="2610" spans="1:1" x14ac:dyDescent="0.25">
      <c r="A2610" t="s">
        <v>4138</v>
      </c>
    </row>
    <row r="2611" spans="1:1" x14ac:dyDescent="0.25">
      <c r="A2611" t="s">
        <v>4139</v>
      </c>
    </row>
    <row r="2612" spans="1:1" x14ac:dyDescent="0.25">
      <c r="A2612" t="s">
        <v>4140</v>
      </c>
    </row>
    <row r="2613" spans="1:1" x14ac:dyDescent="0.25">
      <c r="A2613" t="s">
        <v>4141</v>
      </c>
    </row>
    <row r="2614" spans="1:1" x14ac:dyDescent="0.25">
      <c r="A2614" t="s">
        <v>4142</v>
      </c>
    </row>
    <row r="2615" spans="1:1" x14ac:dyDescent="0.25">
      <c r="A2615" t="s">
        <v>4143</v>
      </c>
    </row>
    <row r="2616" spans="1:1" x14ac:dyDescent="0.25">
      <c r="A2616" t="s">
        <v>4144</v>
      </c>
    </row>
    <row r="2617" spans="1:1" x14ac:dyDescent="0.25">
      <c r="A2617" t="s">
        <v>4145</v>
      </c>
    </row>
    <row r="2618" spans="1:1" x14ac:dyDescent="0.25">
      <c r="A2618" t="s">
        <v>4146</v>
      </c>
    </row>
    <row r="2619" spans="1:1" x14ac:dyDescent="0.25">
      <c r="A2619" t="s">
        <v>4147</v>
      </c>
    </row>
    <row r="2620" spans="1:1" x14ac:dyDescent="0.25">
      <c r="A2620" t="s">
        <v>4148</v>
      </c>
    </row>
    <row r="2621" spans="1:1" x14ac:dyDescent="0.25">
      <c r="A2621" t="s">
        <v>4149</v>
      </c>
    </row>
    <row r="2622" spans="1:1" x14ac:dyDescent="0.25">
      <c r="A2622" t="s">
        <v>4150</v>
      </c>
    </row>
    <row r="2623" spans="1:1" x14ac:dyDescent="0.25">
      <c r="A2623" t="s">
        <v>4151</v>
      </c>
    </row>
    <row r="2624" spans="1:1" x14ac:dyDescent="0.25">
      <c r="A2624" t="s">
        <v>4152</v>
      </c>
    </row>
    <row r="2625" spans="1:1" x14ac:dyDescent="0.25">
      <c r="A2625" t="s">
        <v>4153</v>
      </c>
    </row>
    <row r="2626" spans="1:1" x14ac:dyDescent="0.25">
      <c r="A2626" t="s">
        <v>4154</v>
      </c>
    </row>
    <row r="2627" spans="1:1" x14ac:dyDescent="0.25">
      <c r="A2627" t="s">
        <v>4155</v>
      </c>
    </row>
    <row r="2628" spans="1:1" x14ac:dyDescent="0.25">
      <c r="A2628" t="s">
        <v>4156</v>
      </c>
    </row>
    <row r="2629" spans="1:1" x14ac:dyDescent="0.25">
      <c r="A2629" t="s">
        <v>4157</v>
      </c>
    </row>
    <row r="2630" spans="1:1" x14ac:dyDescent="0.25">
      <c r="A2630" t="s">
        <v>4158</v>
      </c>
    </row>
    <row r="2631" spans="1:1" x14ac:dyDescent="0.25">
      <c r="A2631" t="s">
        <v>4159</v>
      </c>
    </row>
    <row r="2632" spans="1:1" x14ac:dyDescent="0.25">
      <c r="A2632" t="s">
        <v>4160</v>
      </c>
    </row>
    <row r="2633" spans="1:1" x14ac:dyDescent="0.25">
      <c r="A2633" t="s">
        <v>4161</v>
      </c>
    </row>
    <row r="2634" spans="1:1" x14ac:dyDescent="0.25">
      <c r="A2634" t="s">
        <v>4162</v>
      </c>
    </row>
    <row r="2635" spans="1:1" x14ac:dyDescent="0.25">
      <c r="A2635" t="s">
        <v>4163</v>
      </c>
    </row>
    <row r="2636" spans="1:1" x14ac:dyDescent="0.25">
      <c r="A2636" t="s">
        <v>4164</v>
      </c>
    </row>
    <row r="2637" spans="1:1" x14ac:dyDescent="0.25">
      <c r="A2637" t="s">
        <v>4165</v>
      </c>
    </row>
    <row r="2638" spans="1:1" x14ac:dyDescent="0.25">
      <c r="A2638" t="s">
        <v>4166</v>
      </c>
    </row>
    <row r="2639" spans="1:1" x14ac:dyDescent="0.25">
      <c r="A2639" t="s">
        <v>4167</v>
      </c>
    </row>
    <row r="2640" spans="1:1" x14ac:dyDescent="0.25">
      <c r="A2640" t="s">
        <v>4168</v>
      </c>
    </row>
    <row r="2641" spans="1:1" x14ac:dyDescent="0.25">
      <c r="A2641" t="s">
        <v>4169</v>
      </c>
    </row>
    <row r="2642" spans="1:1" x14ac:dyDescent="0.25">
      <c r="A2642" t="s">
        <v>4170</v>
      </c>
    </row>
    <row r="2643" spans="1:1" x14ac:dyDescent="0.25">
      <c r="A2643" t="s">
        <v>4171</v>
      </c>
    </row>
    <row r="2644" spans="1:1" x14ac:dyDescent="0.25">
      <c r="A2644" t="s">
        <v>4172</v>
      </c>
    </row>
    <row r="2645" spans="1:1" x14ac:dyDescent="0.25">
      <c r="A2645" t="s">
        <v>4173</v>
      </c>
    </row>
    <row r="2646" spans="1:1" x14ac:dyDescent="0.25">
      <c r="A2646" t="s">
        <v>4174</v>
      </c>
    </row>
    <row r="2647" spans="1:1" x14ac:dyDescent="0.25">
      <c r="A2647" t="s">
        <v>4175</v>
      </c>
    </row>
    <row r="2648" spans="1:1" x14ac:dyDescent="0.25">
      <c r="A2648" t="s">
        <v>4176</v>
      </c>
    </row>
    <row r="2649" spans="1:1" x14ac:dyDescent="0.25">
      <c r="A2649" t="s">
        <v>4177</v>
      </c>
    </row>
    <row r="2650" spans="1:1" x14ac:dyDescent="0.25">
      <c r="A2650" t="s">
        <v>4178</v>
      </c>
    </row>
    <row r="2651" spans="1:1" x14ac:dyDescent="0.25">
      <c r="A2651" t="s">
        <v>4179</v>
      </c>
    </row>
    <row r="2652" spans="1:1" x14ac:dyDescent="0.25">
      <c r="A2652" t="s">
        <v>4180</v>
      </c>
    </row>
    <row r="2653" spans="1:1" x14ac:dyDescent="0.25">
      <c r="A2653" t="s">
        <v>4181</v>
      </c>
    </row>
    <row r="2654" spans="1:1" x14ac:dyDescent="0.25">
      <c r="A2654" t="s">
        <v>4182</v>
      </c>
    </row>
    <row r="2655" spans="1:1" x14ac:dyDescent="0.25">
      <c r="A2655" t="s">
        <v>4183</v>
      </c>
    </row>
    <row r="2656" spans="1:1" x14ac:dyDescent="0.25">
      <c r="A2656" t="s">
        <v>4184</v>
      </c>
    </row>
    <row r="2657" spans="1:1" x14ac:dyDescent="0.25">
      <c r="A2657" t="s">
        <v>4185</v>
      </c>
    </row>
    <row r="2658" spans="1:1" x14ac:dyDescent="0.25">
      <c r="A2658" t="s">
        <v>4186</v>
      </c>
    </row>
    <row r="2659" spans="1:1" x14ac:dyDescent="0.25">
      <c r="A2659" t="s">
        <v>4187</v>
      </c>
    </row>
    <row r="2660" spans="1:1" x14ac:dyDescent="0.25">
      <c r="A2660" t="s">
        <v>4188</v>
      </c>
    </row>
    <row r="2661" spans="1:1" x14ac:dyDescent="0.25">
      <c r="A2661" t="s">
        <v>4189</v>
      </c>
    </row>
    <row r="2662" spans="1:1" x14ac:dyDescent="0.25">
      <c r="A2662" t="s">
        <v>4190</v>
      </c>
    </row>
    <row r="2663" spans="1:1" x14ac:dyDescent="0.25">
      <c r="A2663" t="s">
        <v>4191</v>
      </c>
    </row>
    <row r="2664" spans="1:1" x14ac:dyDescent="0.25">
      <c r="A2664" t="s">
        <v>4192</v>
      </c>
    </row>
    <row r="2665" spans="1:1" x14ac:dyDescent="0.25">
      <c r="A2665" t="s">
        <v>4193</v>
      </c>
    </row>
    <row r="2666" spans="1:1" x14ac:dyDescent="0.25">
      <c r="A2666" t="s">
        <v>4194</v>
      </c>
    </row>
    <row r="2667" spans="1:1" x14ac:dyDescent="0.25">
      <c r="A2667" t="s">
        <v>4195</v>
      </c>
    </row>
    <row r="2668" spans="1:1" x14ac:dyDescent="0.25">
      <c r="A2668" t="s">
        <v>4196</v>
      </c>
    </row>
    <row r="2669" spans="1:1" x14ac:dyDescent="0.25">
      <c r="A2669" t="s">
        <v>4197</v>
      </c>
    </row>
    <row r="2670" spans="1:1" x14ac:dyDescent="0.25">
      <c r="A2670" t="s">
        <v>4198</v>
      </c>
    </row>
    <row r="2671" spans="1:1" x14ac:dyDescent="0.25">
      <c r="A2671" t="s">
        <v>4199</v>
      </c>
    </row>
    <row r="2672" spans="1:1" x14ac:dyDescent="0.25">
      <c r="A2672" t="s">
        <v>4200</v>
      </c>
    </row>
    <row r="2673" spans="1:1" x14ac:dyDescent="0.25">
      <c r="A2673" t="s">
        <v>4201</v>
      </c>
    </row>
    <row r="2674" spans="1:1" x14ac:dyDescent="0.25">
      <c r="A2674" t="s">
        <v>4202</v>
      </c>
    </row>
    <row r="2675" spans="1:1" x14ac:dyDescent="0.25">
      <c r="A2675" t="s">
        <v>4203</v>
      </c>
    </row>
    <row r="2676" spans="1:1" x14ac:dyDescent="0.25">
      <c r="A2676" t="s">
        <v>4204</v>
      </c>
    </row>
    <row r="2677" spans="1:1" x14ac:dyDescent="0.25">
      <c r="A2677" t="s">
        <v>4205</v>
      </c>
    </row>
    <row r="2678" spans="1:1" x14ac:dyDescent="0.25">
      <c r="A2678" t="s">
        <v>4206</v>
      </c>
    </row>
    <row r="2679" spans="1:1" x14ac:dyDescent="0.25">
      <c r="A2679" t="s">
        <v>4207</v>
      </c>
    </row>
    <row r="2680" spans="1:1" x14ac:dyDescent="0.25">
      <c r="A2680" t="s">
        <v>4208</v>
      </c>
    </row>
    <row r="2681" spans="1:1" x14ac:dyDescent="0.25">
      <c r="A2681" t="s">
        <v>4209</v>
      </c>
    </row>
    <row r="2682" spans="1:1" x14ac:dyDescent="0.25">
      <c r="A2682" t="s">
        <v>4210</v>
      </c>
    </row>
    <row r="2683" spans="1:1" x14ac:dyDescent="0.25">
      <c r="A2683" t="s">
        <v>4211</v>
      </c>
    </row>
    <row r="2684" spans="1:1" x14ac:dyDescent="0.25">
      <c r="A2684" t="s">
        <v>4212</v>
      </c>
    </row>
    <row r="2685" spans="1:1" x14ac:dyDescent="0.25">
      <c r="A2685" t="s">
        <v>4213</v>
      </c>
    </row>
    <row r="2686" spans="1:1" x14ac:dyDescent="0.25">
      <c r="A2686" t="s">
        <v>4214</v>
      </c>
    </row>
    <row r="2687" spans="1:1" x14ac:dyDescent="0.25">
      <c r="A2687" t="s">
        <v>4215</v>
      </c>
    </row>
    <row r="2688" spans="1:1" x14ac:dyDescent="0.25">
      <c r="A2688" t="s">
        <v>4216</v>
      </c>
    </row>
    <row r="2689" spans="1:1" x14ac:dyDescent="0.25">
      <c r="A2689" t="s">
        <v>4217</v>
      </c>
    </row>
    <row r="2690" spans="1:1" x14ac:dyDescent="0.25">
      <c r="A2690" t="s">
        <v>4218</v>
      </c>
    </row>
    <row r="2691" spans="1:1" x14ac:dyDescent="0.25">
      <c r="A2691" t="s">
        <v>4219</v>
      </c>
    </row>
    <row r="2692" spans="1:1" x14ac:dyDescent="0.25">
      <c r="A2692" t="s">
        <v>4220</v>
      </c>
    </row>
    <row r="2693" spans="1:1" x14ac:dyDescent="0.25">
      <c r="A2693" t="s">
        <v>4221</v>
      </c>
    </row>
    <row r="2694" spans="1:1" x14ac:dyDescent="0.25">
      <c r="A2694" t="s">
        <v>4222</v>
      </c>
    </row>
    <row r="2695" spans="1:1" x14ac:dyDescent="0.25">
      <c r="A2695" t="s">
        <v>4223</v>
      </c>
    </row>
    <row r="2696" spans="1:1" x14ac:dyDescent="0.25">
      <c r="A2696" t="s">
        <v>4224</v>
      </c>
    </row>
    <row r="2697" spans="1:1" x14ac:dyDescent="0.25">
      <c r="A2697" t="s">
        <v>4225</v>
      </c>
    </row>
    <row r="2698" spans="1:1" x14ac:dyDescent="0.25">
      <c r="A2698" t="s">
        <v>4226</v>
      </c>
    </row>
    <row r="2699" spans="1:1" x14ac:dyDescent="0.25">
      <c r="A2699" t="s">
        <v>4227</v>
      </c>
    </row>
    <row r="2700" spans="1:1" x14ac:dyDescent="0.25">
      <c r="A2700" t="s">
        <v>4228</v>
      </c>
    </row>
    <row r="2701" spans="1:1" x14ac:dyDescent="0.25">
      <c r="A2701" t="s">
        <v>4238</v>
      </c>
    </row>
    <row r="2702" spans="1:1" x14ac:dyDescent="0.25">
      <c r="A2702" t="s">
        <v>4239</v>
      </c>
    </row>
    <row r="2703" spans="1:1" x14ac:dyDescent="0.25">
      <c r="A2703" t="s">
        <v>4240</v>
      </c>
    </row>
    <row r="2704" spans="1:1" x14ac:dyDescent="0.25">
      <c r="A2704" t="s">
        <v>4241</v>
      </c>
    </row>
    <row r="2705" spans="1:1" x14ac:dyDescent="0.25">
      <c r="A2705" t="s">
        <v>4242</v>
      </c>
    </row>
    <row r="2706" spans="1:1" x14ac:dyDescent="0.25">
      <c r="A2706" t="s">
        <v>4243</v>
      </c>
    </row>
    <row r="2707" spans="1:1" x14ac:dyDescent="0.25">
      <c r="A2707" t="s">
        <v>4244</v>
      </c>
    </row>
    <row r="2708" spans="1:1" x14ac:dyDescent="0.25">
      <c r="A2708" t="s">
        <v>4247</v>
      </c>
    </row>
    <row r="2709" spans="1:1" x14ac:dyDescent="0.25">
      <c r="A2709" t="s">
        <v>4248</v>
      </c>
    </row>
    <row r="2710" spans="1:1" x14ac:dyDescent="0.25">
      <c r="A2710" t="s">
        <v>4251</v>
      </c>
    </row>
    <row r="2711" spans="1:1" x14ac:dyDescent="0.25">
      <c r="A2711" t="s">
        <v>4253</v>
      </c>
    </row>
    <row r="2712" spans="1:1" x14ac:dyDescent="0.25">
      <c r="A2712" t="s">
        <v>4254</v>
      </c>
    </row>
    <row r="2713" spans="1:1" x14ac:dyDescent="0.25">
      <c r="A2713" t="s">
        <v>4255</v>
      </c>
    </row>
    <row r="2714" spans="1:1" x14ac:dyDescent="0.25">
      <c r="A2714" t="s">
        <v>4257</v>
      </c>
    </row>
    <row r="2715" spans="1:1" x14ac:dyDescent="0.25">
      <c r="A2715" t="s">
        <v>4260</v>
      </c>
    </row>
    <row r="2716" spans="1:1" x14ac:dyDescent="0.25">
      <c r="A2716" t="s">
        <v>4262</v>
      </c>
    </row>
    <row r="2717" spans="1:1" x14ac:dyDescent="0.25">
      <c r="A2717" t="s">
        <v>4264</v>
      </c>
    </row>
    <row r="2718" spans="1:1" x14ac:dyDescent="0.25">
      <c r="A2718" t="s">
        <v>4268</v>
      </c>
    </row>
    <row r="2719" spans="1:1" x14ac:dyDescent="0.25">
      <c r="A2719" t="s">
        <v>4269</v>
      </c>
    </row>
    <row r="2720" spans="1:1" x14ac:dyDescent="0.25">
      <c r="A2720" t="s">
        <v>4270</v>
      </c>
    </row>
    <row r="2721" spans="1:1" x14ac:dyDescent="0.25">
      <c r="A2721" t="s">
        <v>4271</v>
      </c>
    </row>
    <row r="2722" spans="1:1" x14ac:dyDescent="0.25">
      <c r="A2722" t="s">
        <v>4275</v>
      </c>
    </row>
    <row r="2723" spans="1:1" x14ac:dyDescent="0.25">
      <c r="A2723" t="s">
        <v>4276</v>
      </c>
    </row>
    <row r="2724" spans="1:1" x14ac:dyDescent="0.25">
      <c r="A2724" t="s">
        <v>4278</v>
      </c>
    </row>
    <row r="2725" spans="1:1" x14ac:dyDescent="0.25">
      <c r="A2725" t="s">
        <v>4279</v>
      </c>
    </row>
    <row r="2726" spans="1:1" x14ac:dyDescent="0.25">
      <c r="A2726" t="s">
        <v>4280</v>
      </c>
    </row>
    <row r="2727" spans="1:1" x14ac:dyDescent="0.25">
      <c r="A2727" t="s">
        <v>4281</v>
      </c>
    </row>
    <row r="2728" spans="1:1" x14ac:dyDescent="0.25">
      <c r="A2728" t="s">
        <v>4282</v>
      </c>
    </row>
    <row r="2729" spans="1:1" x14ac:dyDescent="0.25">
      <c r="A2729" t="s">
        <v>4283</v>
      </c>
    </row>
    <row r="2730" spans="1:1" x14ac:dyDescent="0.25">
      <c r="A2730" t="s">
        <v>4284</v>
      </c>
    </row>
    <row r="2731" spans="1:1" x14ac:dyDescent="0.25">
      <c r="A2731" t="s">
        <v>4296</v>
      </c>
    </row>
    <row r="2732" spans="1:1" x14ac:dyDescent="0.25">
      <c r="A2732" t="s">
        <v>4300</v>
      </c>
    </row>
    <row r="2733" spans="1:1" x14ac:dyDescent="0.25">
      <c r="A2733" t="s">
        <v>4302</v>
      </c>
    </row>
    <row r="2734" spans="1:1" x14ac:dyDescent="0.25">
      <c r="A2734" t="s">
        <v>4304</v>
      </c>
    </row>
    <row r="2735" spans="1:1" x14ac:dyDescent="0.25">
      <c r="A2735" t="s">
        <v>4306</v>
      </c>
    </row>
    <row r="2736" spans="1:1" x14ac:dyDescent="0.25">
      <c r="A2736" t="s">
        <v>4308</v>
      </c>
    </row>
    <row r="2737" spans="1:1" x14ac:dyDescent="0.25">
      <c r="A2737" t="s">
        <v>4310</v>
      </c>
    </row>
    <row r="2738" spans="1:1" x14ac:dyDescent="0.25">
      <c r="A2738" t="s">
        <v>4311</v>
      </c>
    </row>
    <row r="2739" spans="1:1" x14ac:dyDescent="0.25">
      <c r="A2739" t="s">
        <v>4313</v>
      </c>
    </row>
    <row r="2740" spans="1:1" x14ac:dyDescent="0.25">
      <c r="A2740" t="s">
        <v>4314</v>
      </c>
    </row>
    <row r="2741" spans="1:1" x14ac:dyDescent="0.25">
      <c r="A2741" t="s">
        <v>4315</v>
      </c>
    </row>
    <row r="2742" spans="1:1" x14ac:dyDescent="0.25">
      <c r="A2742" t="s">
        <v>4316</v>
      </c>
    </row>
    <row r="2743" spans="1:1" x14ac:dyDescent="0.25">
      <c r="A2743" t="s">
        <v>4317</v>
      </c>
    </row>
    <row r="2744" spans="1:1" x14ac:dyDescent="0.25">
      <c r="A2744" t="s">
        <v>4318</v>
      </c>
    </row>
    <row r="2745" spans="1:1" x14ac:dyDescent="0.25">
      <c r="A2745" t="s">
        <v>4261</v>
      </c>
    </row>
    <row r="2746" spans="1:1" x14ac:dyDescent="0.25">
      <c r="A2746" t="s">
        <v>4267</v>
      </c>
    </row>
    <row r="2747" spans="1:1" x14ac:dyDescent="0.25">
      <c r="A2747" t="s">
        <v>4288</v>
      </c>
    </row>
    <row r="2748" spans="1:1" x14ac:dyDescent="0.25">
      <c r="A2748" t="s">
        <v>4290</v>
      </c>
    </row>
    <row r="2749" spans="1:1" x14ac:dyDescent="0.25">
      <c r="A2749" t="s">
        <v>4291</v>
      </c>
    </row>
    <row r="2750" spans="1:1" x14ac:dyDescent="0.25">
      <c r="A2750" t="s">
        <v>4292</v>
      </c>
    </row>
    <row r="2751" spans="1:1" x14ac:dyDescent="0.25">
      <c r="A2751" t="s">
        <v>4293</v>
      </c>
    </row>
    <row r="2752" spans="1:1" x14ac:dyDescent="0.25">
      <c r="A2752" t="s">
        <v>4234</v>
      </c>
    </row>
    <row r="2753" spans="1:1" x14ac:dyDescent="0.25">
      <c r="A2753" t="s">
        <v>4249</v>
      </c>
    </row>
    <row r="2754" spans="1:1" x14ac:dyDescent="0.25">
      <c r="A2754" t="s">
        <v>4252</v>
      </c>
    </row>
    <row r="2755" spans="1:1" x14ac:dyDescent="0.25">
      <c r="A2755" t="s">
        <v>4258</v>
      </c>
    </row>
    <row r="2756" spans="1:1" x14ac:dyDescent="0.25">
      <c r="A2756" t="s">
        <v>4272</v>
      </c>
    </row>
    <row r="2757" spans="1:1" x14ac:dyDescent="0.25">
      <c r="A2757" t="s">
        <v>4246</v>
      </c>
    </row>
    <row r="2758" spans="1:1" x14ac:dyDescent="0.25">
      <c r="A2758" t="s">
        <v>4250</v>
      </c>
    </row>
    <row r="2759" spans="1:1" x14ac:dyDescent="0.25">
      <c r="A2759" t="s">
        <v>4265</v>
      </c>
    </row>
    <row r="2760" spans="1:1" x14ac:dyDescent="0.25">
      <c r="A2760" t="s">
        <v>4273</v>
      </c>
    </row>
    <row r="2761" spans="1:1" x14ac:dyDescent="0.25">
      <c r="A2761" t="s">
        <v>4295</v>
      </c>
    </row>
    <row r="2762" spans="1:1" x14ac:dyDescent="0.25">
      <c r="A2762" t="s">
        <v>4309</v>
      </c>
    </row>
    <row r="2763" spans="1:1" x14ac:dyDescent="0.25">
      <c r="A2763" t="s">
        <v>4236</v>
      </c>
    </row>
    <row r="2764" spans="1:1" x14ac:dyDescent="0.25">
      <c r="A2764" t="s">
        <v>4263</v>
      </c>
    </row>
    <row r="2765" spans="1:1" x14ac:dyDescent="0.25">
      <c r="A2765" t="s">
        <v>4266</v>
      </c>
    </row>
    <row r="2766" spans="1:1" x14ac:dyDescent="0.25">
      <c r="A2766" t="s">
        <v>4298</v>
      </c>
    </row>
    <row r="2767" spans="1:1" x14ac:dyDescent="0.25">
      <c r="A2767" t="s">
        <v>4303</v>
      </c>
    </row>
    <row r="2768" spans="1:1" x14ac:dyDescent="0.25">
      <c r="A2768" t="s">
        <v>4305</v>
      </c>
    </row>
    <row r="2769" spans="1:1" x14ac:dyDescent="0.25">
      <c r="A2769" t="s">
        <v>4307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5" customWidth="1"/>
    <col min="11" max="12" width="15.69921875" style="18" customWidth="1"/>
    <col min="13" max="13" width="11.69921875" style="32" customWidth="1"/>
    <col min="14" max="14" width="10.69921875" style="118" customWidth="1"/>
    <col min="15" max="15" width="15.69921875" style="18" customWidth="1"/>
    <col min="16" max="20" width="10.69921875" style="46" customWidth="1"/>
    <col min="21" max="21" width="10.69921875" style="131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40"/>
      <c r="I1" s="40"/>
      <c r="J1" s="132"/>
      <c r="K1" s="28"/>
      <c r="L1" s="28"/>
      <c r="M1" s="119"/>
      <c r="N1" s="117"/>
      <c r="O1" s="40"/>
      <c r="P1" s="136">
        <f>SUM(P3:AD999702)</f>
        <v>0</v>
      </c>
      <c r="Q1" s="137">
        <f>SUM(PO관리!V3:V1048576)</f>
        <v>0</v>
      </c>
      <c r="R1" s="138" t="b">
        <f>P1=Q1</f>
        <v>1</v>
      </c>
      <c r="S1" s="126"/>
      <c r="T1" s="43"/>
      <c r="U1" s="127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56"/>
      <c r="B2" s="156"/>
      <c r="C2" s="156"/>
      <c r="D2" s="4"/>
      <c r="E2" s="4"/>
      <c r="F2" s="4"/>
      <c r="G2" s="8"/>
      <c r="H2" s="120" t="s">
        <v>1521</v>
      </c>
      <c r="I2" s="120" t="s">
        <v>1522</v>
      </c>
      <c r="J2" s="121" t="s">
        <v>1523</v>
      </c>
      <c r="K2" s="121" t="s">
        <v>271</v>
      </c>
      <c r="L2" s="121" t="s">
        <v>1527</v>
      </c>
      <c r="M2" s="122" t="s">
        <v>1524</v>
      </c>
      <c r="N2" s="123" t="s">
        <v>1525</v>
      </c>
      <c r="O2" s="124" t="s">
        <v>1526</v>
      </c>
      <c r="P2" s="125" t="s">
        <v>4497</v>
      </c>
      <c r="Q2" s="125" t="s">
        <v>4498</v>
      </c>
      <c r="R2" s="125" t="s">
        <v>4499</v>
      </c>
      <c r="S2" s="125" t="s">
        <v>4500</v>
      </c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</row>
    <row r="3" spans="1:30" ht="20.149999999999999" customHeight="1" x14ac:dyDescent="0.25">
      <c r="A3" s="151"/>
      <c r="B3" s="157" t="s">
        <v>1473</v>
      </c>
      <c r="C3" s="157"/>
      <c r="D3" s="4"/>
      <c r="E3" s="4"/>
      <c r="F3" s="4"/>
      <c r="G3" s="8"/>
      <c r="H3" s="16"/>
      <c r="I3" s="16"/>
      <c r="J3" s="133"/>
      <c r="K3" s="16"/>
      <c r="L3" s="16"/>
      <c r="M3" s="36"/>
      <c r="N3" s="84"/>
      <c r="O3" s="16"/>
      <c r="P3" s="168"/>
      <c r="Q3" s="168"/>
      <c r="R3" s="168"/>
      <c r="S3" s="168"/>
      <c r="T3" s="44"/>
      <c r="U3" s="128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1"/>
      <c r="B4" s="157" t="s">
        <v>1474</v>
      </c>
      <c r="C4" s="157"/>
      <c r="D4" s="4"/>
      <c r="E4" s="4"/>
      <c r="F4" s="4"/>
      <c r="G4" s="8"/>
      <c r="H4" s="16"/>
      <c r="I4" s="16"/>
      <c r="J4" s="133"/>
      <c r="K4" s="16"/>
      <c r="L4" s="16"/>
      <c r="M4" s="36"/>
      <c r="N4" s="84"/>
      <c r="O4" s="16"/>
      <c r="P4" s="168"/>
      <c r="Q4" s="168"/>
      <c r="R4" s="168"/>
      <c r="S4" s="168"/>
      <c r="T4" s="44"/>
      <c r="U4" s="128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1"/>
      <c r="B5" s="157" t="s">
        <v>1520</v>
      </c>
      <c r="C5" s="157"/>
      <c r="D5" s="4"/>
      <c r="E5" s="4"/>
      <c r="F5" s="4"/>
      <c r="G5" s="8"/>
      <c r="H5" s="16"/>
      <c r="I5" s="16"/>
      <c r="J5" s="133"/>
      <c r="K5" s="16"/>
      <c r="L5" s="16"/>
      <c r="M5" s="36"/>
      <c r="N5" s="84"/>
      <c r="O5" s="16"/>
      <c r="P5" s="168"/>
      <c r="Q5" s="168"/>
      <c r="R5" s="168"/>
      <c r="S5" s="168"/>
      <c r="T5" s="44"/>
      <c r="U5" s="128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1"/>
      <c r="B6" s="162" t="s">
        <v>1475</v>
      </c>
      <c r="C6" s="162"/>
      <c r="D6" s="4"/>
      <c r="E6" s="4"/>
      <c r="F6" s="4"/>
      <c r="G6" s="8"/>
      <c r="H6" s="16"/>
      <c r="I6" s="16"/>
      <c r="J6" s="133"/>
      <c r="K6" s="16"/>
      <c r="L6" s="16"/>
      <c r="M6" s="36"/>
      <c r="N6" s="84"/>
      <c r="O6" s="16"/>
      <c r="P6" s="168"/>
      <c r="Q6" s="168"/>
      <c r="R6" s="168"/>
      <c r="S6" s="168"/>
      <c r="T6" s="44"/>
      <c r="U6" s="128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1"/>
      <c r="B7" s="162" t="s">
        <v>1476</v>
      </c>
      <c r="C7" s="162"/>
      <c r="D7" s="4"/>
      <c r="E7" s="4"/>
      <c r="F7" s="4"/>
      <c r="G7" s="8"/>
      <c r="H7" s="16"/>
      <c r="I7" s="16"/>
      <c r="J7" s="133"/>
      <c r="K7" s="16"/>
      <c r="L7" s="16"/>
      <c r="M7" s="36"/>
      <c r="N7" s="84"/>
      <c r="O7" s="16"/>
      <c r="P7" s="168"/>
      <c r="Q7" s="168"/>
      <c r="R7" s="168"/>
      <c r="S7" s="168"/>
      <c r="T7" s="44"/>
      <c r="U7" s="128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1"/>
      <c r="B8" s="157" t="s">
        <v>1477</v>
      </c>
      <c r="C8" s="157"/>
      <c r="D8" s="4"/>
      <c r="E8" s="4"/>
      <c r="F8" s="4"/>
      <c r="G8" s="8"/>
      <c r="H8" s="16"/>
      <c r="I8" s="16"/>
      <c r="J8" s="133"/>
      <c r="K8" s="16"/>
      <c r="L8" s="16"/>
      <c r="M8" s="36"/>
      <c r="N8" s="84"/>
      <c r="O8" s="16"/>
      <c r="P8" s="168"/>
      <c r="Q8" s="168"/>
      <c r="R8" s="168"/>
      <c r="S8" s="168"/>
      <c r="T8" s="44"/>
      <c r="U8" s="128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1"/>
      <c r="B9" s="157" t="s">
        <v>1478</v>
      </c>
      <c r="C9" s="157"/>
      <c r="D9" s="4"/>
      <c r="E9" s="4"/>
      <c r="F9" s="4"/>
      <c r="G9" s="8"/>
      <c r="H9" s="16"/>
      <c r="I9" s="16"/>
      <c r="J9" s="133"/>
      <c r="K9" s="16"/>
      <c r="L9" s="16"/>
      <c r="M9" s="36"/>
      <c r="N9" s="84"/>
      <c r="O9" s="16"/>
      <c r="P9" s="168"/>
      <c r="Q9" s="168"/>
      <c r="R9" s="168"/>
      <c r="S9" s="168"/>
      <c r="T9" s="44"/>
      <c r="U9" s="128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1"/>
      <c r="B10" s="157" t="s">
        <v>4483</v>
      </c>
      <c r="C10" s="157"/>
      <c r="D10" s="4"/>
      <c r="E10" s="4"/>
      <c r="F10" s="4"/>
      <c r="G10" s="8"/>
      <c r="H10" s="16"/>
      <c r="I10" s="16"/>
      <c r="J10" s="133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8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1"/>
      <c r="B11" s="157" t="s">
        <v>4355</v>
      </c>
      <c r="C11" s="157"/>
      <c r="D11" s="4"/>
      <c r="E11" s="4"/>
      <c r="F11" s="4"/>
      <c r="G11" s="8"/>
      <c r="H11" s="16"/>
      <c r="I11" s="16"/>
      <c r="J11" s="133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8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1"/>
      <c r="B12" s="157" t="s">
        <v>1479</v>
      </c>
      <c r="C12" s="157"/>
      <c r="D12" s="4"/>
      <c r="E12" s="4"/>
      <c r="F12" s="4"/>
      <c r="G12" s="8"/>
      <c r="H12" s="16"/>
      <c r="I12" s="16"/>
      <c r="J12" s="133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8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12"/>
      <c r="B13" s="156"/>
      <c r="C13" s="156"/>
      <c r="D13" s="4"/>
      <c r="E13" s="4"/>
      <c r="F13" s="4"/>
      <c r="G13" s="8"/>
      <c r="H13" s="16"/>
      <c r="I13" s="16"/>
      <c r="J13" s="133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8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12"/>
      <c r="B14" s="156"/>
      <c r="C14" s="156"/>
      <c r="D14" s="4"/>
      <c r="E14" s="4"/>
      <c r="F14" s="4"/>
      <c r="G14" s="8"/>
      <c r="H14" s="16"/>
      <c r="I14" s="16"/>
      <c r="J14" s="133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8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12"/>
      <c r="B15" s="156" t="s">
        <v>5</v>
      </c>
      <c r="C15" s="156"/>
      <c r="D15" s="4"/>
      <c r="E15" s="4"/>
      <c r="F15" s="4"/>
      <c r="G15" s="8"/>
      <c r="H15" s="16"/>
      <c r="I15" s="16"/>
      <c r="J15" s="133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8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12"/>
      <c r="B16" s="156" t="s">
        <v>6</v>
      </c>
      <c r="C16" s="156"/>
      <c r="D16" s="4"/>
      <c r="E16" s="4"/>
      <c r="F16" s="4"/>
      <c r="G16" s="8"/>
      <c r="H16" s="16"/>
      <c r="I16" s="16"/>
      <c r="J16" s="133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8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33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8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12"/>
      <c r="B18" s="158" t="s">
        <v>1098</v>
      </c>
      <c r="C18" s="158"/>
      <c r="D18" s="4"/>
      <c r="E18" s="4"/>
      <c r="F18" s="4"/>
      <c r="G18" s="8"/>
      <c r="H18" s="16"/>
      <c r="I18" s="16"/>
      <c r="J18" s="133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8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33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8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33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8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33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8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33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8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33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8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33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8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33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8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33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8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33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8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34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9"/>
      <c r="V28" s="130"/>
      <c r="W28" s="130"/>
      <c r="X28" s="130"/>
      <c r="Y28" s="130"/>
      <c r="Z28" s="130"/>
      <c r="AA28" s="130"/>
      <c r="AB28" s="130"/>
      <c r="AC28" s="130"/>
      <c r="AD28" s="45"/>
    </row>
  </sheetData>
  <mergeCells count="17">
    <mergeCell ref="B6:C6"/>
    <mergeCell ref="A1:C1"/>
    <mergeCell ref="A2:C2"/>
    <mergeCell ref="B3:C3"/>
    <mergeCell ref="B4:C4"/>
    <mergeCell ref="B5:C5"/>
    <mergeCell ref="B18:C18"/>
    <mergeCell ref="B10:C10"/>
    <mergeCell ref="B11:C11"/>
    <mergeCell ref="B12:C12"/>
    <mergeCell ref="B13:C13"/>
    <mergeCell ref="B14:C14"/>
    <mergeCell ref="B7:C7"/>
    <mergeCell ref="B8:C8"/>
    <mergeCell ref="B9:C9"/>
    <mergeCell ref="B15:C15"/>
    <mergeCell ref="B16:C16"/>
  </mergeCells>
  <phoneticPr fontId="1" type="noConversion"/>
  <conditionalFormatting sqref="H3:H27">
    <cfRule type="cellIs" dxfId="248" priority="3" operator="equal">
      <formula>"DELETED"</formula>
    </cfRule>
    <cfRule type="cellIs" dxfId="247" priority="4" operator="equal">
      <formula>"삭제"</formula>
    </cfRule>
    <cfRule type="cellIs" dxfId="246" priority="5" operator="equal">
      <formula>"수정"</formula>
    </cfRule>
    <cfRule type="cellIs" dxfId="245" priority="6" operator="equal">
      <formula>"UPDATED"</formula>
    </cfRule>
  </conditionalFormatting>
  <conditionalFormatting sqref="R1">
    <cfRule type="cellIs" dxfId="244" priority="1" operator="equal">
      <formula>FALSE</formula>
    </cfRule>
    <cfRule type="cellIs" dxfId="243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18:C18" r:id="rId1" display="대시보드" xr:uid="{22AEE6E8-E5F2-4DD5-A6E3-C19C19E22533}"/>
    <hyperlink ref="B3:C3" location="인덴트관리!A1" display="1. 인덴트 관리" xr:uid="{58415E59-F47F-42F5-81D8-93CFFAD5AA97}"/>
    <hyperlink ref="B4:C4" location="PO관리!A1" display="2. PO 관리" xr:uid="{29FB2EB5-2D50-4437-911F-AA28BA5C2DE4}"/>
    <hyperlink ref="B6:C6" location="지출계획!A1" display="3. 지출계획" xr:uid="{6F834394-BA26-47A7-9B40-5CDA01584286}"/>
    <hyperlink ref="B7:C7" location="매출채권!A1" display="4. 매출채권" xr:uid="{DA03D9AF-B8B6-441B-9954-D6317B940961}"/>
    <hyperlink ref="B8:C8" location="체크리스트!A1" display="5. 체크리스트" xr:uid="{95EFA30F-50F1-4F11-9C35-F499B4ED10D4}"/>
    <hyperlink ref="B9:C9" location="발주서!A1" display="6. 발주서" xr:uid="{923CC15F-E64A-4573-8700-6C4B10E30061}"/>
    <hyperlink ref="B12:C12" location="Tracking!A1" display="Tracking" xr:uid="{DD61BC78-E920-43EB-B7AA-C5915F9EA204}"/>
    <hyperlink ref="B5:C5" location="PO관리툴!A1" display="PO 관리" xr:uid="{CB8CFC45-9FFF-40EA-A2E5-5D8210ACD066}"/>
    <hyperlink ref="B11:C11" location="선적수량!A1" display="선적수량" xr:uid="{0815BBC1-224D-47A9-8BAA-CD856823CE9C}"/>
    <hyperlink ref="B10:C10" location="견적서!A1" display="견적서" xr:uid="{A9871AFF-D816-4D30-8FE5-8CBB307E00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8FE4FC8-F4EE-4BB4-92F8-99717A076308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DF77EC05-F40F-4075-A12B-A658E3FFB7F0}">
          <x14:formula1>
            <xm:f>validation!$K$2:$K$28</xm:f>
          </x14:formula1>
          <xm:sqref>L3:L27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8.796875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16384" width="8.796875" style="2"/>
  </cols>
  <sheetData>
    <row r="1" spans="1:31" ht="20.149999999999999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40">
        <v>73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.149999999999999" customHeight="1" x14ac:dyDescent="0.25">
      <c r="A2" s="156"/>
      <c r="B2" s="156"/>
      <c r="C2" s="156"/>
      <c r="D2" s="4"/>
      <c r="E2" s="4"/>
      <c r="F2" s="4"/>
      <c r="G2" s="8"/>
      <c r="H2" s="155" t="s">
        <v>12</v>
      </c>
      <c r="I2" s="61" t="s">
        <v>1131</v>
      </c>
      <c r="J2" s="19" t="s">
        <v>12</v>
      </c>
      <c r="K2" s="62" t="s">
        <v>1129</v>
      </c>
      <c r="L2" s="19" t="s">
        <v>12</v>
      </c>
      <c r="M2" s="62" t="s">
        <v>1130</v>
      </c>
      <c r="N2" s="155" t="s">
        <v>12</v>
      </c>
      <c r="O2" s="61" t="s">
        <v>1132</v>
      </c>
      <c r="P2" s="61" t="s">
        <v>1133</v>
      </c>
      <c r="Q2" s="61" t="s">
        <v>1134</v>
      </c>
      <c r="R2" s="61" t="s">
        <v>1137</v>
      </c>
      <c r="S2" s="61" t="s">
        <v>1136</v>
      </c>
      <c r="T2" s="78" t="s">
        <v>12</v>
      </c>
      <c r="U2" s="61" t="s">
        <v>1138</v>
      </c>
      <c r="V2" s="78" t="s">
        <v>12</v>
      </c>
      <c r="W2" s="61" t="s">
        <v>1139</v>
      </c>
      <c r="X2" s="78" t="s">
        <v>12</v>
      </c>
      <c r="Y2" s="61" t="s">
        <v>1140</v>
      </c>
      <c r="Z2" s="19" t="s">
        <v>12</v>
      </c>
      <c r="AA2" s="61" t="s">
        <v>1141</v>
      </c>
      <c r="AB2" s="54" t="s">
        <v>1142</v>
      </c>
      <c r="AC2" s="55" t="s">
        <v>1143</v>
      </c>
      <c r="AD2" s="75" t="s">
        <v>1461</v>
      </c>
      <c r="AE2" s="8"/>
    </row>
    <row r="3" spans="1:31" ht="20.149999999999999" customHeight="1" x14ac:dyDescent="0.25">
      <c r="A3" s="151"/>
      <c r="B3" s="157" t="s">
        <v>1473</v>
      </c>
      <c r="C3" s="157"/>
      <c r="D3" s="4"/>
      <c r="E3" s="4"/>
      <c r="F3" s="4"/>
      <c r="G3" s="8"/>
      <c r="H3" s="16"/>
      <c r="I3" s="16"/>
      <c r="J3" s="16"/>
      <c r="K3" s="63"/>
      <c r="L3" s="16"/>
      <c r="M3" s="63"/>
      <c r="N3" s="16"/>
      <c r="O3" s="63"/>
      <c r="P3" s="63"/>
      <c r="Q3" s="64"/>
      <c r="R3" s="63"/>
      <c r="S3" s="63"/>
      <c r="T3" s="79"/>
      <c r="U3" s="65"/>
      <c r="V3" s="79"/>
      <c r="W3" s="65"/>
      <c r="X3" s="79"/>
      <c r="Y3" s="66"/>
      <c r="Z3" s="16"/>
      <c r="AA3" s="66"/>
      <c r="AB3" s="52"/>
      <c r="AC3" s="48"/>
      <c r="AD3" s="44"/>
      <c r="AE3" s="8"/>
    </row>
    <row r="4" spans="1:31" ht="20.149999999999999" customHeight="1" x14ac:dyDescent="0.25">
      <c r="A4" s="151"/>
      <c r="B4" s="157" t="s">
        <v>1474</v>
      </c>
      <c r="C4" s="157"/>
      <c r="D4" s="4"/>
      <c r="E4" s="4"/>
      <c r="F4" s="4"/>
      <c r="G4" s="8"/>
      <c r="H4" s="16"/>
      <c r="I4" s="16"/>
      <c r="J4" s="16"/>
      <c r="K4" s="63"/>
      <c r="L4" s="16"/>
      <c r="M4" s="63"/>
      <c r="N4" s="16"/>
      <c r="O4" s="63"/>
      <c r="P4" s="63"/>
      <c r="Q4" s="64"/>
      <c r="R4" s="63"/>
      <c r="S4" s="63"/>
      <c r="T4" s="79"/>
      <c r="U4" s="65"/>
      <c r="V4" s="79"/>
      <c r="W4" s="65"/>
      <c r="X4" s="79"/>
      <c r="Y4" s="66"/>
      <c r="Z4" s="16"/>
      <c r="AA4" s="66"/>
      <c r="AB4" s="52"/>
      <c r="AC4" s="48"/>
      <c r="AD4" s="44"/>
      <c r="AE4" s="8"/>
    </row>
    <row r="5" spans="1:31" ht="20.149999999999999" customHeight="1" x14ac:dyDescent="0.25">
      <c r="A5" s="151"/>
      <c r="B5" s="157" t="s">
        <v>1520</v>
      </c>
      <c r="C5" s="157"/>
      <c r="D5" s="4"/>
      <c r="E5" s="4"/>
      <c r="F5" s="4"/>
      <c r="G5" s="8"/>
      <c r="H5" s="16"/>
      <c r="I5" s="16"/>
      <c r="J5" s="16"/>
      <c r="K5" s="63"/>
      <c r="L5" s="16"/>
      <c r="M5" s="63"/>
      <c r="N5" s="16"/>
      <c r="O5" s="63"/>
      <c r="P5" s="63"/>
      <c r="Q5" s="64"/>
      <c r="R5" s="63"/>
      <c r="S5" s="63"/>
      <c r="T5" s="79"/>
      <c r="U5" s="65"/>
      <c r="V5" s="79"/>
      <c r="W5" s="65"/>
      <c r="X5" s="79"/>
      <c r="Y5" s="66"/>
      <c r="Z5" s="16"/>
      <c r="AA5" s="66"/>
      <c r="AB5" s="52"/>
      <c r="AC5" s="48"/>
      <c r="AD5" s="44"/>
      <c r="AE5" s="8"/>
    </row>
    <row r="6" spans="1:31" ht="20.149999999999999" customHeight="1" x14ac:dyDescent="0.25">
      <c r="A6" s="151"/>
      <c r="B6" s="162" t="s">
        <v>1475</v>
      </c>
      <c r="C6" s="162"/>
      <c r="D6" s="163" t="s">
        <v>1460</v>
      </c>
      <c r="E6" s="163"/>
      <c r="F6" s="163"/>
      <c r="G6" s="8"/>
      <c r="H6" s="16"/>
      <c r="I6" s="16"/>
      <c r="J6" s="16"/>
      <c r="K6" s="63"/>
      <c r="L6" s="16"/>
      <c r="M6" s="63"/>
      <c r="N6" s="16"/>
      <c r="O6" s="63"/>
      <c r="P6" s="63"/>
      <c r="Q6" s="64"/>
      <c r="R6" s="63"/>
      <c r="S6" s="63"/>
      <c r="T6" s="79"/>
      <c r="U6" s="65"/>
      <c r="V6" s="79"/>
      <c r="W6" s="65"/>
      <c r="X6" s="79"/>
      <c r="Y6" s="66"/>
      <c r="Z6" s="16"/>
      <c r="AA6" s="66"/>
      <c r="AB6" s="52"/>
      <c r="AC6" s="48"/>
      <c r="AD6" s="44"/>
      <c r="AE6" s="8"/>
    </row>
    <row r="7" spans="1:31" ht="20.149999999999999" customHeight="1" x14ac:dyDescent="0.25">
      <c r="A7" s="151"/>
      <c r="B7" s="162" t="s">
        <v>1476</v>
      </c>
      <c r="C7" s="162"/>
      <c r="D7" s="4"/>
      <c r="E7" s="4"/>
      <c r="F7" s="4"/>
      <c r="G7" s="8"/>
      <c r="H7" s="16"/>
      <c r="I7" s="16"/>
      <c r="J7" s="16"/>
      <c r="K7" s="63"/>
      <c r="L7" s="16"/>
      <c r="M7" s="63"/>
      <c r="N7" s="16"/>
      <c r="O7" s="63"/>
      <c r="P7" s="63"/>
      <c r="Q7" s="64"/>
      <c r="R7" s="63"/>
      <c r="S7" s="63"/>
      <c r="T7" s="79"/>
      <c r="U7" s="65"/>
      <c r="V7" s="79"/>
      <c r="W7" s="65"/>
      <c r="X7" s="79"/>
      <c r="Y7" s="66"/>
      <c r="Z7" s="16"/>
      <c r="AA7" s="66"/>
      <c r="AB7" s="52"/>
      <c r="AC7" s="48"/>
      <c r="AD7" s="44"/>
      <c r="AE7" s="8"/>
    </row>
    <row r="8" spans="1:31" ht="20.149999999999999" customHeight="1" x14ac:dyDescent="0.25">
      <c r="A8" s="151"/>
      <c r="B8" s="157" t="s">
        <v>1477</v>
      </c>
      <c r="C8" s="157"/>
      <c r="D8" s="4"/>
      <c r="E8" s="4"/>
      <c r="F8" s="4"/>
      <c r="G8" s="8"/>
      <c r="H8" s="16"/>
      <c r="I8" s="16"/>
      <c r="J8" s="16"/>
      <c r="K8" s="63"/>
      <c r="L8" s="16"/>
      <c r="M8" s="63"/>
      <c r="N8" s="16"/>
      <c r="O8" s="63"/>
      <c r="P8" s="63"/>
      <c r="Q8" s="64"/>
      <c r="R8" s="63"/>
      <c r="S8" s="63"/>
      <c r="T8" s="79"/>
      <c r="U8" s="65"/>
      <c r="V8" s="79"/>
      <c r="W8" s="65"/>
      <c r="X8" s="79"/>
      <c r="Y8" s="66"/>
      <c r="Z8" s="16"/>
      <c r="AA8" s="66"/>
      <c r="AB8" s="52"/>
      <c r="AC8" s="48"/>
      <c r="AD8" s="44"/>
      <c r="AE8" s="8"/>
    </row>
    <row r="9" spans="1:31" ht="20.149999999999999" customHeight="1" x14ac:dyDescent="0.25">
      <c r="A9" s="151"/>
      <c r="B9" s="157" t="s">
        <v>1478</v>
      </c>
      <c r="C9" s="157"/>
      <c r="D9" s="4"/>
      <c r="E9" s="4"/>
      <c r="F9" s="4"/>
      <c r="G9" s="8"/>
      <c r="H9" s="16"/>
      <c r="I9" s="16"/>
      <c r="J9" s="16"/>
      <c r="K9" s="63"/>
      <c r="L9" s="16"/>
      <c r="M9" s="63"/>
      <c r="N9" s="16"/>
      <c r="O9" s="63"/>
      <c r="P9" s="63"/>
      <c r="Q9" s="64"/>
      <c r="R9" s="63"/>
      <c r="S9" s="63"/>
      <c r="T9" s="79"/>
      <c r="U9" s="65"/>
      <c r="V9" s="79"/>
      <c r="W9" s="65"/>
      <c r="X9" s="79"/>
      <c r="Y9" s="66"/>
      <c r="Z9" s="16"/>
      <c r="AA9" s="66"/>
      <c r="AB9" s="52"/>
      <c r="AC9" s="48"/>
      <c r="AD9" s="44"/>
      <c r="AE9" s="8"/>
    </row>
    <row r="10" spans="1:31" ht="20.149999999999999" customHeight="1" x14ac:dyDescent="0.25">
      <c r="A10" s="151"/>
      <c r="B10" s="157" t="s">
        <v>4483</v>
      </c>
      <c r="C10" s="157"/>
      <c r="D10" s="24"/>
      <c r="E10" s="33" t="s">
        <v>208</v>
      </c>
      <c r="F10" s="4"/>
      <c r="G10" s="8"/>
      <c r="H10" s="16"/>
      <c r="I10" s="16"/>
      <c r="J10" s="16"/>
      <c r="K10" s="63"/>
      <c r="L10" s="16"/>
      <c r="M10" s="63"/>
      <c r="N10" s="16"/>
      <c r="O10" s="63"/>
      <c r="P10" s="63"/>
      <c r="Q10" s="64"/>
      <c r="R10" s="63"/>
      <c r="S10" s="63"/>
      <c r="T10" s="79"/>
      <c r="U10" s="65"/>
      <c r="V10" s="79"/>
      <c r="W10" s="65"/>
      <c r="X10" s="79"/>
      <c r="Y10" s="66"/>
      <c r="Z10" s="16"/>
      <c r="AA10" s="66"/>
      <c r="AB10" s="52"/>
      <c r="AC10" s="48"/>
      <c r="AD10" s="44"/>
      <c r="AE10" s="8"/>
    </row>
    <row r="11" spans="1:31" ht="20.149999999999999" customHeight="1" x14ac:dyDescent="0.25">
      <c r="A11" s="151"/>
      <c r="B11" s="157" t="s">
        <v>4355</v>
      </c>
      <c r="C11" s="157"/>
      <c r="D11" s="24" t="s">
        <v>215</v>
      </c>
      <c r="E11" s="34" t="str">
        <f>인덴트_임시!A4</f>
        <v>DHGK-2143</v>
      </c>
      <c r="F11" s="4"/>
      <c r="G11" s="8"/>
      <c r="H11" s="16"/>
      <c r="I11" s="16"/>
      <c r="J11" s="16"/>
      <c r="K11" s="63"/>
      <c r="L11" s="16"/>
      <c r="M11" s="63"/>
      <c r="N11" s="16"/>
      <c r="O11" s="63"/>
      <c r="P11" s="63"/>
      <c r="Q11" s="64"/>
      <c r="R11" s="63"/>
      <c r="S11" s="63"/>
      <c r="T11" s="79"/>
      <c r="U11" s="65"/>
      <c r="V11" s="79"/>
      <c r="W11" s="65"/>
      <c r="X11" s="79"/>
      <c r="Y11" s="66"/>
      <c r="Z11" s="16"/>
      <c r="AA11" s="66"/>
      <c r="AB11" s="52"/>
      <c r="AC11" s="48"/>
      <c r="AD11" s="44"/>
      <c r="AE11" s="8"/>
    </row>
    <row r="12" spans="1:31" ht="20.149999999999999" customHeight="1" x14ac:dyDescent="0.25">
      <c r="A12" s="151"/>
      <c r="B12" s="157" t="s">
        <v>1479</v>
      </c>
      <c r="C12" s="157"/>
      <c r="D12" s="24" t="s">
        <v>216</v>
      </c>
      <c r="E12" s="33" t="s">
        <v>209</v>
      </c>
      <c r="F12" s="4"/>
      <c r="G12" s="8"/>
      <c r="H12" s="16"/>
      <c r="I12" s="16"/>
      <c r="J12" s="16"/>
      <c r="K12" s="63"/>
      <c r="L12" s="16"/>
      <c r="M12" s="63"/>
      <c r="N12" s="16"/>
      <c r="O12" s="63"/>
      <c r="P12" s="63"/>
      <c r="Q12" s="64"/>
      <c r="R12" s="63"/>
      <c r="S12" s="63"/>
      <c r="T12" s="79"/>
      <c r="U12" s="65"/>
      <c r="V12" s="79"/>
      <c r="W12" s="65"/>
      <c r="X12" s="79"/>
      <c r="Y12" s="66"/>
      <c r="Z12" s="16"/>
      <c r="AA12" s="66"/>
      <c r="AB12" s="52"/>
      <c r="AC12" s="48"/>
      <c r="AD12" s="44"/>
      <c r="AE12" s="8"/>
    </row>
    <row r="13" spans="1:31" ht="20.149999999999999" customHeight="1" x14ac:dyDescent="0.25">
      <c r="A13" s="112"/>
      <c r="B13" s="156"/>
      <c r="C13" s="156"/>
      <c r="D13" s="24" t="s">
        <v>217</v>
      </c>
      <c r="E13" s="34" t="str">
        <f>인덴트_임시!A5</f>
        <v>Maurices</v>
      </c>
      <c r="F13" s="4"/>
      <c r="G13" s="8"/>
      <c r="H13" s="16"/>
      <c r="I13" s="16"/>
      <c r="J13" s="16"/>
      <c r="K13" s="63"/>
      <c r="L13" s="16"/>
      <c r="M13" s="63"/>
      <c r="N13" s="16"/>
      <c r="O13" s="63"/>
      <c r="P13" s="63"/>
      <c r="Q13" s="64"/>
      <c r="R13" s="63"/>
      <c r="S13" s="63"/>
      <c r="T13" s="79"/>
      <c r="U13" s="65"/>
      <c r="V13" s="79"/>
      <c r="W13" s="65"/>
      <c r="X13" s="79"/>
      <c r="Y13" s="66"/>
      <c r="Z13" s="16"/>
      <c r="AA13" s="66"/>
      <c r="AB13" s="52"/>
      <c r="AC13" s="48"/>
      <c r="AD13" s="44"/>
      <c r="AE13" s="8"/>
    </row>
    <row r="14" spans="1:31" ht="20.149999999999999" customHeight="1" x14ac:dyDescent="0.25">
      <c r="A14" s="112"/>
      <c r="B14" s="156"/>
      <c r="C14" s="156"/>
      <c r="D14" s="24"/>
      <c r="E14" s="33" t="s">
        <v>210</v>
      </c>
      <c r="F14" s="4"/>
      <c r="G14" s="8"/>
      <c r="H14" s="16"/>
      <c r="I14" s="16"/>
      <c r="J14" s="16"/>
      <c r="K14" s="63"/>
      <c r="L14" s="16"/>
      <c r="M14" s="63"/>
      <c r="N14" s="16"/>
      <c r="O14" s="63"/>
      <c r="P14" s="63"/>
      <c r="Q14" s="64"/>
      <c r="R14" s="63"/>
      <c r="S14" s="63"/>
      <c r="T14" s="79"/>
      <c r="U14" s="65"/>
      <c r="V14" s="79"/>
      <c r="W14" s="65"/>
      <c r="X14" s="79"/>
      <c r="Y14" s="66"/>
      <c r="Z14" s="16"/>
      <c r="AA14" s="66"/>
      <c r="AB14" s="52"/>
      <c r="AC14" s="48"/>
      <c r="AD14" s="44"/>
      <c r="AE14" s="8"/>
    </row>
    <row r="15" spans="1:31" ht="20.149999999999999" customHeight="1" x14ac:dyDescent="0.25">
      <c r="A15" s="112"/>
      <c r="B15" s="156" t="s">
        <v>5</v>
      </c>
      <c r="C15" s="156"/>
      <c r="D15" s="24" t="s">
        <v>218</v>
      </c>
      <c r="E15" s="34" t="str">
        <f>인덴트_임시!A6</f>
        <v>ESGM22742KM</v>
      </c>
      <c r="F15" s="4"/>
      <c r="G15" s="8"/>
      <c r="H15" s="16"/>
      <c r="I15" s="16"/>
      <c r="J15" s="16"/>
      <c r="K15" s="63"/>
      <c r="L15" s="16"/>
      <c r="M15" s="63"/>
      <c r="N15" s="16"/>
      <c r="O15" s="63"/>
      <c r="P15" s="63"/>
      <c r="Q15" s="64"/>
      <c r="R15" s="63"/>
      <c r="S15" s="63"/>
      <c r="T15" s="79"/>
      <c r="U15" s="65"/>
      <c r="V15" s="79"/>
      <c r="W15" s="65"/>
      <c r="X15" s="79"/>
      <c r="Y15" s="66"/>
      <c r="Z15" s="16"/>
      <c r="AA15" s="66"/>
      <c r="AB15" s="52"/>
      <c r="AC15" s="48"/>
      <c r="AD15" s="44"/>
      <c r="AE15" s="8"/>
    </row>
    <row r="16" spans="1:31" ht="20.149999999999999" customHeight="1" x14ac:dyDescent="0.25">
      <c r="A16" s="112"/>
      <c r="B16" s="156" t="s">
        <v>6</v>
      </c>
      <c r="C16" s="156"/>
      <c r="D16" s="24" t="s">
        <v>219</v>
      </c>
      <c r="E16" s="33" t="s">
        <v>211</v>
      </c>
      <c r="F16" s="4"/>
      <c r="G16" s="8"/>
      <c r="H16" s="16"/>
      <c r="I16" s="16"/>
      <c r="J16" s="16"/>
      <c r="K16" s="63"/>
      <c r="L16" s="16"/>
      <c r="M16" s="63"/>
      <c r="N16" s="16"/>
      <c r="O16" s="63"/>
      <c r="P16" s="63"/>
      <c r="Q16" s="64"/>
      <c r="R16" s="63"/>
      <c r="S16" s="63"/>
      <c r="T16" s="79"/>
      <c r="U16" s="65"/>
      <c r="V16" s="79"/>
      <c r="W16" s="65"/>
      <c r="X16" s="79"/>
      <c r="Y16" s="66"/>
      <c r="Z16" s="16"/>
      <c r="AA16" s="66"/>
      <c r="AB16" s="52"/>
      <c r="AC16" s="48"/>
      <c r="AD16" s="44"/>
      <c r="AE16" s="8"/>
    </row>
    <row r="17" spans="1:31" ht="20.149999999999999" customHeight="1" x14ac:dyDescent="0.25">
      <c r="A17" s="112"/>
      <c r="B17" s="112"/>
      <c r="C17" s="112"/>
      <c r="D17" s="24" t="s">
        <v>220</v>
      </c>
      <c r="E17" s="34" t="str">
        <f>인덴트_임시!A7&amp;" "&amp;인덴트_임시!A8</f>
        <v>SS 2022</v>
      </c>
      <c r="F17" s="4"/>
      <c r="G17" s="8"/>
      <c r="H17" s="16"/>
      <c r="I17" s="16"/>
      <c r="J17" s="16"/>
      <c r="K17" s="63"/>
      <c r="L17" s="16"/>
      <c r="M17" s="63"/>
      <c r="N17" s="16"/>
      <c r="O17" s="63"/>
      <c r="P17" s="63"/>
      <c r="Q17" s="64"/>
      <c r="R17" s="63"/>
      <c r="S17" s="63"/>
      <c r="T17" s="79"/>
      <c r="U17" s="65"/>
      <c r="V17" s="79"/>
      <c r="W17" s="65"/>
      <c r="X17" s="79"/>
      <c r="Y17" s="66"/>
      <c r="Z17" s="16"/>
      <c r="AA17" s="66"/>
      <c r="AB17" s="52"/>
      <c r="AC17" s="48"/>
      <c r="AD17" s="44"/>
      <c r="AE17" s="8"/>
    </row>
    <row r="18" spans="1:31" ht="20.149999999999999" customHeight="1" x14ac:dyDescent="0.25">
      <c r="A18" s="112"/>
      <c r="B18" s="158" t="s">
        <v>1098</v>
      </c>
      <c r="C18" s="158"/>
      <c r="D18" s="24"/>
      <c r="E18" s="33" t="s">
        <v>256</v>
      </c>
      <c r="F18" s="4"/>
      <c r="G18" s="8"/>
      <c r="H18" s="16"/>
      <c r="I18" s="16"/>
      <c r="J18" s="16"/>
      <c r="K18" s="63"/>
      <c r="L18" s="16"/>
      <c r="M18" s="63"/>
      <c r="N18" s="16"/>
      <c r="O18" s="63"/>
      <c r="P18" s="63"/>
      <c r="Q18" s="64"/>
      <c r="R18" s="63"/>
      <c r="S18" s="63"/>
      <c r="T18" s="79"/>
      <c r="U18" s="65"/>
      <c r="V18" s="79"/>
      <c r="W18" s="65"/>
      <c r="X18" s="79"/>
      <c r="Y18" s="66"/>
      <c r="Z18" s="16"/>
      <c r="AA18" s="66"/>
      <c r="AB18" s="52"/>
      <c r="AC18" s="48"/>
      <c r="AD18" s="44"/>
      <c r="AE18" s="8"/>
    </row>
    <row r="19" spans="1:31" ht="20.149999999999999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/>
      <c r="I19" s="16"/>
      <c r="J19" s="16"/>
      <c r="K19" s="63"/>
      <c r="L19" s="16"/>
      <c r="M19" s="63"/>
      <c r="N19" s="16"/>
      <c r="O19" s="63"/>
      <c r="P19" s="63"/>
      <c r="Q19" s="64"/>
      <c r="R19" s="63"/>
      <c r="S19" s="63"/>
      <c r="T19" s="79"/>
      <c r="U19" s="65"/>
      <c r="V19" s="79"/>
      <c r="W19" s="65"/>
      <c r="X19" s="79"/>
      <c r="Y19" s="66"/>
      <c r="Z19" s="16"/>
      <c r="AA19" s="66"/>
      <c r="AB19" s="52"/>
      <c r="AC19" s="48"/>
      <c r="AD19" s="44"/>
      <c r="AE19" s="8"/>
    </row>
    <row r="20" spans="1:31" ht="20.149999999999999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/>
      <c r="I20" s="16"/>
      <c r="J20" s="16"/>
      <c r="K20" s="63"/>
      <c r="L20" s="16"/>
      <c r="M20" s="63"/>
      <c r="N20" s="16"/>
      <c r="O20" s="63"/>
      <c r="P20" s="63"/>
      <c r="Q20" s="64"/>
      <c r="R20" s="63"/>
      <c r="S20" s="63"/>
      <c r="T20" s="79"/>
      <c r="U20" s="65"/>
      <c r="V20" s="79"/>
      <c r="W20" s="65"/>
      <c r="X20" s="79"/>
      <c r="Y20" s="66"/>
      <c r="Z20" s="16"/>
      <c r="AA20" s="66"/>
      <c r="AB20" s="52"/>
      <c r="AC20" s="48"/>
      <c r="AD20" s="44"/>
      <c r="AE20" s="8"/>
    </row>
    <row r="21" spans="1:31" ht="20.149999999999999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/>
      <c r="I21" s="16"/>
      <c r="J21" s="16"/>
      <c r="K21" s="63"/>
      <c r="L21" s="16"/>
      <c r="M21" s="63"/>
      <c r="N21" s="16"/>
      <c r="O21" s="63"/>
      <c r="P21" s="63"/>
      <c r="Q21" s="64"/>
      <c r="R21" s="63"/>
      <c r="S21" s="63"/>
      <c r="T21" s="79"/>
      <c r="U21" s="65"/>
      <c r="V21" s="79"/>
      <c r="W21" s="65"/>
      <c r="X21" s="79"/>
      <c r="Y21" s="66"/>
      <c r="Z21" s="16"/>
      <c r="AA21" s="66"/>
      <c r="AB21" s="52"/>
      <c r="AC21" s="48"/>
      <c r="AD21" s="44"/>
      <c r="AE21" s="8"/>
    </row>
    <row r="22" spans="1:31" ht="20.149999999999999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/>
      <c r="I22" s="16"/>
      <c r="J22" s="16"/>
      <c r="K22" s="63"/>
      <c r="L22" s="16"/>
      <c r="M22" s="63"/>
      <c r="N22" s="16"/>
      <c r="O22" s="63"/>
      <c r="P22" s="63"/>
      <c r="Q22" s="64"/>
      <c r="R22" s="63"/>
      <c r="S22" s="63"/>
      <c r="T22" s="79"/>
      <c r="U22" s="65"/>
      <c r="V22" s="79"/>
      <c r="W22" s="65"/>
      <c r="X22" s="79"/>
      <c r="Y22" s="66"/>
      <c r="Z22" s="16"/>
      <c r="AA22" s="66"/>
      <c r="AB22" s="52"/>
      <c r="AC22" s="48"/>
      <c r="AD22" s="44"/>
      <c r="AE22" s="8"/>
    </row>
    <row r="23" spans="1:31" ht="20.149999999999999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/>
      <c r="I23" s="16"/>
      <c r="J23" s="16"/>
      <c r="K23" s="63"/>
      <c r="L23" s="16"/>
      <c r="M23" s="63"/>
      <c r="N23" s="16"/>
      <c r="O23" s="63"/>
      <c r="P23" s="63"/>
      <c r="Q23" s="64"/>
      <c r="R23" s="63"/>
      <c r="S23" s="63"/>
      <c r="T23" s="79"/>
      <c r="U23" s="65"/>
      <c r="V23" s="79"/>
      <c r="W23" s="65"/>
      <c r="X23" s="79"/>
      <c r="Y23" s="66"/>
      <c r="Z23" s="16"/>
      <c r="AA23" s="66"/>
      <c r="AB23" s="52"/>
      <c r="AC23" s="48"/>
      <c r="AD23" s="44"/>
      <c r="AE23" s="8"/>
    </row>
    <row r="24" spans="1:31" ht="20.149999999999999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/>
      <c r="I24" s="16"/>
      <c r="J24" s="16"/>
      <c r="K24" s="63"/>
      <c r="L24" s="16"/>
      <c r="M24" s="63"/>
      <c r="N24" s="16"/>
      <c r="O24" s="63"/>
      <c r="P24" s="63"/>
      <c r="Q24" s="64"/>
      <c r="R24" s="63"/>
      <c r="S24" s="63"/>
      <c r="T24" s="79"/>
      <c r="U24" s="65"/>
      <c r="V24" s="79"/>
      <c r="W24" s="65"/>
      <c r="X24" s="79"/>
      <c r="Y24" s="66"/>
      <c r="Z24" s="16"/>
      <c r="AA24" s="66"/>
      <c r="AB24" s="52"/>
      <c r="AC24" s="48"/>
      <c r="AD24" s="44"/>
      <c r="AE24" s="8"/>
    </row>
    <row r="25" spans="1:31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/>
      <c r="I25" s="16"/>
      <c r="J25" s="16"/>
      <c r="K25" s="63"/>
      <c r="L25" s="16"/>
      <c r="M25" s="63"/>
      <c r="N25" s="16"/>
      <c r="O25" s="63"/>
      <c r="P25" s="63"/>
      <c r="Q25" s="64"/>
      <c r="R25" s="63"/>
      <c r="S25" s="63"/>
      <c r="T25" s="79"/>
      <c r="U25" s="65"/>
      <c r="V25" s="79"/>
      <c r="W25" s="65"/>
      <c r="X25" s="79"/>
      <c r="Y25" s="66"/>
      <c r="Z25" s="16"/>
      <c r="AA25" s="66"/>
      <c r="AB25" s="52"/>
      <c r="AC25" s="48"/>
      <c r="AD25" s="44"/>
      <c r="AE25" s="8"/>
    </row>
    <row r="26" spans="1:31" ht="20.149999999999999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/>
      <c r="I26" s="16"/>
      <c r="J26" s="16"/>
      <c r="K26" s="63"/>
      <c r="L26" s="16"/>
      <c r="M26" s="63"/>
      <c r="N26" s="16"/>
      <c r="O26" s="63"/>
      <c r="P26" s="63"/>
      <c r="Q26" s="64"/>
      <c r="R26" s="63"/>
      <c r="S26" s="63"/>
      <c r="T26" s="79"/>
      <c r="U26" s="65"/>
      <c r="V26" s="79"/>
      <c r="W26" s="65"/>
      <c r="X26" s="79"/>
      <c r="Y26" s="66"/>
      <c r="Z26" s="16"/>
      <c r="AA26" s="66"/>
      <c r="AB26" s="52"/>
      <c r="AC26" s="48"/>
      <c r="AD26" s="44"/>
      <c r="AE26" s="8"/>
    </row>
    <row r="27" spans="1:31" ht="20.149999999999999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/>
      <c r="I27" s="16"/>
      <c r="J27" s="16"/>
      <c r="K27" s="63"/>
      <c r="L27" s="16"/>
      <c r="M27" s="63"/>
      <c r="N27" s="16"/>
      <c r="O27" s="63"/>
      <c r="P27" s="63"/>
      <c r="Q27" s="64"/>
      <c r="R27" s="63"/>
      <c r="S27" s="63"/>
      <c r="T27" s="79"/>
      <c r="U27" s="65"/>
      <c r="V27" s="79"/>
      <c r="W27" s="65"/>
      <c r="X27" s="79"/>
      <c r="Y27" s="66"/>
      <c r="Z27" s="16"/>
      <c r="AA27" s="66"/>
      <c r="AB27" s="52"/>
      <c r="AC27" s="48"/>
      <c r="AD27" s="44"/>
      <c r="AE27" s="8"/>
    </row>
    <row r="28" spans="1:31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4459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autoFilter ref="H2:AD28" xr:uid="{677EDBE0-73CC-4151-BE2E-082CA0CBCB62}"/>
  <mergeCells count="18"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7">
    <cfRule type="cellIs" dxfId="242" priority="9" operator="equal">
      <formula>"DELETED"</formula>
    </cfRule>
    <cfRule type="cellIs" dxfId="241" priority="10" operator="equal">
      <formula>"삭제"</formula>
    </cfRule>
    <cfRule type="cellIs" dxfId="240" priority="11" operator="equal">
      <formula>"수정"</formula>
    </cfRule>
    <cfRule type="cellIs" dxfId="239" priority="12" operator="equal">
      <formula>"UPDATED"</formula>
    </cfRule>
  </conditionalFormatting>
  <conditionalFormatting sqref="I3:I27">
    <cfRule type="cellIs" dxfId="238" priority="1" operator="equal">
      <formula>"DELETED"</formula>
    </cfRule>
    <cfRule type="cellIs" dxfId="237" priority="2" operator="equal">
      <formula>"삭제"</formula>
    </cfRule>
    <cfRule type="cellIs" dxfId="236" priority="3" operator="equal">
      <formula>"수정"</formula>
    </cfRule>
    <cfRule type="cellIs" dxfId="235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18:C18" r:id="rId1" display="대시보드" xr:uid="{2EE0DB01-97E6-4444-A11A-58660DD265D5}"/>
    <hyperlink ref="B3:C3" location="인덴트관리!A1" display="1. 인덴트 관리" xr:uid="{55CE3EB4-137D-4122-AD77-16A450282E7E}"/>
    <hyperlink ref="B4:C4" location="PO관리!A1" display="2. PO 관리" xr:uid="{5FFA592B-F489-43F4-9222-9CFCA8FDFE96}"/>
    <hyperlink ref="B6:C6" location="지출계획!A1" display="3. 지출계획" xr:uid="{E68CD4D2-7800-4849-B525-EC44C39221C9}"/>
    <hyperlink ref="B7:C7" location="매출채권!A1" display="4. 매출채권" xr:uid="{EBA5DF80-9AC3-4A55-8956-9CE28206C93E}"/>
    <hyperlink ref="B8:C8" location="체크리스트!A1" display="5. 체크리스트" xr:uid="{7A919579-ED91-4D45-ABD4-8C0CD1239120}"/>
    <hyperlink ref="B9:C9" location="발주서!A1" display="6. 발주서" xr:uid="{A33C8533-D828-44DE-B0A5-17E20E5313B4}"/>
    <hyperlink ref="B12:C12" location="Tracking!A1" display="Tracking" xr:uid="{3891F56B-7B9F-4B47-9B88-0AA31F293D53}"/>
    <hyperlink ref="B5:C5" location="PO관리툴!A1" display="PO 관리" xr:uid="{D9B5630D-D298-4793-B240-C63B1F487455}"/>
    <hyperlink ref="B11:C11" location="선적수량!A1" display="선적수량" xr:uid="{FE807FEE-3902-4E66-94B2-6C5D5DAAA5C9}"/>
    <hyperlink ref="B10:C10" location="견적서!A1" display="견적서" xr:uid="{636F948A-F8CF-4028-9969-3C8C1365AB71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8199480F-756F-4754-A73A-5D92BB7AFCC9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FC66F64B-3F58-4CD2-8972-A1ED96747C7B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3774DD36-202B-487C-9BF6-DBA0B337ED24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03AFD71B-4094-406D-94A0-F9F775A66E32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BF4DE18A-D03F-4648-ACC5-E8131BCEB787}">
          <x14:formula1>
            <xm:f>validation!$L$2:$L$326</xm:f>
          </x14:formula1>
          <xm:sqref>Y3:Y27</xm:sqref>
        </x14:dataValidation>
        <x14:dataValidation type="list" errorStyle="warning" allowBlank="1" showInputMessage="1" showErrorMessage="1" error="존재하지 않는 Size name입니다." xr:uid="{F3CF7066-441A-4D51-9DE8-33AD018A22E8}">
          <x14:formula1>
            <xm:f>validation!$M$2:$M$535</xm:f>
          </x14:formula1>
          <xm:sqref>AA3:AA27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56"/>
      <c r="B2" s="156"/>
      <c r="C2" s="15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57" t="s">
        <v>0</v>
      </c>
      <c r="C3" s="157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57" t="s">
        <v>1</v>
      </c>
      <c r="C4" s="157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57" t="s">
        <v>3</v>
      </c>
      <c r="C6" s="157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57" t="s">
        <v>4</v>
      </c>
      <c r="C7" s="157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56" t="s">
        <v>5</v>
      </c>
      <c r="C9" s="15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56" t="s">
        <v>6</v>
      </c>
      <c r="C10" s="15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56"/>
      <c r="B2" s="156"/>
      <c r="C2" s="15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57" t="s">
        <v>0</v>
      </c>
      <c r="C3" s="157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57" t="s">
        <v>1</v>
      </c>
      <c r="C4" s="157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57" t="s">
        <v>3</v>
      </c>
      <c r="C6" s="157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57" t="s">
        <v>4</v>
      </c>
      <c r="C7" s="157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56" t="s">
        <v>5</v>
      </c>
      <c r="C9" s="15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56" t="s">
        <v>6</v>
      </c>
      <c r="C10" s="15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0" sqref="B10:C10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153"/>
      <c r="S1" s="165" t="s">
        <v>4488</v>
      </c>
      <c r="T1" s="165"/>
      <c r="U1" s="114"/>
      <c r="V1" s="82"/>
      <c r="W1" s="83"/>
      <c r="X1" s="40">
        <v>1</v>
      </c>
      <c r="Y1" s="152"/>
      <c r="Z1" s="40">
        <v>1</v>
      </c>
      <c r="AA1" s="96"/>
    </row>
    <row r="2" spans="1:27" s="2" customFormat="1" ht="20" customHeight="1" thickBot="1" x14ac:dyDescent="0.3">
      <c r="A2" s="156"/>
      <c r="B2" s="156"/>
      <c r="C2" s="15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1140</v>
      </c>
      <c r="T2" s="101" t="s">
        <v>1141</v>
      </c>
      <c r="U2" s="104" t="s">
        <v>1486</v>
      </c>
      <c r="V2" s="102" t="s">
        <v>4434</v>
      </c>
      <c r="W2" s="85" t="s">
        <v>4435</v>
      </c>
      <c r="X2" s="94" t="s">
        <v>12</v>
      </c>
      <c r="Y2" s="99" t="s">
        <v>1470</v>
      </c>
      <c r="Z2" s="94" t="s">
        <v>12</v>
      </c>
      <c r="AA2" s="100" t="s">
        <v>1485</v>
      </c>
    </row>
    <row r="3" spans="1:27" s="2" customFormat="1" ht="20" customHeight="1" x14ac:dyDescent="0.25">
      <c r="A3" s="151"/>
      <c r="B3" s="157" t="s">
        <v>1473</v>
      </c>
      <c r="C3" s="157"/>
      <c r="D3" s="4"/>
      <c r="E3" s="4"/>
      <c r="F3" s="4"/>
      <c r="G3" s="8"/>
      <c r="H3" s="16">
        <v>4</v>
      </c>
      <c r="I3" s="16">
        <v>1145</v>
      </c>
      <c r="J3" s="16">
        <v>126</v>
      </c>
      <c r="K3" s="16" t="s">
        <v>1115</v>
      </c>
      <c r="L3" s="16" t="s">
        <v>4462</v>
      </c>
      <c r="M3" s="16" t="s">
        <v>1146</v>
      </c>
      <c r="N3" s="16"/>
      <c r="O3" s="16" t="s">
        <v>4463</v>
      </c>
      <c r="P3" s="16"/>
      <c r="Q3" s="16" t="s">
        <v>1498</v>
      </c>
      <c r="R3" s="16" t="s">
        <v>4464</v>
      </c>
      <c r="S3" s="16"/>
      <c r="T3" s="16"/>
      <c r="U3" s="103">
        <v>0.66669999999999996</v>
      </c>
      <c r="V3" s="44">
        <v>322350</v>
      </c>
      <c r="W3" s="84">
        <v>214910.745</v>
      </c>
      <c r="X3" s="16">
        <v>10</v>
      </c>
      <c r="Y3" s="95">
        <v>64.47</v>
      </c>
      <c r="Z3" s="16">
        <v>781</v>
      </c>
      <c r="AA3" s="84" t="s">
        <v>4474</v>
      </c>
    </row>
    <row r="4" spans="1:27" s="2" customFormat="1" ht="20" customHeight="1" thickBot="1" x14ac:dyDescent="0.3">
      <c r="A4" s="151"/>
      <c r="B4" s="157" t="s">
        <v>1474</v>
      </c>
      <c r="C4" s="157"/>
      <c r="D4" s="4"/>
      <c r="E4" s="4" t="s">
        <v>1484</v>
      </c>
      <c r="F4" s="4"/>
      <c r="G4" s="8"/>
      <c r="H4" s="16">
        <v>4</v>
      </c>
      <c r="I4" s="16">
        <v>1145</v>
      </c>
      <c r="J4" s="16">
        <v>163</v>
      </c>
      <c r="K4" s="16" t="s">
        <v>1115</v>
      </c>
      <c r="L4" s="16" t="s">
        <v>4462</v>
      </c>
      <c r="M4" s="16" t="s">
        <v>1146</v>
      </c>
      <c r="N4" s="16"/>
      <c r="O4" s="16" t="s">
        <v>4465</v>
      </c>
      <c r="P4" s="16"/>
      <c r="Q4" s="16" t="s">
        <v>1498</v>
      </c>
      <c r="R4" s="16"/>
      <c r="S4" s="16"/>
      <c r="T4" s="16"/>
      <c r="U4" s="103">
        <v>1.0417000000000001</v>
      </c>
      <c r="V4" s="44">
        <v>176525</v>
      </c>
      <c r="W4" s="84">
        <v>183886.0925</v>
      </c>
      <c r="X4" s="16">
        <v>9</v>
      </c>
      <c r="Y4" s="95">
        <v>35.299999999999997</v>
      </c>
      <c r="Z4" s="16">
        <v>782</v>
      </c>
      <c r="AA4" s="84" t="s">
        <v>4474</v>
      </c>
    </row>
    <row r="5" spans="1:27" s="2" customFormat="1" ht="20" customHeight="1" thickBot="1" x14ac:dyDescent="0.3">
      <c r="A5" s="151"/>
      <c r="B5" s="157" t="s">
        <v>1520</v>
      </c>
      <c r="C5" s="157"/>
      <c r="D5" s="4"/>
      <c r="E5" s="10" t="s">
        <v>1500</v>
      </c>
      <c r="F5" s="4"/>
      <c r="G5" s="8"/>
      <c r="H5" s="16">
        <v>4</v>
      </c>
      <c r="I5" s="16">
        <v>1145</v>
      </c>
      <c r="J5" s="16">
        <v>136</v>
      </c>
      <c r="K5" s="16" t="s">
        <v>1115</v>
      </c>
      <c r="L5" s="16" t="s">
        <v>4462</v>
      </c>
      <c r="M5" s="16" t="s">
        <v>1146</v>
      </c>
      <c r="N5" s="16"/>
      <c r="O5" s="16" t="s">
        <v>4463</v>
      </c>
      <c r="P5" s="16"/>
      <c r="Q5" s="16" t="s">
        <v>4475</v>
      </c>
      <c r="R5" s="16" t="s">
        <v>4464</v>
      </c>
      <c r="S5" s="16"/>
      <c r="T5" s="16"/>
      <c r="U5" s="103">
        <v>0.66669999999999996</v>
      </c>
      <c r="V5" s="44">
        <v>193200</v>
      </c>
      <c r="W5" s="84">
        <v>128806.43999999999</v>
      </c>
      <c r="X5" s="16">
        <v>20</v>
      </c>
      <c r="Y5" s="95">
        <v>38.64</v>
      </c>
      <c r="Z5" s="16">
        <v>783</v>
      </c>
      <c r="AA5" s="84" t="s">
        <v>4474</v>
      </c>
    </row>
    <row r="6" spans="1:27" s="2" customFormat="1" ht="20" customHeight="1" thickBot="1" x14ac:dyDescent="0.3">
      <c r="A6" s="151"/>
      <c r="B6" s="162" t="s">
        <v>1475</v>
      </c>
      <c r="C6" s="162"/>
      <c r="D6" s="4"/>
      <c r="E6" s="4" t="s">
        <v>1132</v>
      </c>
      <c r="F6" s="4"/>
      <c r="G6" s="8"/>
      <c r="H6" s="16">
        <v>4</v>
      </c>
      <c r="I6" s="16">
        <v>1145</v>
      </c>
      <c r="J6" s="16">
        <v>177</v>
      </c>
      <c r="K6" s="16" t="s">
        <v>1115</v>
      </c>
      <c r="L6" s="16" t="s">
        <v>4462</v>
      </c>
      <c r="M6" s="16" t="s">
        <v>1146</v>
      </c>
      <c r="N6" s="16"/>
      <c r="O6" s="16" t="s">
        <v>4465</v>
      </c>
      <c r="P6" s="16"/>
      <c r="Q6" s="16" t="s">
        <v>4475</v>
      </c>
      <c r="R6" s="16"/>
      <c r="S6" s="16"/>
      <c r="T6" s="16"/>
      <c r="U6" s="103">
        <v>1.0417000000000001</v>
      </c>
      <c r="V6" s="44">
        <v>105800</v>
      </c>
      <c r="W6" s="84">
        <v>110211.86</v>
      </c>
      <c r="X6" s="16">
        <v>19</v>
      </c>
      <c r="Y6" s="95">
        <v>21.16</v>
      </c>
      <c r="Z6" s="16">
        <v>784</v>
      </c>
      <c r="AA6" s="84" t="s">
        <v>4474</v>
      </c>
    </row>
    <row r="7" spans="1:27" s="2" customFormat="1" ht="20" customHeight="1" thickBot="1" x14ac:dyDescent="0.3">
      <c r="A7" s="151"/>
      <c r="B7" s="162" t="s">
        <v>1476</v>
      </c>
      <c r="C7" s="162"/>
      <c r="D7" s="4"/>
      <c r="E7" s="10" t="s">
        <v>1148</v>
      </c>
      <c r="F7" s="4"/>
      <c r="G7" s="8"/>
      <c r="H7" s="16">
        <v>4</v>
      </c>
      <c r="I7" s="16">
        <v>1145</v>
      </c>
      <c r="J7" s="16">
        <v>135</v>
      </c>
      <c r="K7" s="16" t="s">
        <v>1115</v>
      </c>
      <c r="L7" s="16" t="s">
        <v>4462</v>
      </c>
      <c r="M7" s="16" t="s">
        <v>1146</v>
      </c>
      <c r="N7" s="16"/>
      <c r="O7" s="16" t="s">
        <v>4463</v>
      </c>
      <c r="P7" s="16"/>
      <c r="Q7" s="16" t="s">
        <v>4467</v>
      </c>
      <c r="R7" s="16" t="s">
        <v>4464</v>
      </c>
      <c r="S7" s="16"/>
      <c r="T7" s="16"/>
      <c r="U7" s="103">
        <v>0.66669999999999996</v>
      </c>
      <c r="V7" s="44">
        <v>256200</v>
      </c>
      <c r="W7" s="84">
        <v>170808.53999999998</v>
      </c>
      <c r="X7" s="16">
        <v>18</v>
      </c>
      <c r="Y7" s="95">
        <v>51.24</v>
      </c>
      <c r="Z7" s="16">
        <v>785</v>
      </c>
      <c r="AA7" s="84" t="s">
        <v>4474</v>
      </c>
    </row>
    <row r="8" spans="1:27" s="2" customFormat="1" ht="20" customHeight="1" thickBot="1" x14ac:dyDescent="0.3">
      <c r="A8" s="151"/>
      <c r="B8" s="157" t="s">
        <v>1477</v>
      </c>
      <c r="C8" s="157"/>
      <c r="D8" s="4"/>
      <c r="E8" s="4" t="s">
        <v>1465</v>
      </c>
      <c r="F8" s="4"/>
      <c r="G8" s="8"/>
      <c r="H8" s="16">
        <v>4</v>
      </c>
      <c r="I8" s="16">
        <v>1145</v>
      </c>
      <c r="J8" s="16">
        <v>176</v>
      </c>
      <c r="K8" s="16" t="s">
        <v>1115</v>
      </c>
      <c r="L8" s="16" t="s">
        <v>4462</v>
      </c>
      <c r="M8" s="16" t="s">
        <v>1146</v>
      </c>
      <c r="N8" s="16"/>
      <c r="O8" s="16" t="s">
        <v>4465</v>
      </c>
      <c r="P8" s="16"/>
      <c r="Q8" s="16" t="s">
        <v>4467</v>
      </c>
      <c r="R8" s="16"/>
      <c r="S8" s="16"/>
      <c r="T8" s="16"/>
      <c r="U8" s="103">
        <v>1.0417000000000001</v>
      </c>
      <c r="V8" s="44">
        <v>140300</v>
      </c>
      <c r="W8" s="84">
        <v>146150.51</v>
      </c>
      <c r="X8" s="16">
        <v>17</v>
      </c>
      <c r="Y8" s="95">
        <v>28.06</v>
      </c>
      <c r="Z8" s="16">
        <v>786</v>
      </c>
      <c r="AA8" s="84" t="s">
        <v>4474</v>
      </c>
    </row>
    <row r="9" spans="1:27" s="2" customFormat="1" ht="20" customHeight="1" thickBot="1" x14ac:dyDescent="0.3">
      <c r="A9" s="151"/>
      <c r="B9" s="157" t="s">
        <v>1478</v>
      </c>
      <c r="C9" s="157"/>
      <c r="D9" s="4"/>
      <c r="E9" s="10" t="s">
        <v>4462</v>
      </c>
      <c r="F9" s="4"/>
      <c r="G9" s="8"/>
      <c r="H9" s="16">
        <v>4</v>
      </c>
      <c r="I9" s="16">
        <v>1145</v>
      </c>
      <c r="J9" s="16">
        <v>128</v>
      </c>
      <c r="K9" s="16" t="s">
        <v>1115</v>
      </c>
      <c r="L9" s="16" t="s">
        <v>4462</v>
      </c>
      <c r="M9" s="16" t="s">
        <v>1146</v>
      </c>
      <c r="N9" s="16"/>
      <c r="O9" s="16" t="s">
        <v>4463</v>
      </c>
      <c r="P9" s="16"/>
      <c r="Q9" s="16" t="s">
        <v>4476</v>
      </c>
      <c r="R9" s="16" t="s">
        <v>4464</v>
      </c>
      <c r="S9" s="16"/>
      <c r="T9" s="16"/>
      <c r="U9" s="103">
        <v>0.66669999999999996</v>
      </c>
      <c r="V9" s="44">
        <v>193200</v>
      </c>
      <c r="W9" s="84">
        <v>128806.43999999999</v>
      </c>
      <c r="X9" s="16">
        <v>16</v>
      </c>
      <c r="Y9" s="95">
        <v>38.64</v>
      </c>
      <c r="Z9" s="16">
        <v>787</v>
      </c>
      <c r="AA9" s="84" t="s">
        <v>4474</v>
      </c>
    </row>
    <row r="10" spans="1:27" s="2" customFormat="1" ht="20" customHeight="1" x14ac:dyDescent="0.25">
      <c r="A10" s="151"/>
      <c r="B10" s="157" t="s">
        <v>4483</v>
      </c>
      <c r="C10" s="157"/>
      <c r="D10" s="4"/>
      <c r="E10" s="4"/>
      <c r="F10" s="4"/>
      <c r="G10" s="8"/>
      <c r="H10" s="16">
        <v>4</v>
      </c>
      <c r="I10" s="16">
        <v>1145</v>
      </c>
      <c r="J10" s="16">
        <v>167</v>
      </c>
      <c r="K10" s="16" t="s">
        <v>1115</v>
      </c>
      <c r="L10" s="16" t="s">
        <v>4462</v>
      </c>
      <c r="M10" s="16" t="s">
        <v>1146</v>
      </c>
      <c r="N10" s="16"/>
      <c r="O10" s="16" t="s">
        <v>4465</v>
      </c>
      <c r="P10" s="16"/>
      <c r="Q10" s="16" t="s">
        <v>4476</v>
      </c>
      <c r="R10" s="16"/>
      <c r="S10" s="16"/>
      <c r="T10" s="16"/>
      <c r="U10" s="103">
        <v>1.0417000000000001</v>
      </c>
      <c r="V10" s="44">
        <v>105800</v>
      </c>
      <c r="W10" s="84">
        <v>110211.86</v>
      </c>
      <c r="X10" s="16">
        <v>15</v>
      </c>
      <c r="Y10" s="95">
        <v>21.16</v>
      </c>
      <c r="Z10" s="16">
        <v>788</v>
      </c>
      <c r="AA10" s="84" t="s">
        <v>4474</v>
      </c>
    </row>
    <row r="11" spans="1:27" s="2" customFormat="1" ht="20" customHeight="1" x14ac:dyDescent="0.25">
      <c r="A11" s="151"/>
      <c r="B11" s="157" t="s">
        <v>4355</v>
      </c>
      <c r="C11" s="157"/>
      <c r="D11" s="24"/>
      <c r="E11" s="4"/>
      <c r="F11" s="4"/>
      <c r="G11" s="8"/>
      <c r="H11" s="16">
        <v>4</v>
      </c>
      <c r="I11" s="16">
        <v>1145</v>
      </c>
      <c r="J11" s="16">
        <v>127</v>
      </c>
      <c r="K11" s="16" t="s">
        <v>1115</v>
      </c>
      <c r="L11" s="16" t="s">
        <v>4462</v>
      </c>
      <c r="M11" s="16" t="s">
        <v>1146</v>
      </c>
      <c r="N11" s="16"/>
      <c r="O11" s="16" t="s">
        <v>4463</v>
      </c>
      <c r="P11" s="16"/>
      <c r="Q11" s="16" t="s">
        <v>1117</v>
      </c>
      <c r="R11" s="16" t="s">
        <v>4464</v>
      </c>
      <c r="S11" s="16"/>
      <c r="T11" s="16"/>
      <c r="U11" s="103">
        <v>0.66669999999999996</v>
      </c>
      <c r="V11" s="44">
        <v>256200</v>
      </c>
      <c r="W11" s="84">
        <v>170808.53999999998</v>
      </c>
      <c r="X11" s="16">
        <v>14</v>
      </c>
      <c r="Y11" s="95">
        <v>51.24</v>
      </c>
      <c r="Z11" s="16">
        <v>789</v>
      </c>
      <c r="AA11" s="84" t="s">
        <v>4474</v>
      </c>
    </row>
    <row r="12" spans="1:27" s="2" customFormat="1" ht="20" customHeight="1" x14ac:dyDescent="0.25">
      <c r="A12" s="151"/>
      <c r="B12" s="157" t="s">
        <v>1479</v>
      </c>
      <c r="C12" s="157"/>
      <c r="D12" s="24"/>
      <c r="E12" s="33" t="s">
        <v>1462</v>
      </c>
      <c r="F12" s="4"/>
      <c r="G12" s="8"/>
      <c r="H12" s="16">
        <v>4</v>
      </c>
      <c r="I12" s="16">
        <v>1145</v>
      </c>
      <c r="J12" s="16">
        <v>165</v>
      </c>
      <c r="K12" s="16" t="s">
        <v>1115</v>
      </c>
      <c r="L12" s="16" t="s">
        <v>4462</v>
      </c>
      <c r="M12" s="16" t="s">
        <v>1146</v>
      </c>
      <c r="N12" s="16"/>
      <c r="O12" s="16" t="s">
        <v>4465</v>
      </c>
      <c r="P12" s="16"/>
      <c r="Q12" s="16" t="s">
        <v>1117</v>
      </c>
      <c r="R12" s="16"/>
      <c r="S12" s="16"/>
      <c r="T12" s="16"/>
      <c r="U12" s="103">
        <v>1.0417000000000001</v>
      </c>
      <c r="V12" s="44">
        <v>140300</v>
      </c>
      <c r="W12" s="84">
        <v>146150.51</v>
      </c>
      <c r="X12" s="16">
        <v>13</v>
      </c>
      <c r="Y12" s="95">
        <v>28.06</v>
      </c>
      <c r="Z12" s="16">
        <v>790</v>
      </c>
      <c r="AA12" s="84" t="s">
        <v>4474</v>
      </c>
    </row>
    <row r="13" spans="1:27" s="2" customFormat="1" ht="20" customHeight="1" x14ac:dyDescent="0.25">
      <c r="A13" s="112"/>
      <c r="B13" s="156"/>
      <c r="C13" s="156"/>
      <c r="D13" s="24"/>
      <c r="E13" s="34" t="str">
        <f>IF(인덴트_임시!C3="","",인덴트_임시!C3)</f>
        <v>DHGK-2143</v>
      </c>
      <c r="F13" s="4"/>
      <c r="G13" s="8"/>
      <c r="H13" s="16">
        <v>4</v>
      </c>
      <c r="I13" s="16">
        <v>1145</v>
      </c>
      <c r="J13" s="16">
        <v>134</v>
      </c>
      <c r="K13" s="16" t="s">
        <v>1115</v>
      </c>
      <c r="L13" s="16" t="s">
        <v>4462</v>
      </c>
      <c r="M13" s="16" t="s">
        <v>1146</v>
      </c>
      <c r="N13" s="16"/>
      <c r="O13" s="16" t="s">
        <v>4463</v>
      </c>
      <c r="P13" s="16"/>
      <c r="Q13" s="16" t="s">
        <v>4461</v>
      </c>
      <c r="R13" s="16" t="s">
        <v>4464</v>
      </c>
      <c r="S13" s="16"/>
      <c r="T13" s="16"/>
      <c r="U13" s="103">
        <v>0.66669999999999996</v>
      </c>
      <c r="V13" s="44">
        <v>256200</v>
      </c>
      <c r="W13" s="84">
        <v>170808.53999999998</v>
      </c>
      <c r="X13" s="16">
        <v>12</v>
      </c>
      <c r="Y13" s="95">
        <v>51.24</v>
      </c>
      <c r="Z13" s="16">
        <v>791</v>
      </c>
      <c r="AA13" s="84" t="s">
        <v>4474</v>
      </c>
    </row>
    <row r="14" spans="1:27" s="2" customFormat="1" ht="20" customHeight="1" x14ac:dyDescent="0.25">
      <c r="A14" s="112"/>
      <c r="B14" s="156"/>
      <c r="C14" s="156"/>
      <c r="D14" s="24"/>
      <c r="E14" s="34" t="str">
        <f>IF(인덴트_임시!C4="","",인덴트_임시!C4)</f>
        <v>DHGK-2144</v>
      </c>
      <c r="F14" s="4"/>
      <c r="G14" s="8"/>
      <c r="H14" s="16">
        <v>4</v>
      </c>
      <c r="I14" s="16">
        <v>1145</v>
      </c>
      <c r="J14" s="16">
        <v>174</v>
      </c>
      <c r="K14" s="16" t="s">
        <v>1115</v>
      </c>
      <c r="L14" s="16" t="s">
        <v>4462</v>
      </c>
      <c r="M14" s="16" t="s">
        <v>1146</v>
      </c>
      <c r="N14" s="16"/>
      <c r="O14" s="16" t="s">
        <v>4465</v>
      </c>
      <c r="P14" s="16"/>
      <c r="Q14" s="16" t="s">
        <v>4461</v>
      </c>
      <c r="R14" s="16"/>
      <c r="S14" s="16"/>
      <c r="T14" s="16"/>
      <c r="U14" s="103">
        <v>1.0417000000000001</v>
      </c>
      <c r="V14" s="44">
        <v>140300</v>
      </c>
      <c r="W14" s="84">
        <v>146150.51</v>
      </c>
      <c r="X14" s="16">
        <v>11</v>
      </c>
      <c r="Y14" s="95">
        <v>28.06</v>
      </c>
      <c r="Z14" s="16">
        <v>792</v>
      </c>
      <c r="AA14" s="84" t="s">
        <v>4474</v>
      </c>
    </row>
    <row r="15" spans="1:27" s="2" customFormat="1" ht="20" customHeight="1" x14ac:dyDescent="0.25">
      <c r="A15" s="112"/>
      <c r="B15" s="156" t="s">
        <v>5</v>
      </c>
      <c r="C15" s="156"/>
      <c r="D15" s="24"/>
      <c r="E15" s="34" t="str">
        <f>IF(인덴트_임시!C5="","",인덴트_임시!C5)</f>
        <v>DHGK-2145</v>
      </c>
      <c r="F15" s="4"/>
      <c r="G15" s="8"/>
      <c r="H15" s="16">
        <v>4</v>
      </c>
      <c r="I15" s="16">
        <v>1146</v>
      </c>
      <c r="J15" s="16">
        <v>174</v>
      </c>
      <c r="K15" s="16" t="s">
        <v>1115</v>
      </c>
      <c r="L15" s="16" t="s">
        <v>4462</v>
      </c>
      <c r="M15" s="16" t="s">
        <v>1146</v>
      </c>
      <c r="N15" s="16"/>
      <c r="O15" s="16" t="s">
        <v>4465</v>
      </c>
      <c r="P15" s="16"/>
      <c r="Q15" s="16" t="s">
        <v>4461</v>
      </c>
      <c r="R15" s="16"/>
      <c r="S15" s="16"/>
      <c r="T15" s="16"/>
      <c r="U15" s="103">
        <v>1.0417000000000001</v>
      </c>
      <c r="V15" s="44">
        <v>164700</v>
      </c>
      <c r="W15" s="84">
        <v>171567.99000000002</v>
      </c>
      <c r="X15" s="16">
        <v>84</v>
      </c>
      <c r="Y15" s="95">
        <v>32.94</v>
      </c>
      <c r="Z15" s="16">
        <v>801</v>
      </c>
      <c r="AA15" s="84" t="s">
        <v>4474</v>
      </c>
    </row>
    <row r="16" spans="1:27" s="2" customFormat="1" ht="20" customHeight="1" x14ac:dyDescent="0.25">
      <c r="A16" s="112"/>
      <c r="B16" s="156" t="s">
        <v>6</v>
      </c>
      <c r="C16" s="156"/>
      <c r="D16" s="24"/>
      <c r="E16" s="34" t="str">
        <f>IF(인덴트_임시!C6="","",인덴트_임시!C6)</f>
        <v>DHGK-2146</v>
      </c>
      <c r="F16" s="4"/>
      <c r="G16" s="8"/>
      <c r="H16" s="16">
        <v>4</v>
      </c>
      <c r="I16" s="16">
        <v>1146</v>
      </c>
      <c r="J16" s="16">
        <v>125</v>
      </c>
      <c r="K16" s="16" t="s">
        <v>1115</v>
      </c>
      <c r="L16" s="16" t="s">
        <v>4462</v>
      </c>
      <c r="M16" s="16" t="s">
        <v>1146</v>
      </c>
      <c r="N16" s="16"/>
      <c r="O16" s="16" t="s">
        <v>4463</v>
      </c>
      <c r="P16" s="16"/>
      <c r="Q16" s="16" t="s">
        <v>4477</v>
      </c>
      <c r="R16" s="16" t="s">
        <v>4464</v>
      </c>
      <c r="S16" s="16"/>
      <c r="T16" s="16"/>
      <c r="U16" s="103">
        <v>0.66669999999999996</v>
      </c>
      <c r="V16" s="44">
        <v>211600</v>
      </c>
      <c r="W16" s="84">
        <v>141073.72</v>
      </c>
      <c r="X16" s="16">
        <v>93</v>
      </c>
      <c r="Y16" s="95">
        <v>42.32</v>
      </c>
      <c r="Z16" s="16">
        <v>793</v>
      </c>
      <c r="AA16" s="84" t="s">
        <v>4474</v>
      </c>
    </row>
    <row r="17" spans="1:27" s="2" customFormat="1" ht="20" customHeight="1" x14ac:dyDescent="0.25">
      <c r="A17" s="112"/>
      <c r="B17" s="112"/>
      <c r="C17" s="112"/>
      <c r="D17" s="24"/>
      <c r="E17" s="34" t="str">
        <f>IF(인덴트_임시!C7="","",인덴트_임시!C7)</f>
        <v>DHGK-2147</v>
      </c>
      <c r="F17" s="4"/>
      <c r="G17" s="8"/>
      <c r="H17" s="16">
        <v>4</v>
      </c>
      <c r="I17" s="16">
        <v>1146</v>
      </c>
      <c r="J17" s="16">
        <v>161</v>
      </c>
      <c r="K17" s="16" t="s">
        <v>1115</v>
      </c>
      <c r="L17" s="16" t="s">
        <v>4462</v>
      </c>
      <c r="M17" s="16" t="s">
        <v>1146</v>
      </c>
      <c r="N17" s="16"/>
      <c r="O17" s="16" t="s">
        <v>4465</v>
      </c>
      <c r="P17" s="16"/>
      <c r="Q17" s="16" t="s">
        <v>4477</v>
      </c>
      <c r="R17" s="16"/>
      <c r="S17" s="16"/>
      <c r="T17" s="16"/>
      <c r="U17" s="103">
        <v>1.0417000000000001</v>
      </c>
      <c r="V17" s="44">
        <v>124200</v>
      </c>
      <c r="W17" s="84">
        <v>129379.14000000001</v>
      </c>
      <c r="X17" s="16">
        <v>92</v>
      </c>
      <c r="Y17" s="95">
        <v>24.84</v>
      </c>
      <c r="Z17" s="16">
        <v>794</v>
      </c>
      <c r="AA17" s="84" t="s">
        <v>4474</v>
      </c>
    </row>
    <row r="18" spans="1:27" s="2" customFormat="1" ht="20" customHeight="1" x14ac:dyDescent="0.25">
      <c r="A18" s="112"/>
      <c r="B18" s="158" t="s">
        <v>1098</v>
      </c>
      <c r="C18" s="158"/>
      <c r="D18" s="24"/>
      <c r="E18" s="34" t="str">
        <f>IF(인덴트_임시!C8="","",인덴트_임시!C8)</f>
        <v>DHGK-2148</v>
      </c>
      <c r="F18" s="4"/>
      <c r="G18" s="8"/>
      <c r="H18" s="16">
        <v>4</v>
      </c>
      <c r="I18" s="16">
        <v>1146</v>
      </c>
      <c r="J18" s="16">
        <v>135</v>
      </c>
      <c r="K18" s="16" t="s">
        <v>1115</v>
      </c>
      <c r="L18" s="16" t="s">
        <v>4462</v>
      </c>
      <c r="M18" s="16" t="s">
        <v>1146</v>
      </c>
      <c r="N18" s="16"/>
      <c r="O18" s="16" t="s">
        <v>4463</v>
      </c>
      <c r="P18" s="16"/>
      <c r="Q18" s="16" t="s">
        <v>4467</v>
      </c>
      <c r="R18" s="16" t="s">
        <v>4464</v>
      </c>
      <c r="S18" s="16"/>
      <c r="T18" s="16"/>
      <c r="U18" s="103">
        <v>0.66669999999999996</v>
      </c>
      <c r="V18" s="44">
        <v>280600</v>
      </c>
      <c r="W18" s="84">
        <v>187076.02</v>
      </c>
      <c r="X18" s="16">
        <v>91</v>
      </c>
      <c r="Y18" s="95">
        <v>56.12</v>
      </c>
      <c r="Z18" s="16">
        <v>795</v>
      </c>
      <c r="AA18" s="84" t="s">
        <v>4474</v>
      </c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>
        <v>4</v>
      </c>
      <c r="I19" s="16">
        <v>1146</v>
      </c>
      <c r="J19" s="16">
        <v>176</v>
      </c>
      <c r="K19" s="16" t="s">
        <v>1115</v>
      </c>
      <c r="L19" s="16" t="s">
        <v>4462</v>
      </c>
      <c r="M19" s="16" t="s">
        <v>1146</v>
      </c>
      <c r="N19" s="16"/>
      <c r="O19" s="16" t="s">
        <v>4465</v>
      </c>
      <c r="P19" s="16"/>
      <c r="Q19" s="16" t="s">
        <v>4467</v>
      </c>
      <c r="R19" s="16"/>
      <c r="S19" s="16"/>
      <c r="T19" s="16"/>
      <c r="U19" s="103">
        <v>1.0417000000000001</v>
      </c>
      <c r="V19" s="44">
        <v>164700</v>
      </c>
      <c r="W19" s="84">
        <v>171567.99000000002</v>
      </c>
      <c r="X19" s="16">
        <v>90</v>
      </c>
      <c r="Y19" s="95">
        <v>32.94</v>
      </c>
      <c r="Z19" s="16">
        <v>796</v>
      </c>
      <c r="AA19" s="84" t="s">
        <v>4474</v>
      </c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>
        <v>4</v>
      </c>
      <c r="I20" s="16">
        <v>1146</v>
      </c>
      <c r="J20" s="16">
        <v>128</v>
      </c>
      <c r="K20" s="16" t="s">
        <v>1115</v>
      </c>
      <c r="L20" s="16" t="s">
        <v>4462</v>
      </c>
      <c r="M20" s="16" t="s">
        <v>1146</v>
      </c>
      <c r="N20" s="16"/>
      <c r="O20" s="16" t="s">
        <v>4463</v>
      </c>
      <c r="P20" s="16"/>
      <c r="Q20" s="16" t="s">
        <v>4476</v>
      </c>
      <c r="R20" s="16" t="s">
        <v>4464</v>
      </c>
      <c r="S20" s="16"/>
      <c r="T20" s="16"/>
      <c r="U20" s="103">
        <v>0.66669999999999996</v>
      </c>
      <c r="V20" s="44">
        <v>211600</v>
      </c>
      <c r="W20" s="84">
        <v>141073.72</v>
      </c>
      <c r="X20" s="16">
        <v>89</v>
      </c>
      <c r="Y20" s="95">
        <v>42.32</v>
      </c>
      <c r="Z20" s="16">
        <v>797</v>
      </c>
      <c r="AA20" s="84" t="s">
        <v>4474</v>
      </c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>
        <v>4</v>
      </c>
      <c r="I21" s="16">
        <v>1146</v>
      </c>
      <c r="J21" s="16">
        <v>167</v>
      </c>
      <c r="K21" s="16" t="s">
        <v>1115</v>
      </c>
      <c r="L21" s="16" t="s">
        <v>4462</v>
      </c>
      <c r="M21" s="16" t="s">
        <v>1146</v>
      </c>
      <c r="N21" s="16"/>
      <c r="O21" s="16" t="s">
        <v>4465</v>
      </c>
      <c r="P21" s="16"/>
      <c r="Q21" s="16" t="s">
        <v>4476</v>
      </c>
      <c r="R21" s="16"/>
      <c r="S21" s="16"/>
      <c r="T21" s="16"/>
      <c r="U21" s="103">
        <v>1.0417000000000001</v>
      </c>
      <c r="V21" s="44">
        <v>124200</v>
      </c>
      <c r="W21" s="84">
        <v>129379.14000000001</v>
      </c>
      <c r="X21" s="16">
        <v>88</v>
      </c>
      <c r="Y21" s="95">
        <v>24.84</v>
      </c>
      <c r="Z21" s="16">
        <v>798</v>
      </c>
      <c r="AA21" s="84" t="s">
        <v>4474</v>
      </c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>
        <v>4</v>
      </c>
      <c r="I22" s="16">
        <v>1146</v>
      </c>
      <c r="J22" s="16">
        <v>127</v>
      </c>
      <c r="K22" s="16" t="s">
        <v>1115</v>
      </c>
      <c r="L22" s="16" t="s">
        <v>4462</v>
      </c>
      <c r="M22" s="16" t="s">
        <v>1146</v>
      </c>
      <c r="N22" s="16"/>
      <c r="O22" s="16" t="s">
        <v>4463</v>
      </c>
      <c r="P22" s="16"/>
      <c r="Q22" s="16" t="s">
        <v>1117</v>
      </c>
      <c r="R22" s="16" t="s">
        <v>4464</v>
      </c>
      <c r="S22" s="16"/>
      <c r="T22" s="16"/>
      <c r="U22" s="103">
        <v>0.66669999999999996</v>
      </c>
      <c r="V22" s="44">
        <v>280600</v>
      </c>
      <c r="W22" s="84">
        <v>187076.02</v>
      </c>
      <c r="X22" s="16">
        <v>87</v>
      </c>
      <c r="Y22" s="95">
        <v>56.12</v>
      </c>
      <c r="Z22" s="16">
        <v>799</v>
      </c>
      <c r="AA22" s="84" t="s">
        <v>4474</v>
      </c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>
        <v>4</v>
      </c>
      <c r="I23" s="16">
        <v>1146</v>
      </c>
      <c r="J23" s="16">
        <v>165</v>
      </c>
      <c r="K23" s="16" t="s">
        <v>1115</v>
      </c>
      <c r="L23" s="16" t="s">
        <v>4462</v>
      </c>
      <c r="M23" s="16" t="s">
        <v>1146</v>
      </c>
      <c r="N23" s="16"/>
      <c r="O23" s="16" t="s">
        <v>4465</v>
      </c>
      <c r="P23" s="16"/>
      <c r="Q23" s="16" t="s">
        <v>1117</v>
      </c>
      <c r="R23" s="16"/>
      <c r="S23" s="16"/>
      <c r="T23" s="16"/>
      <c r="U23" s="103">
        <v>1.0417000000000001</v>
      </c>
      <c r="V23" s="44">
        <v>164700</v>
      </c>
      <c r="W23" s="84">
        <v>171567.99000000002</v>
      </c>
      <c r="X23" s="16">
        <v>86</v>
      </c>
      <c r="Y23" s="95">
        <v>32.94</v>
      </c>
      <c r="Z23" s="16">
        <v>804</v>
      </c>
      <c r="AA23" s="84" t="s">
        <v>4474</v>
      </c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>
        <v>4</v>
      </c>
      <c r="I24" s="16">
        <v>1146</v>
      </c>
      <c r="J24" s="16">
        <v>134</v>
      </c>
      <c r="K24" s="16" t="s">
        <v>1115</v>
      </c>
      <c r="L24" s="16" t="s">
        <v>4462</v>
      </c>
      <c r="M24" s="16" t="s">
        <v>1146</v>
      </c>
      <c r="N24" s="16"/>
      <c r="O24" s="16" t="s">
        <v>4463</v>
      </c>
      <c r="P24" s="16"/>
      <c r="Q24" s="16" t="s">
        <v>4461</v>
      </c>
      <c r="R24" s="16" t="s">
        <v>4464</v>
      </c>
      <c r="S24" s="16"/>
      <c r="T24" s="16"/>
      <c r="U24" s="103">
        <v>0.66669999999999996</v>
      </c>
      <c r="V24" s="44">
        <v>280600</v>
      </c>
      <c r="W24" s="84">
        <v>187076.02</v>
      </c>
      <c r="X24" s="16">
        <v>85</v>
      </c>
      <c r="Y24" s="95">
        <v>56.12</v>
      </c>
      <c r="Z24" s="16">
        <v>800</v>
      </c>
      <c r="AA24" s="84" t="s">
        <v>4474</v>
      </c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>
        <v>4</v>
      </c>
      <c r="I25" s="16">
        <v>1146</v>
      </c>
      <c r="J25" s="16">
        <v>126</v>
      </c>
      <c r="K25" s="16" t="s">
        <v>1115</v>
      </c>
      <c r="L25" s="16" t="s">
        <v>4462</v>
      </c>
      <c r="M25" s="16" t="s">
        <v>1146</v>
      </c>
      <c r="N25" s="16"/>
      <c r="O25" s="16" t="s">
        <v>4463</v>
      </c>
      <c r="P25" s="16"/>
      <c r="Q25" s="16" t="s">
        <v>1498</v>
      </c>
      <c r="R25" s="16" t="s">
        <v>4464</v>
      </c>
      <c r="S25" s="16"/>
      <c r="T25" s="16"/>
      <c r="U25" s="103">
        <v>0.66669999999999996</v>
      </c>
      <c r="V25" s="44">
        <v>353050</v>
      </c>
      <c r="W25" s="84">
        <v>235378.435</v>
      </c>
      <c r="X25" s="16">
        <v>83</v>
      </c>
      <c r="Y25" s="95">
        <v>70.61</v>
      </c>
      <c r="Z25" s="16">
        <v>802</v>
      </c>
      <c r="AA25" s="84" t="s">
        <v>4474</v>
      </c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>
        <v>4</v>
      </c>
      <c r="I26" s="16">
        <v>1146</v>
      </c>
      <c r="J26" s="16">
        <v>163</v>
      </c>
      <c r="K26" s="16" t="s">
        <v>1115</v>
      </c>
      <c r="L26" s="16" t="s">
        <v>4462</v>
      </c>
      <c r="M26" s="16" t="s">
        <v>1146</v>
      </c>
      <c r="N26" s="16"/>
      <c r="O26" s="16" t="s">
        <v>4465</v>
      </c>
      <c r="P26" s="16"/>
      <c r="Q26" s="16" t="s">
        <v>1498</v>
      </c>
      <c r="R26" s="16"/>
      <c r="S26" s="16"/>
      <c r="T26" s="16"/>
      <c r="U26" s="103">
        <v>1.0417000000000001</v>
      </c>
      <c r="V26" s="44">
        <v>207225</v>
      </c>
      <c r="W26" s="84">
        <v>215866.2825</v>
      </c>
      <c r="X26" s="16">
        <v>82</v>
      </c>
      <c r="Y26" s="95">
        <v>41.44</v>
      </c>
      <c r="Z26" s="16">
        <v>803</v>
      </c>
      <c r="AA26" s="84" t="s">
        <v>4474</v>
      </c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>
        <v>4</v>
      </c>
      <c r="I27" s="16">
        <v>1147</v>
      </c>
      <c r="J27" s="16">
        <v>126</v>
      </c>
      <c r="K27" s="16" t="s">
        <v>1115</v>
      </c>
      <c r="L27" s="16" t="s">
        <v>4462</v>
      </c>
      <c r="M27" s="16" t="s">
        <v>1146</v>
      </c>
      <c r="N27" s="16"/>
      <c r="O27" s="16" t="s">
        <v>4463</v>
      </c>
      <c r="P27" s="16"/>
      <c r="Q27" s="16" t="s">
        <v>1498</v>
      </c>
      <c r="R27" s="16" t="s">
        <v>4464</v>
      </c>
      <c r="S27" s="16"/>
      <c r="T27" s="16"/>
      <c r="U27" s="103">
        <v>0.66669999999999996</v>
      </c>
      <c r="V27" s="44">
        <v>185250</v>
      </c>
      <c r="W27" s="84">
        <v>123506.17499999999</v>
      </c>
      <c r="X27" s="16">
        <v>142</v>
      </c>
      <c r="Y27" s="95">
        <v>37.049999999999997</v>
      </c>
      <c r="Z27" s="16">
        <v>811</v>
      </c>
      <c r="AA27" s="84" t="s">
        <v>4474</v>
      </c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>
        <v>4</v>
      </c>
      <c r="I28" s="16">
        <v>1147</v>
      </c>
      <c r="J28" s="16">
        <v>134</v>
      </c>
      <c r="K28" s="16" t="s">
        <v>1115</v>
      </c>
      <c r="L28" s="16" t="s">
        <v>4462</v>
      </c>
      <c r="M28" s="16" t="s">
        <v>1146</v>
      </c>
      <c r="N28" s="16"/>
      <c r="O28" s="16" t="s">
        <v>4463</v>
      </c>
      <c r="P28" s="16"/>
      <c r="Q28" s="16" t="s">
        <v>4461</v>
      </c>
      <c r="R28" s="16" t="s">
        <v>4464</v>
      </c>
      <c r="S28" s="16"/>
      <c r="T28" s="16"/>
      <c r="U28" s="103">
        <v>0.66669999999999996</v>
      </c>
      <c r="V28" s="44">
        <v>120000</v>
      </c>
      <c r="W28" s="84">
        <v>80004</v>
      </c>
      <c r="X28" s="16">
        <v>148</v>
      </c>
      <c r="Y28" s="95">
        <v>24</v>
      </c>
      <c r="Z28" s="16">
        <v>806</v>
      </c>
      <c r="AA28" s="84" t="s">
        <v>4474</v>
      </c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>
        <v>4</v>
      </c>
      <c r="I29" s="16">
        <v>1147</v>
      </c>
      <c r="J29" s="16">
        <v>173</v>
      </c>
      <c r="K29" s="16" t="s">
        <v>1115</v>
      </c>
      <c r="L29" s="16" t="s">
        <v>4462</v>
      </c>
      <c r="M29" s="16" t="s">
        <v>1146</v>
      </c>
      <c r="N29" s="16"/>
      <c r="O29" s="16" t="s">
        <v>4465</v>
      </c>
      <c r="P29" s="16"/>
      <c r="Q29" s="16" t="s">
        <v>4461</v>
      </c>
      <c r="R29" s="16" t="s">
        <v>4466</v>
      </c>
      <c r="S29" s="16"/>
      <c r="T29" s="16"/>
      <c r="U29" s="103">
        <v>1.0417000000000001</v>
      </c>
      <c r="V29" s="44">
        <v>63000</v>
      </c>
      <c r="W29" s="84">
        <v>65627.100000000006</v>
      </c>
      <c r="X29" s="16">
        <v>147</v>
      </c>
      <c r="Y29" s="95">
        <v>12.6</v>
      </c>
      <c r="Z29" s="16">
        <v>807</v>
      </c>
      <c r="AA29" s="84" t="s">
        <v>4474</v>
      </c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>
        <v>4</v>
      </c>
      <c r="I30" s="16">
        <v>1147</v>
      </c>
      <c r="J30" s="16">
        <v>126</v>
      </c>
      <c r="K30" s="16" t="s">
        <v>1115</v>
      </c>
      <c r="L30" s="16" t="s">
        <v>4462</v>
      </c>
      <c r="M30" s="16" t="s">
        <v>1146</v>
      </c>
      <c r="N30" s="16"/>
      <c r="O30" s="16" t="s">
        <v>4463</v>
      </c>
      <c r="P30" s="16"/>
      <c r="Q30" s="16" t="s">
        <v>1498</v>
      </c>
      <c r="R30" s="16" t="s">
        <v>4464</v>
      </c>
      <c r="S30" s="16"/>
      <c r="T30" s="16"/>
      <c r="U30" s="103">
        <v>0.66669999999999996</v>
      </c>
      <c r="V30" s="44">
        <v>120000</v>
      </c>
      <c r="W30" s="84">
        <v>80004</v>
      </c>
      <c r="X30" s="16">
        <v>146</v>
      </c>
      <c r="Y30" s="95">
        <v>24</v>
      </c>
      <c r="Z30" s="16">
        <v>808</v>
      </c>
      <c r="AA30" s="84" t="s">
        <v>4474</v>
      </c>
    </row>
    <row r="31" spans="1:27" ht="20" customHeight="1" x14ac:dyDescent="0.25">
      <c r="A31" s="108"/>
      <c r="B31" s="108"/>
      <c r="C31" s="108"/>
      <c r="D31" s="4"/>
      <c r="E31" s="4"/>
      <c r="F31" s="4"/>
      <c r="H31" s="16">
        <v>4</v>
      </c>
      <c r="I31" s="16">
        <v>1147</v>
      </c>
      <c r="J31" s="16">
        <v>134</v>
      </c>
      <c r="K31" s="16" t="s">
        <v>1115</v>
      </c>
      <c r="L31" s="16" t="s">
        <v>4462</v>
      </c>
      <c r="M31" s="16" t="s">
        <v>1146</v>
      </c>
      <c r="N31" s="16"/>
      <c r="O31" s="16" t="s">
        <v>4463</v>
      </c>
      <c r="P31" s="16"/>
      <c r="Q31" s="16" t="s">
        <v>4461</v>
      </c>
      <c r="R31" s="16" t="s">
        <v>4464</v>
      </c>
      <c r="S31" s="16"/>
      <c r="T31" s="16"/>
      <c r="U31" s="103">
        <v>0.66669999999999996</v>
      </c>
      <c r="V31" s="44">
        <v>151050</v>
      </c>
      <c r="W31" s="84">
        <v>100705.03499999999</v>
      </c>
      <c r="X31" s="16">
        <v>144</v>
      </c>
      <c r="Y31" s="95">
        <v>30.21</v>
      </c>
      <c r="Z31" s="16">
        <v>805</v>
      </c>
      <c r="AA31" s="84" t="s">
        <v>4474</v>
      </c>
    </row>
    <row r="32" spans="1:27" ht="20" customHeight="1" x14ac:dyDescent="0.25">
      <c r="A32" s="108"/>
      <c r="B32" s="108"/>
      <c r="C32" s="108"/>
      <c r="D32" s="4"/>
      <c r="E32" s="4"/>
      <c r="F32" s="4"/>
      <c r="H32" s="16">
        <v>4</v>
      </c>
      <c r="I32" s="16">
        <v>1147</v>
      </c>
      <c r="J32" s="16">
        <v>173</v>
      </c>
      <c r="K32" s="16" t="s">
        <v>1115</v>
      </c>
      <c r="L32" s="16" t="s">
        <v>4462</v>
      </c>
      <c r="M32" s="16" t="s">
        <v>1146</v>
      </c>
      <c r="N32" s="16"/>
      <c r="O32" s="16" t="s">
        <v>4465</v>
      </c>
      <c r="P32" s="16"/>
      <c r="Q32" s="16" t="s">
        <v>4461</v>
      </c>
      <c r="R32" s="16" t="s">
        <v>4466</v>
      </c>
      <c r="S32" s="16"/>
      <c r="T32" s="16"/>
      <c r="U32" s="103">
        <v>1.0417000000000001</v>
      </c>
      <c r="V32" s="44">
        <v>79500</v>
      </c>
      <c r="W32" s="84">
        <v>82815.150000000009</v>
      </c>
      <c r="X32" s="16">
        <v>143</v>
      </c>
      <c r="Y32" s="95">
        <v>15.9</v>
      </c>
      <c r="Z32" s="16">
        <v>810</v>
      </c>
      <c r="AA32" s="84" t="s">
        <v>4474</v>
      </c>
    </row>
    <row r="33" spans="1:27" ht="20" customHeight="1" x14ac:dyDescent="0.25">
      <c r="A33" s="108"/>
      <c r="B33" s="108"/>
      <c r="C33" s="108"/>
      <c r="D33" s="4"/>
      <c r="E33" s="4"/>
      <c r="F33" s="4"/>
      <c r="H33" s="16">
        <v>4</v>
      </c>
      <c r="I33" s="16">
        <v>1147</v>
      </c>
      <c r="J33" s="16">
        <v>162</v>
      </c>
      <c r="K33" s="16" t="s">
        <v>1115</v>
      </c>
      <c r="L33" s="16" t="s">
        <v>4462</v>
      </c>
      <c r="M33" s="16" t="s">
        <v>1146</v>
      </c>
      <c r="N33" s="16"/>
      <c r="O33" s="16" t="s">
        <v>4465</v>
      </c>
      <c r="P33" s="16"/>
      <c r="Q33" s="16" t="s">
        <v>1498</v>
      </c>
      <c r="R33" s="16" t="s">
        <v>4466</v>
      </c>
      <c r="S33" s="16"/>
      <c r="T33" s="16"/>
      <c r="U33" s="103">
        <v>1.0417000000000001</v>
      </c>
      <c r="V33" s="44">
        <v>97500</v>
      </c>
      <c r="W33" s="84">
        <v>101565.75</v>
      </c>
      <c r="X33" s="16">
        <v>141</v>
      </c>
      <c r="Y33" s="95">
        <v>19.5</v>
      </c>
      <c r="Z33" s="16">
        <v>812</v>
      </c>
      <c r="AA33" s="84" t="s">
        <v>4474</v>
      </c>
    </row>
    <row r="34" spans="1:27" ht="20" customHeight="1" x14ac:dyDescent="0.25">
      <c r="A34" s="108"/>
      <c r="B34" s="108"/>
      <c r="C34" s="108"/>
      <c r="D34" s="4"/>
      <c r="E34" s="4"/>
      <c r="F34" s="4"/>
      <c r="H34" s="16">
        <v>4</v>
      </c>
      <c r="I34" s="16">
        <v>1147</v>
      </c>
      <c r="J34" s="16">
        <v>162</v>
      </c>
      <c r="K34" s="16" t="s">
        <v>1115</v>
      </c>
      <c r="L34" s="16" t="s">
        <v>4462</v>
      </c>
      <c r="M34" s="16" t="s">
        <v>1146</v>
      </c>
      <c r="N34" s="16"/>
      <c r="O34" s="16" t="s">
        <v>4465</v>
      </c>
      <c r="P34" s="16"/>
      <c r="Q34" s="16" t="s">
        <v>1498</v>
      </c>
      <c r="R34" s="16" t="s">
        <v>4466</v>
      </c>
      <c r="S34" s="16"/>
      <c r="T34" s="16"/>
      <c r="U34" s="103">
        <v>1.0417000000000001</v>
      </c>
      <c r="V34" s="44">
        <v>63000</v>
      </c>
      <c r="W34" s="84">
        <v>65627.100000000006</v>
      </c>
      <c r="X34" s="16">
        <v>145</v>
      </c>
      <c r="Y34" s="95">
        <v>12.6</v>
      </c>
      <c r="Z34" s="16">
        <v>809</v>
      </c>
      <c r="AA34" s="84" t="s">
        <v>4474</v>
      </c>
    </row>
    <row r="35" spans="1:27" ht="20" customHeight="1" x14ac:dyDescent="0.25">
      <c r="A35" s="108"/>
      <c r="B35" s="108"/>
      <c r="C35" s="108"/>
      <c r="D35" s="4"/>
      <c r="E35" s="4"/>
      <c r="F35" s="4"/>
      <c r="H35" s="16">
        <v>4</v>
      </c>
      <c r="I35" s="16">
        <v>1148</v>
      </c>
      <c r="J35" s="16">
        <v>128</v>
      </c>
      <c r="K35" s="16" t="s">
        <v>1115</v>
      </c>
      <c r="L35" s="16" t="s">
        <v>4462</v>
      </c>
      <c r="M35" s="16" t="s">
        <v>1146</v>
      </c>
      <c r="N35" s="16"/>
      <c r="O35" s="16" t="s">
        <v>4463</v>
      </c>
      <c r="P35" s="16"/>
      <c r="Q35" s="16" t="s">
        <v>4476</v>
      </c>
      <c r="R35" s="16" t="s">
        <v>4464</v>
      </c>
      <c r="S35" s="16"/>
      <c r="T35" s="16"/>
      <c r="U35" s="103">
        <v>0.66669999999999996</v>
      </c>
      <c r="V35" s="44">
        <v>185850</v>
      </c>
      <c r="W35" s="84">
        <v>123906.19499999999</v>
      </c>
      <c r="X35" s="16">
        <v>218</v>
      </c>
      <c r="Y35" s="95">
        <v>37.17</v>
      </c>
      <c r="Z35" s="16">
        <v>814</v>
      </c>
      <c r="AA35" s="84" t="s">
        <v>4474</v>
      </c>
    </row>
    <row r="36" spans="1:27" ht="20" customHeight="1" x14ac:dyDescent="0.25">
      <c r="A36" s="108"/>
      <c r="B36" s="108"/>
      <c r="C36" s="108"/>
      <c r="D36" s="4"/>
      <c r="E36" s="4"/>
      <c r="F36" s="4"/>
      <c r="H36" s="16">
        <v>4</v>
      </c>
      <c r="I36" s="16">
        <v>1148</v>
      </c>
      <c r="J36" s="16">
        <v>130</v>
      </c>
      <c r="K36" s="16" t="s">
        <v>1115</v>
      </c>
      <c r="L36" s="16" t="s">
        <v>4462</v>
      </c>
      <c r="M36" s="16" t="s">
        <v>1146</v>
      </c>
      <c r="N36" s="16"/>
      <c r="O36" s="16" t="s">
        <v>4463</v>
      </c>
      <c r="P36" s="16"/>
      <c r="Q36" s="16" t="s">
        <v>4480</v>
      </c>
      <c r="R36" s="16" t="s">
        <v>4464</v>
      </c>
      <c r="S36" s="16"/>
      <c r="T36" s="16"/>
      <c r="U36" s="103">
        <v>0.66669999999999996</v>
      </c>
      <c r="V36" s="44">
        <v>144900</v>
      </c>
      <c r="W36" s="84">
        <v>96604.829999999987</v>
      </c>
      <c r="X36" s="16">
        <v>224</v>
      </c>
      <c r="Y36" s="95">
        <v>28.98</v>
      </c>
      <c r="Z36" s="16">
        <v>824</v>
      </c>
      <c r="AA36" s="84" t="s">
        <v>4474</v>
      </c>
    </row>
    <row r="37" spans="1:27" ht="20" customHeight="1" x14ac:dyDescent="0.25">
      <c r="A37" s="108"/>
      <c r="B37" s="108"/>
      <c r="C37" s="108"/>
      <c r="D37" s="4"/>
      <c r="E37" s="4"/>
      <c r="F37" s="4"/>
      <c r="H37" s="16">
        <v>4</v>
      </c>
      <c r="I37" s="16">
        <v>1148</v>
      </c>
      <c r="J37" s="16">
        <v>169</v>
      </c>
      <c r="K37" s="16" t="s">
        <v>1115</v>
      </c>
      <c r="L37" s="16" t="s">
        <v>4462</v>
      </c>
      <c r="M37" s="16" t="s">
        <v>1146</v>
      </c>
      <c r="N37" s="16"/>
      <c r="O37" s="16" t="s">
        <v>4465</v>
      </c>
      <c r="P37" s="16"/>
      <c r="Q37" s="16" t="s">
        <v>4480</v>
      </c>
      <c r="R37" s="16" t="s">
        <v>4466</v>
      </c>
      <c r="S37" s="16"/>
      <c r="T37" s="16"/>
      <c r="U37" s="103">
        <v>1.0417000000000001</v>
      </c>
      <c r="V37" s="44">
        <v>79350</v>
      </c>
      <c r="W37" s="84">
        <v>82658.895000000004</v>
      </c>
      <c r="X37" s="16">
        <v>223</v>
      </c>
      <c r="Y37" s="95">
        <v>15.87</v>
      </c>
      <c r="Z37" s="16">
        <v>825</v>
      </c>
      <c r="AA37" s="84" t="s">
        <v>4474</v>
      </c>
    </row>
    <row r="38" spans="1:27" ht="20" customHeight="1" x14ac:dyDescent="0.25">
      <c r="A38" s="108"/>
      <c r="B38" s="108"/>
      <c r="C38" s="108"/>
      <c r="D38" s="4"/>
      <c r="E38" s="4"/>
      <c r="F38" s="4"/>
      <c r="H38" s="16">
        <v>4</v>
      </c>
      <c r="I38" s="16">
        <v>1148</v>
      </c>
      <c r="J38" s="16">
        <v>135</v>
      </c>
      <c r="K38" s="16" t="s">
        <v>1115</v>
      </c>
      <c r="L38" s="16" t="s">
        <v>4462</v>
      </c>
      <c r="M38" s="16" t="s">
        <v>1146</v>
      </c>
      <c r="N38" s="16"/>
      <c r="O38" s="16" t="s">
        <v>4463</v>
      </c>
      <c r="P38" s="16"/>
      <c r="Q38" s="16" t="s">
        <v>4467</v>
      </c>
      <c r="R38" s="16" t="s">
        <v>4464</v>
      </c>
      <c r="S38" s="16"/>
      <c r="T38" s="16"/>
      <c r="U38" s="103">
        <v>0.66669999999999996</v>
      </c>
      <c r="V38" s="44">
        <v>242550</v>
      </c>
      <c r="W38" s="84">
        <v>161708.08499999999</v>
      </c>
      <c r="X38" s="16">
        <v>222</v>
      </c>
      <c r="Y38" s="95">
        <v>48.51</v>
      </c>
      <c r="Z38" s="16">
        <v>826</v>
      </c>
      <c r="AA38" s="84" t="s">
        <v>4474</v>
      </c>
    </row>
    <row r="39" spans="1:27" ht="20" customHeight="1" x14ac:dyDescent="0.25">
      <c r="A39" s="108"/>
      <c r="B39" s="108"/>
      <c r="C39" s="108"/>
      <c r="D39" s="4"/>
      <c r="E39" s="4"/>
      <c r="F39" s="4"/>
      <c r="H39" s="16">
        <v>4</v>
      </c>
      <c r="I39" s="16">
        <v>1148</v>
      </c>
      <c r="J39" s="16">
        <v>175</v>
      </c>
      <c r="K39" s="16" t="s">
        <v>1115</v>
      </c>
      <c r="L39" s="16" t="s">
        <v>4462</v>
      </c>
      <c r="M39" s="16" t="s">
        <v>1146</v>
      </c>
      <c r="N39" s="16"/>
      <c r="O39" s="16" t="s">
        <v>4465</v>
      </c>
      <c r="P39" s="16"/>
      <c r="Q39" s="16" t="s">
        <v>4467</v>
      </c>
      <c r="R39" s="16" t="s">
        <v>4466</v>
      </c>
      <c r="S39" s="16"/>
      <c r="T39" s="115"/>
      <c r="U39" s="103">
        <v>1.0417000000000001</v>
      </c>
      <c r="V39" s="44">
        <v>132825</v>
      </c>
      <c r="W39" s="84">
        <v>138363.80250000002</v>
      </c>
      <c r="X39" s="16">
        <v>221</v>
      </c>
      <c r="Y39" s="95">
        <v>26.56</v>
      </c>
      <c r="Z39" s="16">
        <v>813</v>
      </c>
      <c r="AA39" s="84" t="s">
        <v>4474</v>
      </c>
    </row>
    <row r="40" spans="1:27" ht="20" customHeight="1" x14ac:dyDescent="0.25">
      <c r="A40" s="108"/>
      <c r="B40" s="108"/>
      <c r="C40" s="108"/>
      <c r="D40" s="4"/>
      <c r="E40" s="4"/>
      <c r="F40" s="4"/>
      <c r="H40" s="16">
        <v>4</v>
      </c>
      <c r="I40" s="16">
        <v>1148</v>
      </c>
      <c r="J40" s="16">
        <v>133</v>
      </c>
      <c r="K40" s="16" t="s">
        <v>1115</v>
      </c>
      <c r="L40" s="16" t="s">
        <v>4462</v>
      </c>
      <c r="M40" s="16" t="s">
        <v>1146</v>
      </c>
      <c r="N40" s="16"/>
      <c r="O40" s="16" t="s">
        <v>4463</v>
      </c>
      <c r="P40" s="16"/>
      <c r="Q40" s="16" t="s">
        <v>4479</v>
      </c>
      <c r="R40" s="16" t="s">
        <v>4464</v>
      </c>
      <c r="S40" s="16"/>
      <c r="T40" s="115"/>
      <c r="U40" s="103">
        <v>0.66669999999999996</v>
      </c>
      <c r="V40" s="44">
        <v>185850</v>
      </c>
      <c r="W40" s="84">
        <v>123906.19499999999</v>
      </c>
      <c r="X40" s="16">
        <v>220</v>
      </c>
      <c r="Y40" s="95">
        <v>37.17</v>
      </c>
      <c r="Z40" s="16">
        <v>823</v>
      </c>
      <c r="AA40" s="84" t="s">
        <v>4474</v>
      </c>
    </row>
    <row r="41" spans="1:27" ht="20" customHeight="1" x14ac:dyDescent="0.25">
      <c r="A41" s="108"/>
      <c r="B41" s="108"/>
      <c r="C41" s="108"/>
      <c r="D41" s="4"/>
      <c r="E41" s="4"/>
      <c r="F41" s="4"/>
      <c r="H41" s="16">
        <v>4</v>
      </c>
      <c r="I41" s="16">
        <v>1148</v>
      </c>
      <c r="J41" s="16">
        <v>172</v>
      </c>
      <c r="K41" s="16" t="s">
        <v>1115</v>
      </c>
      <c r="L41" s="16" t="s">
        <v>4462</v>
      </c>
      <c r="M41" s="16" t="s">
        <v>1146</v>
      </c>
      <c r="N41" s="16"/>
      <c r="O41" s="16" t="s">
        <v>4465</v>
      </c>
      <c r="P41" s="16"/>
      <c r="Q41" s="16" t="s">
        <v>4479</v>
      </c>
      <c r="R41" s="16" t="s">
        <v>4466</v>
      </c>
      <c r="S41" s="16"/>
      <c r="T41" s="115"/>
      <c r="U41" s="103">
        <v>1.0417000000000001</v>
      </c>
      <c r="V41" s="44">
        <v>101775</v>
      </c>
      <c r="W41" s="84">
        <v>106019.0175</v>
      </c>
      <c r="X41" s="16">
        <v>219</v>
      </c>
      <c r="Y41" s="95">
        <v>20.36</v>
      </c>
      <c r="Z41" s="16">
        <v>822</v>
      </c>
      <c r="AA41" s="84" t="s">
        <v>4474</v>
      </c>
    </row>
    <row r="42" spans="1:27" ht="20" customHeight="1" x14ac:dyDescent="0.25">
      <c r="A42" s="108"/>
      <c r="B42" s="108"/>
      <c r="C42" s="108"/>
      <c r="D42" s="4"/>
      <c r="E42" s="4"/>
      <c r="F42" s="4"/>
      <c r="H42" s="16">
        <v>4</v>
      </c>
      <c r="I42" s="16">
        <v>1148</v>
      </c>
      <c r="J42" s="16">
        <v>166</v>
      </c>
      <c r="K42" s="16" t="s">
        <v>1115</v>
      </c>
      <c r="L42" s="16" t="s">
        <v>4462</v>
      </c>
      <c r="M42" s="16" t="s">
        <v>1146</v>
      </c>
      <c r="N42" s="16"/>
      <c r="O42" s="16" t="s">
        <v>4465</v>
      </c>
      <c r="P42" s="16"/>
      <c r="Q42" s="16" t="s">
        <v>4476</v>
      </c>
      <c r="R42" s="16" t="s">
        <v>4466</v>
      </c>
      <c r="S42" s="16"/>
      <c r="T42" s="115"/>
      <c r="U42" s="103">
        <v>1.0417000000000001</v>
      </c>
      <c r="V42" s="44">
        <v>101775</v>
      </c>
      <c r="W42" s="84">
        <v>106019.0175</v>
      </c>
      <c r="X42" s="16">
        <v>217</v>
      </c>
      <c r="Y42" s="95">
        <v>20.36</v>
      </c>
      <c r="Z42" s="16">
        <v>815</v>
      </c>
      <c r="AA42" s="84" t="s">
        <v>4474</v>
      </c>
    </row>
    <row r="43" spans="1:27" ht="20" customHeight="1" x14ac:dyDescent="0.25">
      <c r="A43" s="108"/>
      <c r="B43" s="108"/>
      <c r="C43" s="108"/>
      <c r="D43" s="4"/>
      <c r="E43" s="4"/>
      <c r="F43" s="4"/>
      <c r="H43" s="16">
        <v>4</v>
      </c>
      <c r="I43" s="16">
        <v>1148</v>
      </c>
      <c r="J43" s="16">
        <v>132</v>
      </c>
      <c r="K43" s="16" t="s">
        <v>1115</v>
      </c>
      <c r="L43" s="16" t="s">
        <v>4462</v>
      </c>
      <c r="M43" s="16" t="s">
        <v>1146</v>
      </c>
      <c r="N43" s="16"/>
      <c r="O43" s="16" t="s">
        <v>4463</v>
      </c>
      <c r="P43" s="16"/>
      <c r="Q43" s="16" t="s">
        <v>4478</v>
      </c>
      <c r="R43" s="16" t="s">
        <v>4464</v>
      </c>
      <c r="S43" s="16"/>
      <c r="T43" s="115"/>
      <c r="U43" s="103">
        <v>0.66669999999999996</v>
      </c>
      <c r="V43" s="44">
        <v>204750</v>
      </c>
      <c r="W43" s="84">
        <v>136506.82499999998</v>
      </c>
      <c r="X43" s="16">
        <v>216</v>
      </c>
      <c r="Y43" s="95">
        <v>40.950000000000003</v>
      </c>
      <c r="Z43" s="16">
        <v>816</v>
      </c>
      <c r="AA43" s="84" t="s">
        <v>4474</v>
      </c>
    </row>
    <row r="44" spans="1:27" ht="20" customHeight="1" x14ac:dyDescent="0.25">
      <c r="A44" s="108"/>
      <c r="B44" s="108"/>
      <c r="C44" s="108"/>
      <c r="D44" s="4"/>
      <c r="E44" s="4"/>
      <c r="F44" s="4"/>
      <c r="H44" s="16">
        <v>4</v>
      </c>
      <c r="I44" s="16">
        <v>1148</v>
      </c>
      <c r="J44" s="16">
        <v>171</v>
      </c>
      <c r="K44" s="16" t="s">
        <v>1115</v>
      </c>
      <c r="L44" s="16" t="s">
        <v>4462</v>
      </c>
      <c r="M44" s="16" t="s">
        <v>1146</v>
      </c>
      <c r="N44" s="16"/>
      <c r="O44" s="16" t="s">
        <v>4465</v>
      </c>
      <c r="P44" s="16"/>
      <c r="Q44" s="16" t="s">
        <v>4478</v>
      </c>
      <c r="R44" s="16" t="s">
        <v>4466</v>
      </c>
      <c r="S44" s="16"/>
      <c r="T44" s="115"/>
      <c r="U44" s="103">
        <v>1.0417000000000001</v>
      </c>
      <c r="V44" s="44">
        <v>112125</v>
      </c>
      <c r="W44" s="84">
        <v>116800.6125</v>
      </c>
      <c r="X44" s="16">
        <v>215</v>
      </c>
      <c r="Y44" s="95">
        <v>22.42</v>
      </c>
      <c r="Z44" s="16">
        <v>817</v>
      </c>
      <c r="AA44" s="84" t="s">
        <v>4474</v>
      </c>
    </row>
    <row r="45" spans="1:27" ht="20" customHeight="1" x14ac:dyDescent="0.25">
      <c r="A45" s="108"/>
      <c r="B45" s="108"/>
      <c r="C45" s="108"/>
      <c r="D45" s="4"/>
      <c r="E45" s="4"/>
      <c r="F45" s="4"/>
      <c r="H45" s="16">
        <v>4</v>
      </c>
      <c r="I45" s="16">
        <v>1148</v>
      </c>
      <c r="J45" s="16">
        <v>131</v>
      </c>
      <c r="K45" s="16" t="s">
        <v>1115</v>
      </c>
      <c r="L45" s="16" t="s">
        <v>4462</v>
      </c>
      <c r="M45" s="16" t="s">
        <v>1146</v>
      </c>
      <c r="N45" s="16"/>
      <c r="O45" s="16" t="s">
        <v>4463</v>
      </c>
      <c r="P45" s="16"/>
      <c r="Q45" s="16" t="s">
        <v>4460</v>
      </c>
      <c r="R45" s="16" t="s">
        <v>4464</v>
      </c>
      <c r="S45" s="16"/>
      <c r="T45" s="115"/>
      <c r="U45" s="103">
        <v>0.66669999999999996</v>
      </c>
      <c r="V45" s="44">
        <v>242550</v>
      </c>
      <c r="W45" s="84">
        <v>161708.08499999999</v>
      </c>
      <c r="X45" s="16">
        <v>214</v>
      </c>
      <c r="Y45" s="95">
        <v>48.51</v>
      </c>
      <c r="Z45" s="16">
        <v>818</v>
      </c>
      <c r="AA45" s="84" t="s">
        <v>4474</v>
      </c>
    </row>
    <row r="46" spans="1:27" ht="20" customHeight="1" x14ac:dyDescent="0.25">
      <c r="A46" s="108"/>
      <c r="B46" s="108"/>
      <c r="C46" s="108"/>
      <c r="D46" s="4"/>
      <c r="E46" s="4"/>
      <c r="F46" s="4"/>
      <c r="H46" s="16">
        <v>4</v>
      </c>
      <c r="I46" s="16">
        <v>1148</v>
      </c>
      <c r="J46" s="16">
        <v>170</v>
      </c>
      <c r="K46" s="16" t="s">
        <v>1115</v>
      </c>
      <c r="L46" s="16" t="s">
        <v>4462</v>
      </c>
      <c r="M46" s="16" t="s">
        <v>1146</v>
      </c>
      <c r="N46" s="16"/>
      <c r="O46" s="16" t="s">
        <v>4465</v>
      </c>
      <c r="P46" s="16"/>
      <c r="Q46" s="16" t="s">
        <v>4460</v>
      </c>
      <c r="R46" s="16" t="s">
        <v>4466</v>
      </c>
      <c r="S46" s="16"/>
      <c r="T46" s="115"/>
      <c r="U46" s="103">
        <v>1.0417000000000001</v>
      </c>
      <c r="V46" s="44">
        <v>132825</v>
      </c>
      <c r="W46" s="84">
        <v>138363.80250000002</v>
      </c>
      <c r="X46" s="16">
        <v>213</v>
      </c>
      <c r="Y46" s="95">
        <v>26.56</v>
      </c>
      <c r="Z46" s="16">
        <v>819</v>
      </c>
      <c r="AA46" s="84" t="s">
        <v>4474</v>
      </c>
    </row>
    <row r="47" spans="1:27" ht="20" customHeight="1" x14ac:dyDescent="0.25">
      <c r="A47" s="108"/>
      <c r="B47" s="108"/>
      <c r="C47" s="108"/>
      <c r="D47" s="4"/>
      <c r="E47" s="4"/>
      <c r="F47" s="4"/>
      <c r="H47" s="16">
        <v>4</v>
      </c>
      <c r="I47" s="16">
        <v>1148</v>
      </c>
      <c r="J47" s="16">
        <v>126</v>
      </c>
      <c r="K47" s="16" t="s">
        <v>1115</v>
      </c>
      <c r="L47" s="16" t="s">
        <v>4462</v>
      </c>
      <c r="M47" s="16" t="s">
        <v>1146</v>
      </c>
      <c r="N47" s="16"/>
      <c r="O47" s="16" t="s">
        <v>4463</v>
      </c>
      <c r="P47" s="16"/>
      <c r="Q47" s="16" t="s">
        <v>1498</v>
      </c>
      <c r="R47" s="16" t="s">
        <v>4464</v>
      </c>
      <c r="S47" s="16"/>
      <c r="T47" s="115"/>
      <c r="U47" s="103">
        <v>0.66669999999999996</v>
      </c>
      <c r="V47" s="44">
        <v>283500</v>
      </c>
      <c r="W47" s="84">
        <v>189009.44999999998</v>
      </c>
      <c r="X47" s="16">
        <v>212</v>
      </c>
      <c r="Y47" s="95">
        <v>56.7</v>
      </c>
      <c r="Z47" s="16">
        <v>820</v>
      </c>
      <c r="AA47" s="84" t="s">
        <v>4474</v>
      </c>
    </row>
    <row r="48" spans="1:27" ht="20" customHeight="1" x14ac:dyDescent="0.25">
      <c r="A48" s="108"/>
      <c r="B48" s="108"/>
      <c r="C48" s="108"/>
      <c r="D48" s="4"/>
      <c r="E48" s="4"/>
      <c r="F48" s="4"/>
      <c r="H48" s="16">
        <v>4</v>
      </c>
      <c r="I48" s="16">
        <v>1148</v>
      </c>
      <c r="J48" s="16">
        <v>162</v>
      </c>
      <c r="K48" s="16" t="s">
        <v>1115</v>
      </c>
      <c r="L48" s="16" t="s">
        <v>4462</v>
      </c>
      <c r="M48" s="16" t="s">
        <v>1146</v>
      </c>
      <c r="N48" s="16"/>
      <c r="O48" s="16" t="s">
        <v>4465</v>
      </c>
      <c r="P48" s="16"/>
      <c r="Q48" s="16" t="s">
        <v>1498</v>
      </c>
      <c r="R48" s="16" t="s">
        <v>4466</v>
      </c>
      <c r="S48" s="16"/>
      <c r="T48" s="115"/>
      <c r="U48" s="103">
        <v>1.0417000000000001</v>
      </c>
      <c r="V48" s="44">
        <v>155250</v>
      </c>
      <c r="W48" s="84">
        <v>161723.92500000002</v>
      </c>
      <c r="X48" s="16">
        <v>211</v>
      </c>
      <c r="Y48" s="95">
        <v>31.05</v>
      </c>
      <c r="Z48" s="16">
        <v>821</v>
      </c>
      <c r="AA48" s="84" t="s">
        <v>4474</v>
      </c>
    </row>
    <row r="49" spans="1:27" ht="20" customHeight="1" x14ac:dyDescent="0.25">
      <c r="A49" s="108"/>
      <c r="B49" s="108"/>
      <c r="C49" s="108"/>
      <c r="D49" s="4"/>
      <c r="E49" s="4"/>
      <c r="F49" s="4"/>
      <c r="H49" s="16">
        <v>4</v>
      </c>
      <c r="I49" s="16">
        <v>1149</v>
      </c>
      <c r="J49" s="16">
        <v>141</v>
      </c>
      <c r="K49" s="16" t="s">
        <v>1115</v>
      </c>
      <c r="L49" s="16" t="s">
        <v>4462</v>
      </c>
      <c r="M49" s="16" t="s">
        <v>1146</v>
      </c>
      <c r="N49" s="16"/>
      <c r="O49" s="16" t="s">
        <v>4465</v>
      </c>
      <c r="P49" s="16"/>
      <c r="Q49" s="16" t="s">
        <v>1498</v>
      </c>
      <c r="R49" s="16" t="s">
        <v>4466</v>
      </c>
      <c r="S49" s="16"/>
      <c r="T49" s="115"/>
      <c r="U49" s="103">
        <v>1.0417000000000001</v>
      </c>
      <c r="V49" s="44">
        <v>147900</v>
      </c>
      <c r="W49" s="84">
        <v>154067.43000000002</v>
      </c>
      <c r="X49" s="16">
        <v>295</v>
      </c>
      <c r="Y49" s="95">
        <v>29.58</v>
      </c>
      <c r="Z49" s="16">
        <v>827</v>
      </c>
      <c r="AA49" s="84" t="s">
        <v>4474</v>
      </c>
    </row>
    <row r="50" spans="1:27" ht="20" customHeight="1" x14ac:dyDescent="0.25">
      <c r="A50" s="108"/>
      <c r="B50" s="108"/>
      <c r="C50" s="108"/>
      <c r="D50" s="4"/>
      <c r="E50" s="4"/>
      <c r="F50" s="4"/>
      <c r="H50" s="16">
        <v>4</v>
      </c>
      <c r="I50" s="16">
        <v>1149</v>
      </c>
      <c r="J50" s="16">
        <v>106</v>
      </c>
      <c r="K50" s="16" t="s">
        <v>1115</v>
      </c>
      <c r="L50" s="16" t="s">
        <v>4462</v>
      </c>
      <c r="M50" s="16" t="s">
        <v>1146</v>
      </c>
      <c r="N50" s="16"/>
      <c r="O50" s="16" t="s">
        <v>4463</v>
      </c>
      <c r="P50" s="16"/>
      <c r="Q50" s="16" t="s">
        <v>1498</v>
      </c>
      <c r="R50" s="16" t="s">
        <v>4464</v>
      </c>
      <c r="S50" s="16"/>
      <c r="T50" s="16"/>
      <c r="U50" s="103">
        <v>0.66669999999999996</v>
      </c>
      <c r="V50" s="44">
        <v>224025</v>
      </c>
      <c r="W50" s="84">
        <v>149357.4675</v>
      </c>
      <c r="X50" s="16">
        <v>296</v>
      </c>
      <c r="Y50" s="95">
        <v>44.8</v>
      </c>
      <c r="Z50" s="16">
        <v>830</v>
      </c>
      <c r="AA50" s="84" t="s">
        <v>4474</v>
      </c>
    </row>
    <row r="51" spans="1:27" ht="20" customHeight="1" x14ac:dyDescent="0.25">
      <c r="A51" s="108"/>
      <c r="B51" s="108"/>
      <c r="C51" s="108"/>
      <c r="D51" s="4"/>
      <c r="E51" s="4"/>
      <c r="F51" s="4"/>
      <c r="H51" s="16">
        <v>4</v>
      </c>
      <c r="I51" s="16">
        <v>1149</v>
      </c>
      <c r="J51" s="16">
        <v>145</v>
      </c>
      <c r="K51" s="16" t="s">
        <v>1115</v>
      </c>
      <c r="L51" s="16" t="s">
        <v>4462</v>
      </c>
      <c r="M51" s="16" t="s">
        <v>1146</v>
      </c>
      <c r="N51" s="16"/>
      <c r="O51" s="16" t="s">
        <v>4465</v>
      </c>
      <c r="P51" s="16"/>
      <c r="Q51" s="16" t="s">
        <v>4460</v>
      </c>
      <c r="R51" s="16" t="s">
        <v>4466</v>
      </c>
      <c r="S51" s="16"/>
      <c r="T51" s="16"/>
      <c r="U51" s="103">
        <v>1.0417000000000001</v>
      </c>
      <c r="V51" s="44">
        <v>114750</v>
      </c>
      <c r="W51" s="84">
        <v>119535.07500000001</v>
      </c>
      <c r="X51" s="16">
        <v>297</v>
      </c>
      <c r="Y51" s="95">
        <v>22.95</v>
      </c>
      <c r="Z51" s="16">
        <v>829</v>
      </c>
      <c r="AA51" s="84" t="s">
        <v>4474</v>
      </c>
    </row>
    <row r="52" spans="1:27" ht="20" customHeight="1" x14ac:dyDescent="0.25">
      <c r="A52" s="108"/>
      <c r="B52" s="108"/>
      <c r="C52" s="108"/>
      <c r="D52" s="4"/>
      <c r="E52" s="4"/>
      <c r="F52" s="4"/>
      <c r="H52" s="16">
        <v>4</v>
      </c>
      <c r="I52" s="16">
        <v>1149</v>
      </c>
      <c r="J52" s="16">
        <v>110</v>
      </c>
      <c r="K52" s="16" t="s">
        <v>1115</v>
      </c>
      <c r="L52" s="16" t="s">
        <v>4462</v>
      </c>
      <c r="M52" s="16" t="s">
        <v>1146</v>
      </c>
      <c r="N52" s="16"/>
      <c r="O52" s="16" t="s">
        <v>4463</v>
      </c>
      <c r="P52" s="16"/>
      <c r="Q52" s="16" t="s">
        <v>4460</v>
      </c>
      <c r="R52" s="16" t="s">
        <v>4464</v>
      </c>
      <c r="S52" s="16"/>
      <c r="T52" s="16"/>
      <c r="U52" s="113">
        <v>0.66669999999999996</v>
      </c>
      <c r="V52" s="44">
        <v>141375</v>
      </c>
      <c r="W52" s="84">
        <v>94254.712499999994</v>
      </c>
      <c r="X52" s="16">
        <v>298</v>
      </c>
      <c r="Y52" s="84">
        <v>28.28</v>
      </c>
      <c r="Z52" s="16">
        <v>828</v>
      </c>
      <c r="AA52" s="84" t="s">
        <v>4474</v>
      </c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4" t="s">
        <v>4488</v>
      </c>
      <c r="T53" s="164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1:T1"/>
    <mergeCell ref="B6:C6"/>
    <mergeCell ref="A1:C1"/>
    <mergeCell ref="A2:C2"/>
    <mergeCell ref="B3:C3"/>
    <mergeCell ref="B4:C4"/>
    <mergeCell ref="B5:C5"/>
    <mergeCell ref="B7:C7"/>
    <mergeCell ref="B8:C8"/>
    <mergeCell ref="B15:C15"/>
    <mergeCell ref="B16:C16"/>
    <mergeCell ref="B18:C18"/>
    <mergeCell ref="B9:C9"/>
    <mergeCell ref="S53:T53"/>
    <mergeCell ref="B10:C10"/>
    <mergeCell ref="B11:C11"/>
    <mergeCell ref="B12:C12"/>
    <mergeCell ref="B13:C13"/>
    <mergeCell ref="B14:C14"/>
  </mergeCells>
  <phoneticPr fontId="1" type="noConversion"/>
  <conditionalFormatting sqref="L3:L53 S3:U53">
    <cfRule type="cellIs" dxfId="234" priority="85" operator="equal">
      <formula>"DELETED"</formula>
    </cfRule>
    <cfRule type="cellIs" dxfId="233" priority="86" operator="equal">
      <formula>"삭제"</formula>
    </cfRule>
    <cfRule type="cellIs" dxfId="232" priority="87" operator="equal">
      <formula>"수정"</formula>
    </cfRule>
    <cfRule type="cellIs" dxfId="231" priority="88" operator="equal">
      <formula>"UPDATED"</formula>
    </cfRule>
  </conditionalFormatting>
  <conditionalFormatting sqref="K3:K53">
    <cfRule type="cellIs" dxfId="230" priority="17" operator="equal">
      <formula>"UPDATED"</formula>
    </cfRule>
    <cfRule type="cellIs" dxfId="229" priority="18" operator="equal">
      <formula>"선택"</formula>
    </cfRule>
    <cfRule type="cellIs" dxfId="228" priority="81" operator="equal">
      <formula>"DELETED"</formula>
    </cfRule>
    <cfRule type="cellIs" dxfId="227" priority="82" operator="equal">
      <formula>"삭제"</formula>
    </cfRule>
    <cfRule type="cellIs" dxfId="226" priority="83" operator="equal">
      <formula>"수정"</formula>
    </cfRule>
    <cfRule type="cellIs" dxfId="225" priority="84" operator="equal">
      <formula>"UPDATED"</formula>
    </cfRule>
  </conditionalFormatting>
  <conditionalFormatting sqref="N3:N53">
    <cfRule type="cellIs" dxfId="224" priority="77" operator="equal">
      <formula>"DELETED"</formula>
    </cfRule>
    <cfRule type="cellIs" dxfId="223" priority="78" operator="equal">
      <formula>"삭제"</formula>
    </cfRule>
    <cfRule type="cellIs" dxfId="222" priority="79" operator="equal">
      <formula>"수정"</formula>
    </cfRule>
    <cfRule type="cellIs" dxfId="221" priority="80" operator="equal">
      <formula>"UPDATED"</formula>
    </cfRule>
  </conditionalFormatting>
  <conditionalFormatting sqref="M3:M53">
    <cfRule type="cellIs" dxfId="220" priority="73" operator="equal">
      <formula>"DELETED"</formula>
    </cfRule>
    <cfRule type="cellIs" dxfId="219" priority="74" operator="equal">
      <formula>"삭제"</formula>
    </cfRule>
    <cfRule type="cellIs" dxfId="218" priority="75" operator="equal">
      <formula>"수정"</formula>
    </cfRule>
    <cfRule type="cellIs" dxfId="217" priority="76" operator="equal">
      <formula>"UPDATED"</formula>
    </cfRule>
  </conditionalFormatting>
  <conditionalFormatting sqref="O3:O53">
    <cfRule type="cellIs" dxfId="216" priority="69" operator="equal">
      <formula>"DELETED"</formula>
    </cfRule>
    <cfRule type="cellIs" dxfId="215" priority="70" operator="equal">
      <formula>"삭제"</formula>
    </cfRule>
    <cfRule type="cellIs" dxfId="214" priority="71" operator="equal">
      <formula>"수정"</formula>
    </cfRule>
    <cfRule type="cellIs" dxfId="213" priority="72" operator="equal">
      <formula>"UPDATED"</formula>
    </cfRule>
  </conditionalFormatting>
  <conditionalFormatting sqref="Q3:Q53">
    <cfRule type="cellIs" dxfId="212" priority="61" operator="equal">
      <formula>"DELETED"</formula>
    </cfRule>
    <cfRule type="cellIs" dxfId="211" priority="62" operator="equal">
      <formula>"삭제"</formula>
    </cfRule>
    <cfRule type="cellIs" dxfId="210" priority="63" operator="equal">
      <formula>"수정"</formula>
    </cfRule>
    <cfRule type="cellIs" dxfId="209" priority="64" operator="equal">
      <formula>"UPDATED"</formula>
    </cfRule>
  </conditionalFormatting>
  <conditionalFormatting sqref="P3:P53">
    <cfRule type="cellIs" dxfId="208" priority="57" operator="equal">
      <formula>"DELETED"</formula>
    </cfRule>
    <cfRule type="cellIs" dxfId="207" priority="58" operator="equal">
      <formula>"삭제"</formula>
    </cfRule>
    <cfRule type="cellIs" dxfId="206" priority="59" operator="equal">
      <formula>"수정"</formula>
    </cfRule>
    <cfRule type="cellIs" dxfId="205" priority="60" operator="equal">
      <formula>"UPDATED"</formula>
    </cfRule>
  </conditionalFormatting>
  <conditionalFormatting sqref="R3:R53">
    <cfRule type="cellIs" dxfId="204" priority="49" operator="equal">
      <formula>"DELETED"</formula>
    </cfRule>
    <cfRule type="cellIs" dxfId="203" priority="50" operator="equal">
      <formula>"삭제"</formula>
    </cfRule>
    <cfRule type="cellIs" dxfId="202" priority="51" operator="equal">
      <formula>"수정"</formula>
    </cfRule>
    <cfRule type="cellIs" dxfId="201" priority="52" operator="equal">
      <formula>"UPDATED"</formula>
    </cfRule>
  </conditionalFormatting>
  <conditionalFormatting sqref="E7">
    <cfRule type="containsBlanks" dxfId="200" priority="36">
      <formula>LEN(TRIM(E7))=0</formula>
    </cfRule>
  </conditionalFormatting>
  <conditionalFormatting sqref="E7">
    <cfRule type="notContainsBlanks" dxfId="199" priority="35">
      <formula>LEN(TRIM(E7))&gt;0</formula>
    </cfRule>
  </conditionalFormatting>
  <conditionalFormatting sqref="V3:V53">
    <cfRule type="cellIs" dxfId="198" priority="27" operator="equal">
      <formula>"DELETED"</formula>
    </cfRule>
    <cfRule type="cellIs" dxfId="197" priority="28" operator="equal">
      <formula>"삭제"</formula>
    </cfRule>
    <cfRule type="cellIs" dxfId="196" priority="29" operator="equal">
      <formula>"수정"</formula>
    </cfRule>
    <cfRule type="cellIs" dxfId="195" priority="30" operator="equal">
      <formula>"UPDATED"</formula>
    </cfRule>
  </conditionalFormatting>
  <conditionalFormatting sqref="W3:W53">
    <cfRule type="cellIs" dxfId="194" priority="19" operator="equal">
      <formula>"DELETED"</formula>
    </cfRule>
    <cfRule type="cellIs" dxfId="193" priority="20" operator="equal">
      <formula>"삭제"</formula>
    </cfRule>
    <cfRule type="cellIs" dxfId="192" priority="21" operator="equal">
      <formula>"수정"</formula>
    </cfRule>
    <cfRule type="cellIs" dxfId="191" priority="22" operator="equal">
      <formula>"UPDATED"</formula>
    </cfRule>
  </conditionalFormatting>
  <conditionalFormatting sqref="Y3:Y53">
    <cfRule type="cellIs" dxfId="190" priority="13" operator="equal">
      <formula>"DELETED"</formula>
    </cfRule>
    <cfRule type="cellIs" dxfId="189" priority="14" operator="equal">
      <formula>"삭제"</formula>
    </cfRule>
    <cfRule type="cellIs" dxfId="188" priority="15" operator="equal">
      <formula>"수정"</formula>
    </cfRule>
    <cfRule type="cellIs" dxfId="187" priority="16" operator="equal">
      <formula>"UPDATED"</formula>
    </cfRule>
  </conditionalFormatting>
  <conditionalFormatting sqref="AA3:AA53">
    <cfRule type="notContainsBlanks" dxfId="186" priority="8">
      <formula>LEN(TRIM(AA3))&gt;0</formula>
    </cfRule>
    <cfRule type="cellIs" dxfId="185" priority="9" operator="equal">
      <formula>"DELETED"</formula>
    </cfRule>
    <cfRule type="cellIs" dxfId="184" priority="10" operator="equal">
      <formula>"삭제"</formula>
    </cfRule>
    <cfRule type="cellIs" dxfId="183" priority="11" operator="equal">
      <formula>"수정"</formula>
    </cfRule>
    <cfRule type="cellIs" dxfId="182" priority="12" operator="equal">
      <formula>"UPDATED"</formula>
    </cfRule>
  </conditionalFormatting>
  <conditionalFormatting sqref="S1:U1">
    <cfRule type="cellIs" dxfId="181" priority="4" operator="equal">
      <formula>"DELETED"</formula>
    </cfRule>
    <cfRule type="cellIs" dxfId="180" priority="5" operator="equal">
      <formula>"삭제"</formula>
    </cfRule>
    <cfRule type="cellIs" dxfId="179" priority="6" operator="equal">
      <formula>"수정"</formula>
    </cfRule>
    <cfRule type="cellIs" dxfId="178" priority="7" operator="equal">
      <formula>"UPDATED"</formula>
    </cfRule>
  </conditionalFormatting>
  <conditionalFormatting sqref="E5">
    <cfRule type="containsBlanks" dxfId="177" priority="3">
      <formula>LEN(TRIM(E5))=0</formula>
    </cfRule>
  </conditionalFormatting>
  <conditionalFormatting sqref="E5">
    <cfRule type="notContainsBlanks" dxfId="176" priority="2">
      <formula>LEN(TRIM(E5))&gt;0</formula>
    </cfRule>
  </conditionalFormatting>
  <conditionalFormatting sqref="E9">
    <cfRule type="containsBlanks" dxfId="175" priority="1">
      <formula>LEN(TRIM(E9))=0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18:C18" r:id="rId1" display="대시보드" xr:uid="{76A96188-D650-4FD4-9576-383A5370494D}"/>
    <hyperlink ref="B3:C3" location="인덴트관리!A1" display="1. 인덴트 관리" xr:uid="{787E4C63-AA70-4A7F-BD41-5CC0C38D219E}"/>
    <hyperlink ref="B4:C4" location="PO관리!A1" display="2. PO 관리" xr:uid="{0BE50944-B481-4253-9CC4-4BB370D6B371}"/>
    <hyperlink ref="B6:C6" location="지출계획!A1" display="3. 지출계획" xr:uid="{9D8F1AB6-FE73-4978-8715-7CF2290DD1F9}"/>
    <hyperlink ref="B7:C7" location="매출채권!A1" display="4. 매출채권" xr:uid="{9FA70208-081B-407F-9814-A02B3197E5B9}"/>
    <hyperlink ref="B8:C8" location="체크리스트!A1" display="5. 체크리스트" xr:uid="{A98018EC-B96E-4E6C-855D-03009C5F9574}"/>
    <hyperlink ref="B9:C9" location="발주서!A1" display="6. 발주서" xr:uid="{5D3DB5D7-CDAF-4F36-8B9E-9E2095E9B48C}"/>
    <hyperlink ref="B12:C12" location="Tracking!A1" display="Tracking" xr:uid="{CBA8ADBD-29C1-4D50-92F6-D654010C30DD}"/>
    <hyperlink ref="B5:C5" location="PO관리툴!A1" display="PO 관리" xr:uid="{48EC540F-A127-42D3-8002-0C49F36FEEF5}"/>
    <hyperlink ref="B11:C11" location="선적수량!A1" display="선적수량" xr:uid="{669FFD8C-1C92-45C3-8534-F26448C2BBAD}"/>
    <hyperlink ref="B10:C10" location="견적서!A1" display="견적서" xr:uid="{3D12550C-6A26-4439-AF15-DFC6F3201A2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1446132E-F7AD-4908-9DF1-810BDB065184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E4109F4-BC79-479D-B563-26B6AA56C5CF}">
          <x14:formula1>
            <xm:f>validation!$N$2:$N$52</xm:f>
          </x14:formula1>
          <xm:sqref>E9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1" sqref="B11:C11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6" t="s">
        <v>4488</v>
      </c>
      <c r="T1" s="165"/>
      <c r="U1" s="149"/>
      <c r="V1" s="150"/>
      <c r="W1" s="83"/>
      <c r="X1" s="40">
        <v>1</v>
      </c>
      <c r="Y1" s="83"/>
      <c r="Z1" s="40" t="s">
        <v>4359</v>
      </c>
      <c r="AA1" s="96"/>
    </row>
    <row r="2" spans="1:27" s="2" customFormat="1" ht="20" customHeight="1" thickBot="1" x14ac:dyDescent="0.3">
      <c r="A2" s="156"/>
      <c r="B2" s="156"/>
      <c r="C2" s="15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4436</v>
      </c>
      <c r="T2" s="104" t="s">
        <v>4358</v>
      </c>
      <c r="U2" s="104" t="s">
        <v>1486</v>
      </c>
      <c r="V2" s="102" t="s">
        <v>1483</v>
      </c>
      <c r="W2" s="85" t="s">
        <v>1469</v>
      </c>
      <c r="X2" s="94" t="s">
        <v>12</v>
      </c>
      <c r="Y2" s="99" t="s">
        <v>4486</v>
      </c>
      <c r="Z2" s="94" t="s">
        <v>12</v>
      </c>
      <c r="AA2" s="100" t="s">
        <v>4484</v>
      </c>
    </row>
    <row r="3" spans="1:27" s="2" customFormat="1" ht="20" customHeight="1" x14ac:dyDescent="0.25">
      <c r="A3" s="151"/>
      <c r="B3" s="157" t="s">
        <v>1473</v>
      </c>
      <c r="C3" s="157"/>
      <c r="D3" s="4"/>
      <c r="E3" s="4"/>
      <c r="F3" s="4"/>
      <c r="G3" s="8"/>
      <c r="H3" s="16">
        <v>781</v>
      </c>
      <c r="I3" s="16">
        <v>1145</v>
      </c>
      <c r="J3" s="16">
        <v>126</v>
      </c>
      <c r="K3" s="16" t="s">
        <v>1115</v>
      </c>
      <c r="L3" s="16" t="s">
        <v>4462</v>
      </c>
      <c r="M3" s="16" t="s">
        <v>1146</v>
      </c>
      <c r="N3" s="16"/>
      <c r="O3" s="16" t="s">
        <v>4463</v>
      </c>
      <c r="P3" s="16"/>
      <c r="Q3" s="16" t="s">
        <v>1498</v>
      </c>
      <c r="R3" s="16" t="s">
        <v>4464</v>
      </c>
      <c r="S3" s="16" t="s">
        <v>4474</v>
      </c>
      <c r="T3" s="16" t="s">
        <v>4494</v>
      </c>
      <c r="U3" s="103">
        <v>1560</v>
      </c>
      <c r="V3" s="44">
        <v>64.47</v>
      </c>
      <c r="W3" s="84">
        <v>9026.2512900000002</v>
      </c>
      <c r="X3" s="16">
        <v>10</v>
      </c>
      <c r="Y3" s="95">
        <v>64</v>
      </c>
      <c r="Z3" s="16">
        <v>55</v>
      </c>
      <c r="AA3" s="84" t="s">
        <v>4495</v>
      </c>
    </row>
    <row r="4" spans="1:27" s="2" customFormat="1" ht="20" customHeight="1" thickBot="1" x14ac:dyDescent="0.3">
      <c r="A4" s="151"/>
      <c r="B4" s="157" t="s">
        <v>1474</v>
      </c>
      <c r="C4" s="157"/>
      <c r="D4" s="4"/>
      <c r="E4" s="4" t="s">
        <v>4482</v>
      </c>
      <c r="F4" s="4"/>
      <c r="G4" s="8"/>
      <c r="H4" s="16">
        <v>782</v>
      </c>
      <c r="I4" s="16">
        <v>1145</v>
      </c>
      <c r="J4" s="16">
        <v>163</v>
      </c>
      <c r="K4" s="16" t="s">
        <v>1115</v>
      </c>
      <c r="L4" s="16" t="s">
        <v>4462</v>
      </c>
      <c r="M4" s="16" t="s">
        <v>1146</v>
      </c>
      <c r="N4" s="16"/>
      <c r="O4" s="16" t="s">
        <v>4465</v>
      </c>
      <c r="P4" s="16"/>
      <c r="Q4" s="16" t="s">
        <v>1498</v>
      </c>
      <c r="R4" s="16"/>
      <c r="S4" s="16" t="s">
        <v>4474</v>
      </c>
      <c r="T4" s="16" t="s">
        <v>4494</v>
      </c>
      <c r="U4" s="103">
        <v>1250</v>
      </c>
      <c r="V4" s="44">
        <v>35.299999999999997</v>
      </c>
      <c r="W4" s="84">
        <v>4228.7811500000007</v>
      </c>
      <c r="X4" s="16">
        <v>9</v>
      </c>
      <c r="Y4" s="95">
        <v>35</v>
      </c>
      <c r="Z4" s="16">
        <v>56</v>
      </c>
      <c r="AA4" s="84" t="s">
        <v>4495</v>
      </c>
    </row>
    <row r="5" spans="1:27" s="2" customFormat="1" ht="20" customHeight="1" thickBot="1" x14ac:dyDescent="0.3">
      <c r="A5" s="151"/>
      <c r="B5" s="157" t="s">
        <v>1520</v>
      </c>
      <c r="C5" s="157"/>
      <c r="D5" s="4"/>
      <c r="E5" s="10" t="s">
        <v>1500</v>
      </c>
      <c r="F5" s="4"/>
      <c r="G5" s="8"/>
      <c r="H5" s="16">
        <v>783</v>
      </c>
      <c r="I5" s="16">
        <v>1145</v>
      </c>
      <c r="J5" s="16">
        <v>136</v>
      </c>
      <c r="K5" s="16" t="s">
        <v>1115</v>
      </c>
      <c r="L5" s="16" t="s">
        <v>4462</v>
      </c>
      <c r="M5" s="16" t="s">
        <v>1146</v>
      </c>
      <c r="N5" s="16"/>
      <c r="O5" s="16" t="s">
        <v>4463</v>
      </c>
      <c r="P5" s="16"/>
      <c r="Q5" s="16" t="s">
        <v>4475</v>
      </c>
      <c r="R5" s="16" t="s">
        <v>4464</v>
      </c>
      <c r="S5" s="16" t="s">
        <v>4474</v>
      </c>
      <c r="T5" s="16" t="s">
        <v>4494</v>
      </c>
      <c r="U5" s="103">
        <v>1560</v>
      </c>
      <c r="V5" s="44">
        <v>38.64</v>
      </c>
      <c r="W5" s="84">
        <v>5409.8704799999996</v>
      </c>
      <c r="X5" s="16">
        <v>20</v>
      </c>
      <c r="Y5" s="95">
        <v>39</v>
      </c>
      <c r="Z5" s="16">
        <v>57</v>
      </c>
      <c r="AA5" s="84" t="s">
        <v>4495</v>
      </c>
    </row>
    <row r="6" spans="1:27" s="2" customFormat="1" ht="20" customHeight="1" thickBot="1" x14ac:dyDescent="0.3">
      <c r="A6" s="151"/>
      <c r="B6" s="162" t="s">
        <v>1475</v>
      </c>
      <c r="C6" s="162"/>
      <c r="D6" s="4"/>
      <c r="E6" s="4" t="s">
        <v>1132</v>
      </c>
      <c r="F6" s="4"/>
      <c r="G6" s="8"/>
      <c r="H6" s="16">
        <v>784</v>
      </c>
      <c r="I6" s="16">
        <v>1145</v>
      </c>
      <c r="J6" s="16">
        <v>177</v>
      </c>
      <c r="K6" s="16" t="s">
        <v>1115</v>
      </c>
      <c r="L6" s="16" t="s">
        <v>4462</v>
      </c>
      <c r="M6" s="16" t="s">
        <v>1146</v>
      </c>
      <c r="N6" s="16"/>
      <c r="O6" s="16" t="s">
        <v>4465</v>
      </c>
      <c r="P6" s="16"/>
      <c r="Q6" s="16" t="s">
        <v>4475</v>
      </c>
      <c r="R6" s="16"/>
      <c r="S6" s="16" t="s">
        <v>4474</v>
      </c>
      <c r="T6" s="16" t="s">
        <v>4494</v>
      </c>
      <c r="U6" s="103">
        <v>1250</v>
      </c>
      <c r="V6" s="44">
        <v>21.16</v>
      </c>
      <c r="W6" s="84">
        <v>2534.8727800000001</v>
      </c>
      <c r="X6" s="16">
        <v>19</v>
      </c>
      <c r="Y6" s="95">
        <v>21</v>
      </c>
      <c r="Z6" s="16">
        <v>58</v>
      </c>
      <c r="AA6" s="84" t="s">
        <v>4495</v>
      </c>
    </row>
    <row r="7" spans="1:27" s="2" customFormat="1" ht="20" customHeight="1" thickBot="1" x14ac:dyDescent="0.3">
      <c r="A7" s="151"/>
      <c r="B7" s="162" t="s">
        <v>1476</v>
      </c>
      <c r="C7" s="162"/>
      <c r="D7" s="4"/>
      <c r="E7" s="10" t="s">
        <v>1148</v>
      </c>
      <c r="F7" s="4"/>
      <c r="G7" s="8"/>
      <c r="H7" s="16">
        <v>785</v>
      </c>
      <c r="I7" s="16">
        <v>1145</v>
      </c>
      <c r="J7" s="16">
        <v>135</v>
      </c>
      <c r="K7" s="16" t="s">
        <v>1115</v>
      </c>
      <c r="L7" s="16" t="s">
        <v>4462</v>
      </c>
      <c r="M7" s="16" t="s">
        <v>1146</v>
      </c>
      <c r="N7" s="16"/>
      <c r="O7" s="16" t="s">
        <v>4463</v>
      </c>
      <c r="P7" s="16"/>
      <c r="Q7" s="16" t="s">
        <v>4467</v>
      </c>
      <c r="R7" s="16" t="s">
        <v>4464</v>
      </c>
      <c r="S7" s="16" t="s">
        <v>4474</v>
      </c>
      <c r="T7" s="16" t="s">
        <v>4494</v>
      </c>
      <c r="U7" s="103">
        <v>1560</v>
      </c>
      <c r="V7" s="44">
        <v>51.24</v>
      </c>
      <c r="W7" s="84">
        <v>7173.9586799999997</v>
      </c>
      <c r="X7" s="16">
        <v>18</v>
      </c>
      <c r="Y7" s="95">
        <v>51</v>
      </c>
      <c r="Z7" s="16">
        <v>59</v>
      </c>
      <c r="AA7" s="84" t="s">
        <v>4495</v>
      </c>
    </row>
    <row r="8" spans="1:27" s="2" customFormat="1" ht="20" customHeight="1" thickBot="1" x14ac:dyDescent="0.3">
      <c r="A8" s="151"/>
      <c r="B8" s="157" t="s">
        <v>1477</v>
      </c>
      <c r="C8" s="157"/>
      <c r="D8" s="4"/>
      <c r="E8" s="4" t="s">
        <v>1465</v>
      </c>
      <c r="F8" s="4"/>
      <c r="G8" s="8"/>
      <c r="H8" s="16">
        <v>786</v>
      </c>
      <c r="I8" s="16">
        <v>1145</v>
      </c>
      <c r="J8" s="16">
        <v>176</v>
      </c>
      <c r="K8" s="16" t="s">
        <v>1115</v>
      </c>
      <c r="L8" s="16" t="s">
        <v>4462</v>
      </c>
      <c r="M8" s="16" t="s">
        <v>1146</v>
      </c>
      <c r="N8" s="16"/>
      <c r="O8" s="16" t="s">
        <v>4465</v>
      </c>
      <c r="P8" s="16"/>
      <c r="Q8" s="16" t="s">
        <v>4467</v>
      </c>
      <c r="R8" s="16"/>
      <c r="S8" s="16" t="s">
        <v>4474</v>
      </c>
      <c r="T8" s="16" t="s">
        <v>4494</v>
      </c>
      <c r="U8" s="103">
        <v>1250</v>
      </c>
      <c r="V8" s="44">
        <v>28.06</v>
      </c>
      <c r="W8" s="84">
        <v>3361.4617300000004</v>
      </c>
      <c r="X8" s="16">
        <v>17</v>
      </c>
      <c r="Y8" s="95">
        <v>28</v>
      </c>
      <c r="Z8" s="16">
        <v>60</v>
      </c>
      <c r="AA8" s="84" t="s">
        <v>4495</v>
      </c>
    </row>
    <row r="9" spans="1:27" s="2" customFormat="1" ht="20" customHeight="1" thickBot="1" x14ac:dyDescent="0.3">
      <c r="A9" s="151"/>
      <c r="B9" s="157" t="s">
        <v>1478</v>
      </c>
      <c r="C9" s="157"/>
      <c r="D9" s="4"/>
      <c r="E9" s="154" t="s">
        <v>1174</v>
      </c>
      <c r="F9" s="4"/>
      <c r="G9" s="8"/>
      <c r="H9" s="16">
        <v>787</v>
      </c>
      <c r="I9" s="16">
        <v>1145</v>
      </c>
      <c r="J9" s="16">
        <v>128</v>
      </c>
      <c r="K9" s="16" t="s">
        <v>1115</v>
      </c>
      <c r="L9" s="16" t="s">
        <v>4462</v>
      </c>
      <c r="M9" s="16" t="s">
        <v>1146</v>
      </c>
      <c r="N9" s="16"/>
      <c r="O9" s="16" t="s">
        <v>4463</v>
      </c>
      <c r="P9" s="16"/>
      <c r="Q9" s="16" t="s">
        <v>4476</v>
      </c>
      <c r="R9" s="16" t="s">
        <v>4464</v>
      </c>
      <c r="S9" s="16" t="s">
        <v>4474</v>
      </c>
      <c r="T9" s="16" t="s">
        <v>4494</v>
      </c>
      <c r="U9" s="103">
        <v>1560</v>
      </c>
      <c r="V9" s="44">
        <v>38.64</v>
      </c>
      <c r="W9" s="84">
        <v>5409.8704799999996</v>
      </c>
      <c r="X9" s="16">
        <v>16</v>
      </c>
      <c r="Y9" s="95">
        <v>39</v>
      </c>
      <c r="Z9" s="16">
        <v>61</v>
      </c>
      <c r="AA9" s="84" t="s">
        <v>4495</v>
      </c>
    </row>
    <row r="10" spans="1:27" s="2" customFormat="1" ht="20" customHeight="1" x14ac:dyDescent="0.25">
      <c r="A10" s="151"/>
      <c r="B10" s="157" t="s">
        <v>4483</v>
      </c>
      <c r="C10" s="157"/>
      <c r="D10" s="4"/>
      <c r="E10" s="4"/>
      <c r="F10" s="4"/>
      <c r="G10" s="8"/>
      <c r="H10" s="16">
        <v>788</v>
      </c>
      <c r="I10" s="16">
        <v>1145</v>
      </c>
      <c r="J10" s="16">
        <v>167</v>
      </c>
      <c r="K10" s="16" t="s">
        <v>1115</v>
      </c>
      <c r="L10" s="16" t="s">
        <v>4462</v>
      </c>
      <c r="M10" s="16" t="s">
        <v>1146</v>
      </c>
      <c r="N10" s="16"/>
      <c r="O10" s="16" t="s">
        <v>4465</v>
      </c>
      <c r="P10" s="16"/>
      <c r="Q10" s="16" t="s">
        <v>4476</v>
      </c>
      <c r="R10" s="16"/>
      <c r="S10" s="16" t="s">
        <v>4474</v>
      </c>
      <c r="T10" s="16" t="s">
        <v>4494</v>
      </c>
      <c r="U10" s="103">
        <v>1250</v>
      </c>
      <c r="V10" s="44">
        <v>21.16</v>
      </c>
      <c r="W10" s="84">
        <v>2534.8727800000001</v>
      </c>
      <c r="X10" s="16">
        <v>15</v>
      </c>
      <c r="Y10" s="95">
        <v>21</v>
      </c>
      <c r="Z10" s="16">
        <v>62</v>
      </c>
      <c r="AA10" s="84" t="s">
        <v>4495</v>
      </c>
    </row>
    <row r="11" spans="1:27" s="2" customFormat="1" ht="20" customHeight="1" x14ac:dyDescent="0.25">
      <c r="A11" s="151"/>
      <c r="B11" s="157" t="s">
        <v>4355</v>
      </c>
      <c r="C11" s="157"/>
      <c r="D11" s="24"/>
      <c r="E11" s="4" t="s">
        <v>4485</v>
      </c>
      <c r="F11" s="4"/>
      <c r="G11" s="8"/>
      <c r="H11" s="16">
        <v>789</v>
      </c>
      <c r="I11" s="16">
        <v>1145</v>
      </c>
      <c r="J11" s="16">
        <v>127</v>
      </c>
      <c r="K11" s="16" t="s">
        <v>1115</v>
      </c>
      <c r="L11" s="16" t="s">
        <v>4462</v>
      </c>
      <c r="M11" s="16" t="s">
        <v>1146</v>
      </c>
      <c r="N11" s="16"/>
      <c r="O11" s="16" t="s">
        <v>4463</v>
      </c>
      <c r="P11" s="16"/>
      <c r="Q11" s="16" t="s">
        <v>1117</v>
      </c>
      <c r="R11" s="16" t="s">
        <v>4464</v>
      </c>
      <c r="S11" s="16" t="s">
        <v>4474</v>
      </c>
      <c r="T11" s="16" t="s">
        <v>4494</v>
      </c>
      <c r="U11" s="103">
        <v>1560</v>
      </c>
      <c r="V11" s="44">
        <v>51.24</v>
      </c>
      <c r="W11" s="84">
        <v>7173.9586799999997</v>
      </c>
      <c r="X11" s="16">
        <v>14</v>
      </c>
      <c r="Y11" s="95">
        <v>51</v>
      </c>
      <c r="Z11" s="16">
        <v>63</v>
      </c>
      <c r="AA11" s="84" t="s">
        <v>4495</v>
      </c>
    </row>
    <row r="12" spans="1:27" s="2" customFormat="1" ht="20" customHeight="1" x14ac:dyDescent="0.25">
      <c r="A12" s="151"/>
      <c r="B12" s="157" t="s">
        <v>1479</v>
      </c>
      <c r="C12" s="157"/>
      <c r="D12" s="24"/>
      <c r="E12" s="33" t="s">
        <v>4481</v>
      </c>
      <c r="F12" s="4"/>
      <c r="G12" s="8"/>
      <c r="H12" s="16">
        <v>790</v>
      </c>
      <c r="I12" s="16">
        <v>1145</v>
      </c>
      <c r="J12" s="16">
        <v>165</v>
      </c>
      <c r="K12" s="16" t="s">
        <v>1115</v>
      </c>
      <c r="L12" s="16" t="s">
        <v>4462</v>
      </c>
      <c r="M12" s="16" t="s">
        <v>1146</v>
      </c>
      <c r="N12" s="16"/>
      <c r="O12" s="16" t="s">
        <v>4465</v>
      </c>
      <c r="P12" s="16"/>
      <c r="Q12" s="16" t="s">
        <v>1117</v>
      </c>
      <c r="R12" s="16"/>
      <c r="S12" s="16" t="s">
        <v>4474</v>
      </c>
      <c r="T12" s="16" t="s">
        <v>4494</v>
      </c>
      <c r="U12" s="103">
        <v>1250</v>
      </c>
      <c r="V12" s="44">
        <v>28.06</v>
      </c>
      <c r="W12" s="84">
        <v>3361.4617300000004</v>
      </c>
      <c r="X12" s="16">
        <v>13</v>
      </c>
      <c r="Y12" s="95">
        <v>28</v>
      </c>
      <c r="Z12" s="16">
        <v>64</v>
      </c>
      <c r="AA12" s="84" t="s">
        <v>4495</v>
      </c>
    </row>
    <row r="13" spans="1:27" s="2" customFormat="1" ht="20" customHeight="1" x14ac:dyDescent="0.25">
      <c r="A13" s="151"/>
      <c r="B13" s="156"/>
      <c r="C13" s="156"/>
      <c r="D13" s="24"/>
      <c r="E13" s="34" t="str">
        <f>발주서!E13</f>
        <v>DHGK-2143</v>
      </c>
      <c r="F13" s="4"/>
      <c r="G13" s="8"/>
      <c r="H13" s="16">
        <v>791</v>
      </c>
      <c r="I13" s="16">
        <v>1145</v>
      </c>
      <c r="J13" s="16">
        <v>134</v>
      </c>
      <c r="K13" s="16" t="s">
        <v>1115</v>
      </c>
      <c r="L13" s="16" t="s">
        <v>4462</v>
      </c>
      <c r="M13" s="16" t="s">
        <v>1146</v>
      </c>
      <c r="N13" s="16"/>
      <c r="O13" s="16" t="s">
        <v>4463</v>
      </c>
      <c r="P13" s="16"/>
      <c r="Q13" s="16" t="s">
        <v>4461</v>
      </c>
      <c r="R13" s="16" t="s">
        <v>4464</v>
      </c>
      <c r="S13" s="16" t="s">
        <v>4474</v>
      </c>
      <c r="T13" s="16" t="s">
        <v>4494</v>
      </c>
      <c r="U13" s="103">
        <v>1560</v>
      </c>
      <c r="V13" s="44">
        <v>51.24</v>
      </c>
      <c r="W13" s="84">
        <v>7173.9586799999997</v>
      </c>
      <c r="X13" s="16">
        <v>12</v>
      </c>
      <c r="Y13" s="95">
        <v>51</v>
      </c>
      <c r="Z13" s="16">
        <v>65</v>
      </c>
      <c r="AA13" s="84" t="s">
        <v>4495</v>
      </c>
    </row>
    <row r="14" spans="1:27" s="2" customFormat="1" ht="20" customHeight="1" x14ac:dyDescent="0.25">
      <c r="A14" s="151"/>
      <c r="B14" s="156"/>
      <c r="C14" s="156"/>
      <c r="D14" s="24"/>
      <c r="E14" s="34" t="str">
        <f>발주서!E14</f>
        <v>DHGK-2144</v>
      </c>
      <c r="F14" s="4"/>
      <c r="G14" s="8"/>
      <c r="H14" s="16">
        <v>792</v>
      </c>
      <c r="I14" s="16">
        <v>1145</v>
      </c>
      <c r="J14" s="16">
        <v>174</v>
      </c>
      <c r="K14" s="16" t="s">
        <v>1115</v>
      </c>
      <c r="L14" s="16" t="s">
        <v>4462</v>
      </c>
      <c r="M14" s="16" t="s">
        <v>1146</v>
      </c>
      <c r="N14" s="16"/>
      <c r="O14" s="16" t="s">
        <v>4465</v>
      </c>
      <c r="P14" s="16"/>
      <c r="Q14" s="16" t="s">
        <v>4461</v>
      </c>
      <c r="R14" s="16"/>
      <c r="S14" s="16" t="s">
        <v>4474</v>
      </c>
      <c r="T14" s="16" t="s">
        <v>4494</v>
      </c>
      <c r="U14" s="103">
        <v>1250</v>
      </c>
      <c r="V14" s="44">
        <v>28.06</v>
      </c>
      <c r="W14" s="84">
        <v>3361.4617300000004</v>
      </c>
      <c r="X14" s="16">
        <v>11</v>
      </c>
      <c r="Y14" s="95">
        <v>28</v>
      </c>
      <c r="Z14" s="16">
        <v>66</v>
      </c>
      <c r="AA14" s="84" t="s">
        <v>4495</v>
      </c>
    </row>
    <row r="15" spans="1:27" s="2" customFormat="1" ht="20" customHeight="1" x14ac:dyDescent="0.25">
      <c r="A15" s="151"/>
      <c r="B15" s="156" t="s">
        <v>5</v>
      </c>
      <c r="C15" s="156"/>
      <c r="D15" s="24"/>
      <c r="E15" s="34" t="str">
        <f>발주서!E15</f>
        <v>DHGK-2145</v>
      </c>
      <c r="F15" s="4"/>
      <c r="G15" s="8"/>
      <c r="H15" s="16">
        <v>801</v>
      </c>
      <c r="I15" s="16">
        <v>1146</v>
      </c>
      <c r="J15" s="16">
        <v>174</v>
      </c>
      <c r="K15" s="16" t="s">
        <v>1115</v>
      </c>
      <c r="L15" s="16" t="s">
        <v>4462</v>
      </c>
      <c r="M15" s="16" t="s">
        <v>1146</v>
      </c>
      <c r="N15" s="16"/>
      <c r="O15" s="16" t="s">
        <v>4465</v>
      </c>
      <c r="P15" s="16"/>
      <c r="Q15" s="16" t="s">
        <v>4461</v>
      </c>
      <c r="R15" s="16"/>
      <c r="S15" s="16" t="s">
        <v>4474</v>
      </c>
      <c r="T15" s="16" t="s">
        <v>4494</v>
      </c>
      <c r="U15" s="103">
        <v>1250</v>
      </c>
      <c r="V15" s="44">
        <v>32.94</v>
      </c>
      <c r="W15" s="84">
        <v>4632.3357299999998</v>
      </c>
      <c r="X15" s="16">
        <v>84</v>
      </c>
      <c r="Y15" s="95">
        <v>33</v>
      </c>
      <c r="Z15" s="16">
        <v>67</v>
      </c>
      <c r="AA15" s="84" t="s">
        <v>4495</v>
      </c>
    </row>
    <row r="16" spans="1:27" s="2" customFormat="1" ht="20" customHeight="1" x14ac:dyDescent="0.25">
      <c r="A16" s="151"/>
      <c r="B16" s="156" t="s">
        <v>6</v>
      </c>
      <c r="C16" s="156"/>
      <c r="D16" s="24"/>
      <c r="E16" s="34" t="str">
        <f>발주서!E16</f>
        <v>DHGK-2146</v>
      </c>
      <c r="F16" s="4"/>
      <c r="G16" s="8"/>
      <c r="H16" s="16">
        <v>793</v>
      </c>
      <c r="I16" s="16">
        <v>1146</v>
      </c>
      <c r="J16" s="16">
        <v>125</v>
      </c>
      <c r="K16" s="16" t="s">
        <v>1115</v>
      </c>
      <c r="L16" s="16" t="s">
        <v>4462</v>
      </c>
      <c r="M16" s="16" t="s">
        <v>1146</v>
      </c>
      <c r="N16" s="16"/>
      <c r="O16" s="16" t="s">
        <v>4463</v>
      </c>
      <c r="P16" s="16"/>
      <c r="Q16" s="16" t="s">
        <v>4477</v>
      </c>
      <c r="R16" s="16" t="s">
        <v>4464</v>
      </c>
      <c r="S16" s="16" t="s">
        <v>4474</v>
      </c>
      <c r="T16" s="16" t="s">
        <v>4494</v>
      </c>
      <c r="U16" s="103">
        <v>1560</v>
      </c>
      <c r="V16" s="44">
        <v>42.32</v>
      </c>
      <c r="W16" s="84">
        <v>6489.3911200000002</v>
      </c>
      <c r="X16" s="16">
        <v>93</v>
      </c>
      <c r="Y16" s="95">
        <v>42</v>
      </c>
      <c r="Z16" s="16">
        <v>68</v>
      </c>
      <c r="AA16" s="84" t="s">
        <v>4495</v>
      </c>
    </row>
    <row r="17" spans="1:27" s="2" customFormat="1" ht="20" customHeight="1" x14ac:dyDescent="0.25">
      <c r="A17" s="151"/>
      <c r="B17" s="151"/>
      <c r="C17" s="151"/>
      <c r="D17" s="24"/>
      <c r="E17" s="34" t="str">
        <f>발주서!E17</f>
        <v>DHGK-2147</v>
      </c>
      <c r="F17" s="4"/>
      <c r="G17" s="8"/>
      <c r="H17" s="16">
        <v>794</v>
      </c>
      <c r="I17" s="16">
        <v>1146</v>
      </c>
      <c r="J17" s="16">
        <v>161</v>
      </c>
      <c r="K17" s="16" t="s">
        <v>1115</v>
      </c>
      <c r="L17" s="16" t="s">
        <v>4462</v>
      </c>
      <c r="M17" s="16" t="s">
        <v>1146</v>
      </c>
      <c r="N17" s="16"/>
      <c r="O17" s="16" t="s">
        <v>4465</v>
      </c>
      <c r="P17" s="16"/>
      <c r="Q17" s="16" t="s">
        <v>4477</v>
      </c>
      <c r="R17" s="16"/>
      <c r="S17" s="16" t="s">
        <v>4474</v>
      </c>
      <c r="T17" s="16" t="s">
        <v>4494</v>
      </c>
      <c r="U17" s="103">
        <v>1250</v>
      </c>
      <c r="V17" s="44">
        <v>24.84</v>
      </c>
      <c r="W17" s="84">
        <v>3493.2367800000002</v>
      </c>
      <c r="X17" s="16">
        <v>92</v>
      </c>
      <c r="Y17" s="95">
        <v>25</v>
      </c>
      <c r="Z17" s="16">
        <v>69</v>
      </c>
      <c r="AA17" s="84" t="s">
        <v>4495</v>
      </c>
    </row>
    <row r="18" spans="1:27" s="2" customFormat="1" ht="20" customHeight="1" x14ac:dyDescent="0.25">
      <c r="A18" s="151"/>
      <c r="B18" s="158" t="s">
        <v>1098</v>
      </c>
      <c r="C18" s="158"/>
      <c r="D18" s="24"/>
      <c r="E18" s="34" t="str">
        <f>발주서!E18</f>
        <v>DHGK-2148</v>
      </c>
      <c r="F18" s="4"/>
      <c r="G18" s="8"/>
      <c r="H18" s="16">
        <v>795</v>
      </c>
      <c r="I18" s="16">
        <v>1146</v>
      </c>
      <c r="J18" s="16">
        <v>135</v>
      </c>
      <c r="K18" s="16" t="s">
        <v>1115</v>
      </c>
      <c r="L18" s="16" t="s">
        <v>4462</v>
      </c>
      <c r="M18" s="16" t="s">
        <v>1146</v>
      </c>
      <c r="N18" s="16"/>
      <c r="O18" s="16" t="s">
        <v>4463</v>
      </c>
      <c r="P18" s="16"/>
      <c r="Q18" s="16" t="s">
        <v>4467</v>
      </c>
      <c r="R18" s="16" t="s">
        <v>4464</v>
      </c>
      <c r="S18" s="16" t="s">
        <v>4474</v>
      </c>
      <c r="T18" s="16" t="s">
        <v>4494</v>
      </c>
      <c r="U18" s="103">
        <v>1560</v>
      </c>
      <c r="V18" s="44">
        <v>56.12</v>
      </c>
      <c r="W18" s="84">
        <v>8605.4969199999996</v>
      </c>
      <c r="X18" s="16">
        <v>91</v>
      </c>
      <c r="Y18" s="95">
        <v>56</v>
      </c>
      <c r="Z18" s="16">
        <v>70</v>
      </c>
      <c r="AA18" s="84" t="s">
        <v>4495</v>
      </c>
    </row>
    <row r="19" spans="1:27" s="2" customFormat="1" ht="20" customHeight="1" x14ac:dyDescent="0.25">
      <c r="A19" s="151"/>
      <c r="B19" s="151"/>
      <c r="C19" s="151"/>
      <c r="D19" s="24"/>
      <c r="E19" s="34" t="str">
        <f>발주서!E19</f>
        <v>DHGK-2149</v>
      </c>
      <c r="F19" s="4"/>
      <c r="G19" s="8"/>
      <c r="H19" s="16">
        <v>796</v>
      </c>
      <c r="I19" s="16">
        <v>1146</v>
      </c>
      <c r="J19" s="16">
        <v>176</v>
      </c>
      <c r="K19" s="16" t="s">
        <v>1115</v>
      </c>
      <c r="L19" s="16" t="s">
        <v>4462</v>
      </c>
      <c r="M19" s="16" t="s">
        <v>1146</v>
      </c>
      <c r="N19" s="16"/>
      <c r="O19" s="16" t="s">
        <v>4465</v>
      </c>
      <c r="P19" s="16"/>
      <c r="Q19" s="16" t="s">
        <v>4467</v>
      </c>
      <c r="R19" s="16"/>
      <c r="S19" s="16" t="s">
        <v>4474</v>
      </c>
      <c r="T19" s="16" t="s">
        <v>4494</v>
      </c>
      <c r="U19" s="103">
        <v>1250</v>
      </c>
      <c r="V19" s="44">
        <v>32.94</v>
      </c>
      <c r="W19" s="84">
        <v>4632.3357299999998</v>
      </c>
      <c r="X19" s="16">
        <v>90</v>
      </c>
      <c r="Y19" s="95">
        <v>33</v>
      </c>
      <c r="Z19" s="16">
        <v>71</v>
      </c>
      <c r="AA19" s="84" t="s">
        <v>4495</v>
      </c>
    </row>
    <row r="20" spans="1:27" s="2" customFormat="1" ht="20" customHeight="1" x14ac:dyDescent="0.25">
      <c r="A20" s="151"/>
      <c r="B20" s="151"/>
      <c r="C20" s="151"/>
      <c r="D20" s="24"/>
      <c r="E20" s="34" t="str">
        <f>발주서!E20</f>
        <v>DHGK-2150</v>
      </c>
      <c r="F20" s="4"/>
      <c r="G20" s="8"/>
      <c r="H20" s="16">
        <v>797</v>
      </c>
      <c r="I20" s="16">
        <v>1146</v>
      </c>
      <c r="J20" s="16">
        <v>128</v>
      </c>
      <c r="K20" s="16" t="s">
        <v>1115</v>
      </c>
      <c r="L20" s="16" t="s">
        <v>4462</v>
      </c>
      <c r="M20" s="16" t="s">
        <v>1146</v>
      </c>
      <c r="N20" s="16"/>
      <c r="O20" s="16" t="s">
        <v>4463</v>
      </c>
      <c r="P20" s="16"/>
      <c r="Q20" s="16" t="s">
        <v>4476</v>
      </c>
      <c r="R20" s="16" t="s">
        <v>4464</v>
      </c>
      <c r="S20" s="16" t="s">
        <v>4474</v>
      </c>
      <c r="T20" s="16" t="s">
        <v>4494</v>
      </c>
      <c r="U20" s="103">
        <v>1560</v>
      </c>
      <c r="V20" s="44">
        <v>42.32</v>
      </c>
      <c r="W20" s="84">
        <v>6489.3911200000002</v>
      </c>
      <c r="X20" s="16">
        <v>89</v>
      </c>
      <c r="Y20" s="95">
        <v>42</v>
      </c>
      <c r="Z20" s="16">
        <v>72</v>
      </c>
      <c r="AA20" s="84" t="s">
        <v>4495</v>
      </c>
    </row>
    <row r="21" spans="1:27" s="2" customFormat="1" ht="20" customHeight="1" x14ac:dyDescent="0.25">
      <c r="A21" s="151"/>
      <c r="B21" s="151"/>
      <c r="C21" s="151"/>
      <c r="D21" s="24"/>
      <c r="E21" s="34" t="str">
        <f>발주서!E21</f>
        <v>DHGK-2151</v>
      </c>
      <c r="F21" s="4"/>
      <c r="G21" s="8"/>
      <c r="H21" s="16">
        <v>798</v>
      </c>
      <c r="I21" s="16">
        <v>1146</v>
      </c>
      <c r="J21" s="16">
        <v>167</v>
      </c>
      <c r="K21" s="16" t="s">
        <v>1115</v>
      </c>
      <c r="L21" s="16" t="s">
        <v>4462</v>
      </c>
      <c r="M21" s="16" t="s">
        <v>1146</v>
      </c>
      <c r="N21" s="16"/>
      <c r="O21" s="16" t="s">
        <v>4465</v>
      </c>
      <c r="P21" s="16"/>
      <c r="Q21" s="16" t="s">
        <v>4476</v>
      </c>
      <c r="R21" s="16"/>
      <c r="S21" s="16" t="s">
        <v>4474</v>
      </c>
      <c r="T21" s="16" t="s">
        <v>4494</v>
      </c>
      <c r="U21" s="103">
        <v>1250</v>
      </c>
      <c r="V21" s="44">
        <v>24.84</v>
      </c>
      <c r="W21" s="84">
        <v>3493.2367800000002</v>
      </c>
      <c r="X21" s="16">
        <v>88</v>
      </c>
      <c r="Y21" s="95">
        <v>25</v>
      </c>
      <c r="Z21" s="16">
        <v>73</v>
      </c>
      <c r="AA21" s="84" t="s">
        <v>4495</v>
      </c>
    </row>
    <row r="22" spans="1:27" s="2" customFormat="1" ht="20" customHeight="1" x14ac:dyDescent="0.25">
      <c r="A22" s="151"/>
      <c r="B22" s="151"/>
      <c r="C22" s="151"/>
      <c r="D22" s="24"/>
      <c r="E22" s="34" t="str">
        <f>발주서!E22</f>
        <v>DHGK-2152</v>
      </c>
      <c r="F22" s="4"/>
      <c r="G22" s="8"/>
      <c r="H22" s="16">
        <v>799</v>
      </c>
      <c r="I22" s="16">
        <v>1146</v>
      </c>
      <c r="J22" s="16">
        <v>127</v>
      </c>
      <c r="K22" s="16" t="s">
        <v>1115</v>
      </c>
      <c r="L22" s="16" t="s">
        <v>4462</v>
      </c>
      <c r="M22" s="16" t="s">
        <v>1146</v>
      </c>
      <c r="N22" s="16"/>
      <c r="O22" s="16" t="s">
        <v>4463</v>
      </c>
      <c r="P22" s="16"/>
      <c r="Q22" s="16" t="s">
        <v>1117</v>
      </c>
      <c r="R22" s="16" t="s">
        <v>4464</v>
      </c>
      <c r="S22" s="16" t="s">
        <v>4474</v>
      </c>
      <c r="T22" s="16" t="s">
        <v>4494</v>
      </c>
      <c r="U22" s="103">
        <v>1560</v>
      </c>
      <c r="V22" s="44">
        <v>56.12</v>
      </c>
      <c r="W22" s="84">
        <v>8605.4969199999996</v>
      </c>
      <c r="X22" s="16">
        <v>87</v>
      </c>
      <c r="Y22" s="95">
        <v>56</v>
      </c>
      <c r="Z22" s="16">
        <v>74</v>
      </c>
      <c r="AA22" s="84" t="s">
        <v>4495</v>
      </c>
    </row>
    <row r="23" spans="1:27" s="2" customFormat="1" ht="20" customHeight="1" x14ac:dyDescent="0.25">
      <c r="A23" s="151"/>
      <c r="B23" s="151"/>
      <c r="C23" s="151"/>
      <c r="D23" s="24"/>
      <c r="E23" s="34" t="str">
        <f>발주서!E23</f>
        <v>DHGK-2153</v>
      </c>
      <c r="F23" s="4"/>
      <c r="G23" s="8"/>
      <c r="H23" s="16">
        <v>804</v>
      </c>
      <c r="I23" s="16">
        <v>1146</v>
      </c>
      <c r="J23" s="16">
        <v>165</v>
      </c>
      <c r="K23" s="16" t="s">
        <v>1115</v>
      </c>
      <c r="L23" s="16" t="s">
        <v>4462</v>
      </c>
      <c r="M23" s="16" t="s">
        <v>1146</v>
      </c>
      <c r="N23" s="16"/>
      <c r="O23" s="16" t="s">
        <v>4465</v>
      </c>
      <c r="P23" s="16"/>
      <c r="Q23" s="16" t="s">
        <v>1117</v>
      </c>
      <c r="R23" s="16"/>
      <c r="S23" s="16" t="s">
        <v>4474</v>
      </c>
      <c r="T23" s="16" t="s">
        <v>4494</v>
      </c>
      <c r="U23" s="103">
        <v>1250</v>
      </c>
      <c r="V23" s="44">
        <v>32.94</v>
      </c>
      <c r="W23" s="84">
        <v>4632.3357299999998</v>
      </c>
      <c r="X23" s="16">
        <v>86</v>
      </c>
      <c r="Y23" s="95">
        <v>33</v>
      </c>
      <c r="Z23" s="16">
        <v>75</v>
      </c>
      <c r="AA23" s="84" t="s">
        <v>4495</v>
      </c>
    </row>
    <row r="24" spans="1:27" s="2" customFormat="1" ht="20" customHeight="1" x14ac:dyDescent="0.25">
      <c r="A24" s="151"/>
      <c r="B24" s="151"/>
      <c r="C24" s="151"/>
      <c r="D24" s="24"/>
      <c r="E24" s="34" t="str">
        <f>발주서!E24</f>
        <v>DHGK-2154</v>
      </c>
      <c r="F24" s="4"/>
      <c r="G24" s="8"/>
      <c r="H24" s="16">
        <v>800</v>
      </c>
      <c r="I24" s="16">
        <v>1146</v>
      </c>
      <c r="J24" s="16">
        <v>134</v>
      </c>
      <c r="K24" s="16" t="s">
        <v>1115</v>
      </c>
      <c r="L24" s="16" t="s">
        <v>4462</v>
      </c>
      <c r="M24" s="16" t="s">
        <v>1146</v>
      </c>
      <c r="N24" s="16"/>
      <c r="O24" s="16" t="s">
        <v>4463</v>
      </c>
      <c r="P24" s="16"/>
      <c r="Q24" s="16" t="s">
        <v>4461</v>
      </c>
      <c r="R24" s="16" t="s">
        <v>4464</v>
      </c>
      <c r="S24" s="16" t="s">
        <v>4474</v>
      </c>
      <c r="T24" s="16" t="s">
        <v>4494</v>
      </c>
      <c r="U24" s="103">
        <v>1560</v>
      </c>
      <c r="V24" s="44">
        <v>56.12</v>
      </c>
      <c r="W24" s="84">
        <v>8605.4969199999996</v>
      </c>
      <c r="X24" s="16">
        <v>85</v>
      </c>
      <c r="Y24" s="95">
        <v>56</v>
      </c>
      <c r="Z24" s="16">
        <v>76</v>
      </c>
      <c r="AA24" s="84" t="s">
        <v>4495</v>
      </c>
    </row>
    <row r="25" spans="1:27" s="2" customFormat="1" ht="20" customHeight="1" x14ac:dyDescent="0.25">
      <c r="A25" s="151"/>
      <c r="B25" s="151"/>
      <c r="C25" s="151"/>
      <c r="D25" s="24"/>
      <c r="E25" s="34" t="str">
        <f>발주서!E25</f>
        <v>DHGK-2155</v>
      </c>
      <c r="F25" s="4"/>
      <c r="G25" s="8"/>
      <c r="H25" s="16">
        <v>802</v>
      </c>
      <c r="I25" s="16">
        <v>1146</v>
      </c>
      <c r="J25" s="16">
        <v>126</v>
      </c>
      <c r="K25" s="16" t="s">
        <v>1115</v>
      </c>
      <c r="L25" s="16" t="s">
        <v>4462</v>
      </c>
      <c r="M25" s="16" t="s">
        <v>1146</v>
      </c>
      <c r="N25" s="16"/>
      <c r="O25" s="16" t="s">
        <v>4463</v>
      </c>
      <c r="P25" s="16"/>
      <c r="Q25" s="16" t="s">
        <v>1498</v>
      </c>
      <c r="R25" s="16" t="s">
        <v>4464</v>
      </c>
      <c r="S25" s="16" t="s">
        <v>4474</v>
      </c>
      <c r="T25" s="16" t="s">
        <v>4494</v>
      </c>
      <c r="U25" s="103">
        <v>1560</v>
      </c>
      <c r="V25" s="44">
        <v>70.61</v>
      </c>
      <c r="W25" s="84">
        <v>10827.408009999999</v>
      </c>
      <c r="X25" s="16">
        <v>83</v>
      </c>
      <c r="Y25" s="95">
        <v>71</v>
      </c>
      <c r="Z25" s="16">
        <v>77</v>
      </c>
      <c r="AA25" s="84" t="s">
        <v>4495</v>
      </c>
    </row>
    <row r="26" spans="1:27" s="2" customFormat="1" ht="20" customHeight="1" x14ac:dyDescent="0.25">
      <c r="A26" s="151"/>
      <c r="B26" s="151"/>
      <c r="C26" s="151"/>
      <c r="D26" s="24"/>
      <c r="E26" s="34" t="str">
        <f>발주서!E26</f>
        <v>DHGK-2156</v>
      </c>
      <c r="F26" s="4"/>
      <c r="G26" s="8"/>
      <c r="H26" s="16">
        <v>803</v>
      </c>
      <c r="I26" s="16">
        <v>1146</v>
      </c>
      <c r="J26" s="16">
        <v>163</v>
      </c>
      <c r="K26" s="16" t="s">
        <v>1115</v>
      </c>
      <c r="L26" s="16" t="s">
        <v>4462</v>
      </c>
      <c r="M26" s="16" t="s">
        <v>1146</v>
      </c>
      <c r="N26" s="16"/>
      <c r="O26" s="16" t="s">
        <v>4465</v>
      </c>
      <c r="P26" s="16"/>
      <c r="Q26" s="16" t="s">
        <v>1498</v>
      </c>
      <c r="R26" s="16"/>
      <c r="S26" s="16" t="s">
        <v>4474</v>
      </c>
      <c r="T26" s="16" t="s">
        <v>4494</v>
      </c>
      <c r="U26" s="103">
        <v>1250</v>
      </c>
      <c r="V26" s="44">
        <v>41.44</v>
      </c>
      <c r="W26" s="84">
        <v>5827.6864800000003</v>
      </c>
      <c r="X26" s="16">
        <v>82</v>
      </c>
      <c r="Y26" s="95">
        <v>41</v>
      </c>
      <c r="Z26" s="16">
        <v>78</v>
      </c>
      <c r="AA26" s="84" t="s">
        <v>4495</v>
      </c>
    </row>
    <row r="27" spans="1:27" s="2" customFormat="1" ht="20" customHeight="1" x14ac:dyDescent="0.25">
      <c r="A27" s="151"/>
      <c r="B27" s="151"/>
      <c r="C27" s="151"/>
      <c r="D27" s="24"/>
      <c r="E27" s="34" t="str">
        <f>발주서!E27</f>
        <v>DHGK-2157</v>
      </c>
      <c r="F27" s="4"/>
      <c r="G27" s="8"/>
      <c r="H27" s="16">
        <v>811</v>
      </c>
      <c r="I27" s="16">
        <v>1147</v>
      </c>
      <c r="J27" s="16">
        <v>126</v>
      </c>
      <c r="K27" s="16" t="s">
        <v>1115</v>
      </c>
      <c r="L27" s="16" t="s">
        <v>4462</v>
      </c>
      <c r="M27" s="16" t="s">
        <v>1146</v>
      </c>
      <c r="N27" s="16"/>
      <c r="O27" s="16" t="s">
        <v>4463</v>
      </c>
      <c r="P27" s="16"/>
      <c r="Q27" s="16" t="s">
        <v>1498</v>
      </c>
      <c r="R27" s="16" t="s">
        <v>4464</v>
      </c>
      <c r="S27" s="16" t="s">
        <v>4474</v>
      </c>
      <c r="T27" s="16" t="s">
        <v>4494</v>
      </c>
      <c r="U27" s="103">
        <v>1560</v>
      </c>
      <c r="V27" s="44">
        <v>37.049999999999997</v>
      </c>
      <c r="W27" s="84">
        <v>4693.2346499999994</v>
      </c>
      <c r="X27" s="16">
        <v>142</v>
      </c>
      <c r="Y27" s="95">
        <v>37</v>
      </c>
      <c r="Z27" s="16">
        <v>79</v>
      </c>
      <c r="AA27" s="84" t="s">
        <v>4495</v>
      </c>
    </row>
    <row r="28" spans="1:27" s="2" customFormat="1" ht="20" customHeight="1" x14ac:dyDescent="0.25">
      <c r="A28" s="151"/>
      <c r="B28" s="151"/>
      <c r="C28" s="151"/>
      <c r="D28" s="24"/>
      <c r="E28" s="34" t="str">
        <f>발주서!E28</f>
        <v>DHGK-2158</v>
      </c>
      <c r="F28" s="4"/>
      <c r="G28" s="8"/>
      <c r="H28" s="16">
        <v>806</v>
      </c>
      <c r="I28" s="16">
        <v>1147</v>
      </c>
      <c r="J28" s="16">
        <v>134</v>
      </c>
      <c r="K28" s="16" t="s">
        <v>1115</v>
      </c>
      <c r="L28" s="16" t="s">
        <v>4462</v>
      </c>
      <c r="M28" s="16" t="s">
        <v>1146</v>
      </c>
      <c r="N28" s="16"/>
      <c r="O28" s="16" t="s">
        <v>4463</v>
      </c>
      <c r="P28" s="16"/>
      <c r="Q28" s="16" t="s">
        <v>4461</v>
      </c>
      <c r="R28" s="16" t="s">
        <v>4464</v>
      </c>
      <c r="S28" s="16" t="s">
        <v>4474</v>
      </c>
      <c r="T28" s="16" t="s">
        <v>4494</v>
      </c>
      <c r="U28" s="103">
        <v>1560</v>
      </c>
      <c r="V28" s="44">
        <v>24</v>
      </c>
      <c r="W28" s="84">
        <v>3200.16</v>
      </c>
      <c r="X28" s="16">
        <v>148</v>
      </c>
      <c r="Y28" s="95">
        <v>24</v>
      </c>
      <c r="Z28" s="16">
        <v>80</v>
      </c>
      <c r="AA28" s="84" t="s">
        <v>4495</v>
      </c>
    </row>
    <row r="29" spans="1:27" ht="20" customHeight="1" x14ac:dyDescent="0.25">
      <c r="A29" s="151"/>
      <c r="B29" s="151"/>
      <c r="C29" s="151"/>
      <c r="D29" s="24"/>
      <c r="E29" s="34" t="str">
        <f>발주서!E29</f>
        <v/>
      </c>
      <c r="F29" s="4"/>
      <c r="H29" s="16">
        <v>807</v>
      </c>
      <c r="I29" s="16">
        <v>1147</v>
      </c>
      <c r="J29" s="16">
        <v>173</v>
      </c>
      <c r="K29" s="16" t="s">
        <v>1115</v>
      </c>
      <c r="L29" s="16" t="s">
        <v>4462</v>
      </c>
      <c r="M29" s="16" t="s">
        <v>1146</v>
      </c>
      <c r="N29" s="16"/>
      <c r="O29" s="16" t="s">
        <v>4465</v>
      </c>
      <c r="P29" s="16"/>
      <c r="Q29" s="16" t="s">
        <v>4461</v>
      </c>
      <c r="R29" s="16" t="s">
        <v>4466</v>
      </c>
      <c r="S29" s="16" t="s">
        <v>4474</v>
      </c>
      <c r="T29" s="16" t="s">
        <v>4494</v>
      </c>
      <c r="U29" s="103">
        <v>1250</v>
      </c>
      <c r="V29" s="44">
        <v>12.6</v>
      </c>
      <c r="W29" s="84">
        <v>1378.1691000000001</v>
      </c>
      <c r="X29" s="16">
        <v>147</v>
      </c>
      <c r="Y29" s="95">
        <v>13</v>
      </c>
      <c r="Z29" s="16">
        <v>81</v>
      </c>
      <c r="AA29" s="84" t="s">
        <v>4495</v>
      </c>
    </row>
    <row r="30" spans="1:27" ht="20" customHeight="1" thickBot="1" x14ac:dyDescent="0.3">
      <c r="A30" s="151"/>
      <c r="B30" s="151"/>
      <c r="C30" s="151"/>
      <c r="D30" s="24"/>
      <c r="E30" s="35" t="str">
        <f>발주서!E30</f>
        <v/>
      </c>
      <c r="F30" s="4"/>
      <c r="H30" s="16">
        <v>808</v>
      </c>
      <c r="I30" s="16">
        <v>1147</v>
      </c>
      <c r="J30" s="16">
        <v>126</v>
      </c>
      <c r="K30" s="16" t="s">
        <v>1115</v>
      </c>
      <c r="L30" s="16" t="s">
        <v>4462</v>
      </c>
      <c r="M30" s="16" t="s">
        <v>1146</v>
      </c>
      <c r="N30" s="16"/>
      <c r="O30" s="16" t="s">
        <v>4463</v>
      </c>
      <c r="P30" s="16"/>
      <c r="Q30" s="16" t="s">
        <v>1498</v>
      </c>
      <c r="R30" s="16" t="s">
        <v>4464</v>
      </c>
      <c r="S30" s="16" t="s">
        <v>4474</v>
      </c>
      <c r="T30" s="16" t="s">
        <v>4494</v>
      </c>
      <c r="U30" s="103">
        <v>1560</v>
      </c>
      <c r="V30" s="44">
        <v>24</v>
      </c>
      <c r="W30" s="84">
        <v>3200.16</v>
      </c>
      <c r="X30" s="16">
        <v>146</v>
      </c>
      <c r="Y30" s="95">
        <v>24</v>
      </c>
      <c r="Z30" s="16">
        <v>82</v>
      </c>
      <c r="AA30" s="84" t="s">
        <v>4495</v>
      </c>
    </row>
    <row r="31" spans="1:27" ht="20" customHeight="1" x14ac:dyDescent="0.25">
      <c r="A31" s="151"/>
      <c r="B31" s="151"/>
      <c r="C31" s="151"/>
      <c r="D31" s="4"/>
      <c r="E31" s="4"/>
      <c r="F31" s="4"/>
      <c r="H31" s="16">
        <v>805</v>
      </c>
      <c r="I31" s="16">
        <v>1147</v>
      </c>
      <c r="J31" s="16">
        <v>134</v>
      </c>
      <c r="K31" s="16" t="s">
        <v>1115</v>
      </c>
      <c r="L31" s="16" t="s">
        <v>4462</v>
      </c>
      <c r="M31" s="16" t="s">
        <v>1146</v>
      </c>
      <c r="N31" s="16"/>
      <c r="O31" s="16" t="s">
        <v>4463</v>
      </c>
      <c r="P31" s="16"/>
      <c r="Q31" s="16" t="s">
        <v>4461</v>
      </c>
      <c r="R31" s="16" t="s">
        <v>4464</v>
      </c>
      <c r="S31" s="16" t="s">
        <v>4474</v>
      </c>
      <c r="T31" s="16" t="s">
        <v>4494</v>
      </c>
      <c r="U31" s="103">
        <v>1560</v>
      </c>
      <c r="V31" s="44">
        <v>30.21</v>
      </c>
      <c r="W31" s="84">
        <v>3826.7913299999996</v>
      </c>
      <c r="X31" s="16">
        <v>144</v>
      </c>
      <c r="Y31" s="95">
        <v>30</v>
      </c>
      <c r="Z31" s="16">
        <v>83</v>
      </c>
      <c r="AA31" s="84" t="s">
        <v>4495</v>
      </c>
    </row>
    <row r="32" spans="1:27" ht="20" customHeight="1" x14ac:dyDescent="0.25">
      <c r="A32" s="151"/>
      <c r="B32" s="151"/>
      <c r="C32" s="151"/>
      <c r="D32" s="4"/>
      <c r="E32" s="4"/>
      <c r="F32" s="4"/>
      <c r="H32" s="16">
        <v>810</v>
      </c>
      <c r="I32" s="16">
        <v>1147</v>
      </c>
      <c r="J32" s="16">
        <v>173</v>
      </c>
      <c r="K32" s="16" t="s">
        <v>1115</v>
      </c>
      <c r="L32" s="16" t="s">
        <v>4462</v>
      </c>
      <c r="M32" s="16" t="s">
        <v>1146</v>
      </c>
      <c r="N32" s="16"/>
      <c r="O32" s="16" t="s">
        <v>4465</v>
      </c>
      <c r="P32" s="16"/>
      <c r="Q32" s="16" t="s">
        <v>4461</v>
      </c>
      <c r="R32" s="16" t="s">
        <v>4466</v>
      </c>
      <c r="S32" s="16" t="s">
        <v>4474</v>
      </c>
      <c r="T32" s="16" t="s">
        <v>4494</v>
      </c>
      <c r="U32" s="103">
        <v>1250</v>
      </c>
      <c r="V32" s="44">
        <v>15.9</v>
      </c>
      <c r="W32" s="84">
        <v>1656.3030000000001</v>
      </c>
      <c r="X32" s="16">
        <v>143</v>
      </c>
      <c r="Y32" s="95">
        <v>16</v>
      </c>
      <c r="Z32" s="16">
        <v>84</v>
      </c>
      <c r="AA32" s="84" t="s">
        <v>4495</v>
      </c>
    </row>
    <row r="33" spans="1:27" ht="20" customHeight="1" x14ac:dyDescent="0.25">
      <c r="A33" s="151"/>
      <c r="B33" s="151"/>
      <c r="C33" s="151"/>
      <c r="D33" s="4"/>
      <c r="E33" s="4"/>
      <c r="F33" s="4"/>
      <c r="H33" s="16">
        <v>812</v>
      </c>
      <c r="I33" s="16">
        <v>1147</v>
      </c>
      <c r="J33" s="16">
        <v>162</v>
      </c>
      <c r="K33" s="16" t="s">
        <v>1115</v>
      </c>
      <c r="L33" s="16" t="s">
        <v>4462</v>
      </c>
      <c r="M33" s="16" t="s">
        <v>1146</v>
      </c>
      <c r="N33" s="16"/>
      <c r="O33" s="16" t="s">
        <v>4465</v>
      </c>
      <c r="P33" s="16"/>
      <c r="Q33" s="16" t="s">
        <v>1498</v>
      </c>
      <c r="R33" s="16" t="s">
        <v>4466</v>
      </c>
      <c r="S33" s="16" t="s">
        <v>4474</v>
      </c>
      <c r="T33" s="16" t="s">
        <v>4494</v>
      </c>
      <c r="U33" s="103">
        <v>1250</v>
      </c>
      <c r="V33" s="44">
        <v>19.5</v>
      </c>
      <c r="W33" s="84">
        <v>2031.3150000000001</v>
      </c>
      <c r="X33" s="16">
        <v>141</v>
      </c>
      <c r="Y33" s="95">
        <v>20</v>
      </c>
      <c r="Z33" s="16">
        <v>85</v>
      </c>
      <c r="AA33" s="84" t="s">
        <v>4495</v>
      </c>
    </row>
    <row r="34" spans="1:27" ht="20" customHeight="1" x14ac:dyDescent="0.25">
      <c r="A34" s="151"/>
      <c r="B34" s="151"/>
      <c r="C34" s="151"/>
      <c r="D34" s="4"/>
      <c r="E34" s="4"/>
      <c r="F34" s="4"/>
      <c r="H34" s="16">
        <v>809</v>
      </c>
      <c r="I34" s="16">
        <v>1147</v>
      </c>
      <c r="J34" s="16">
        <v>162</v>
      </c>
      <c r="K34" s="16" t="s">
        <v>1115</v>
      </c>
      <c r="L34" s="16" t="s">
        <v>4462</v>
      </c>
      <c r="M34" s="16" t="s">
        <v>1146</v>
      </c>
      <c r="N34" s="16"/>
      <c r="O34" s="16" t="s">
        <v>4465</v>
      </c>
      <c r="P34" s="16"/>
      <c r="Q34" s="16" t="s">
        <v>1498</v>
      </c>
      <c r="R34" s="16" t="s">
        <v>4466</v>
      </c>
      <c r="S34" s="16" t="s">
        <v>4474</v>
      </c>
      <c r="T34" s="16" t="s">
        <v>4494</v>
      </c>
      <c r="U34" s="103">
        <v>1250</v>
      </c>
      <c r="V34" s="44">
        <v>12.6</v>
      </c>
      <c r="W34" s="84">
        <v>1378.1691000000001</v>
      </c>
      <c r="X34" s="16">
        <v>145</v>
      </c>
      <c r="Y34" s="95">
        <v>13</v>
      </c>
      <c r="Z34" s="16">
        <v>86</v>
      </c>
      <c r="AA34" s="84" t="s">
        <v>4495</v>
      </c>
    </row>
    <row r="35" spans="1:27" ht="20" customHeight="1" x14ac:dyDescent="0.25">
      <c r="A35" s="151"/>
      <c r="B35" s="151"/>
      <c r="C35" s="151"/>
      <c r="D35" s="4"/>
      <c r="E35" s="4"/>
      <c r="F35" s="4"/>
      <c r="H35" s="16">
        <v>814</v>
      </c>
      <c r="I35" s="16">
        <v>1148</v>
      </c>
      <c r="J35" s="16">
        <v>128</v>
      </c>
      <c r="K35" s="16" t="s">
        <v>1115</v>
      </c>
      <c r="L35" s="16" t="s">
        <v>4462</v>
      </c>
      <c r="M35" s="16" t="s">
        <v>1146</v>
      </c>
      <c r="N35" s="16"/>
      <c r="O35" s="16" t="s">
        <v>4463</v>
      </c>
      <c r="P35" s="16"/>
      <c r="Q35" s="16" t="s">
        <v>4476</v>
      </c>
      <c r="R35" s="16" t="s">
        <v>4464</v>
      </c>
      <c r="S35" s="16" t="s">
        <v>4474</v>
      </c>
      <c r="T35" s="16" t="s">
        <v>4494</v>
      </c>
      <c r="U35" s="103">
        <v>1560</v>
      </c>
      <c r="V35" s="44">
        <v>37.17</v>
      </c>
      <c r="W35" s="84">
        <v>5204.0601899999992</v>
      </c>
      <c r="X35" s="16">
        <v>218</v>
      </c>
      <c r="Y35" s="95">
        <v>37</v>
      </c>
      <c r="Z35" s="16">
        <v>87</v>
      </c>
      <c r="AA35" s="84" t="s">
        <v>4495</v>
      </c>
    </row>
    <row r="36" spans="1:27" ht="20" customHeight="1" x14ac:dyDescent="0.25">
      <c r="A36" s="151"/>
      <c r="B36" s="151"/>
      <c r="C36" s="151"/>
      <c r="D36" s="4"/>
      <c r="E36" s="4"/>
      <c r="F36" s="4"/>
      <c r="H36" s="16">
        <v>824</v>
      </c>
      <c r="I36" s="16">
        <v>1148</v>
      </c>
      <c r="J36" s="16">
        <v>130</v>
      </c>
      <c r="K36" s="16" t="s">
        <v>1115</v>
      </c>
      <c r="L36" s="16" t="s">
        <v>4462</v>
      </c>
      <c r="M36" s="16" t="s">
        <v>1146</v>
      </c>
      <c r="N36" s="16"/>
      <c r="O36" s="16" t="s">
        <v>4463</v>
      </c>
      <c r="P36" s="16"/>
      <c r="Q36" s="16" t="s">
        <v>4480</v>
      </c>
      <c r="R36" s="16" t="s">
        <v>4464</v>
      </c>
      <c r="S36" s="16" t="s">
        <v>4474</v>
      </c>
      <c r="T36" s="16" t="s">
        <v>4494</v>
      </c>
      <c r="U36" s="103">
        <v>1560</v>
      </c>
      <c r="V36" s="44">
        <v>28.98</v>
      </c>
      <c r="W36" s="84">
        <v>4057.4028599999997</v>
      </c>
      <c r="X36" s="16">
        <v>224</v>
      </c>
      <c r="Y36" s="95">
        <v>29</v>
      </c>
      <c r="Z36" s="16">
        <v>88</v>
      </c>
      <c r="AA36" s="84" t="s">
        <v>4495</v>
      </c>
    </row>
    <row r="37" spans="1:27" ht="20" customHeight="1" x14ac:dyDescent="0.25">
      <c r="A37" s="151"/>
      <c r="B37" s="151"/>
      <c r="C37" s="151"/>
      <c r="D37" s="4"/>
      <c r="E37" s="4"/>
      <c r="F37" s="4"/>
      <c r="H37" s="16">
        <v>825</v>
      </c>
      <c r="I37" s="16">
        <v>1148</v>
      </c>
      <c r="J37" s="16">
        <v>169</v>
      </c>
      <c r="K37" s="16" t="s">
        <v>1115</v>
      </c>
      <c r="L37" s="16" t="s">
        <v>4462</v>
      </c>
      <c r="M37" s="16" t="s">
        <v>1146</v>
      </c>
      <c r="N37" s="16"/>
      <c r="O37" s="16" t="s">
        <v>4465</v>
      </c>
      <c r="P37" s="16"/>
      <c r="Q37" s="16" t="s">
        <v>4480</v>
      </c>
      <c r="R37" s="16" t="s">
        <v>4466</v>
      </c>
      <c r="S37" s="16" t="s">
        <v>4474</v>
      </c>
      <c r="T37" s="16" t="s">
        <v>4494</v>
      </c>
      <c r="U37" s="103">
        <v>1250</v>
      </c>
      <c r="V37" s="44">
        <v>15.87</v>
      </c>
      <c r="W37" s="84">
        <v>1901.154585</v>
      </c>
      <c r="X37" s="16">
        <v>223</v>
      </c>
      <c r="Y37" s="95">
        <v>16</v>
      </c>
      <c r="Z37" s="16">
        <v>89</v>
      </c>
      <c r="AA37" s="84" t="s">
        <v>4495</v>
      </c>
    </row>
    <row r="38" spans="1:27" ht="20" customHeight="1" x14ac:dyDescent="0.25">
      <c r="A38" s="151"/>
      <c r="B38" s="151"/>
      <c r="C38" s="151"/>
      <c r="D38" s="4"/>
      <c r="E38" s="4"/>
      <c r="F38" s="4"/>
      <c r="H38" s="16">
        <v>826</v>
      </c>
      <c r="I38" s="16">
        <v>1148</v>
      </c>
      <c r="J38" s="16">
        <v>135</v>
      </c>
      <c r="K38" s="16" t="s">
        <v>1115</v>
      </c>
      <c r="L38" s="16" t="s">
        <v>4462</v>
      </c>
      <c r="M38" s="16" t="s">
        <v>1146</v>
      </c>
      <c r="N38" s="16"/>
      <c r="O38" s="16" t="s">
        <v>4463</v>
      </c>
      <c r="P38" s="16"/>
      <c r="Q38" s="16" t="s">
        <v>4467</v>
      </c>
      <c r="R38" s="16" t="s">
        <v>4464</v>
      </c>
      <c r="S38" s="16" t="s">
        <v>4474</v>
      </c>
      <c r="T38" s="16" t="s">
        <v>4494</v>
      </c>
      <c r="U38" s="103">
        <v>1560</v>
      </c>
      <c r="V38" s="44">
        <v>48.51</v>
      </c>
      <c r="W38" s="84">
        <v>6791.7395699999997</v>
      </c>
      <c r="X38" s="16">
        <v>222</v>
      </c>
      <c r="Y38" s="95">
        <v>49</v>
      </c>
      <c r="Z38" s="16">
        <v>90</v>
      </c>
      <c r="AA38" s="84" t="s">
        <v>4495</v>
      </c>
    </row>
    <row r="39" spans="1:27" ht="20" customHeight="1" x14ac:dyDescent="0.25">
      <c r="A39" s="151"/>
      <c r="B39" s="151"/>
      <c r="C39" s="151"/>
      <c r="D39" s="4"/>
      <c r="E39" s="4"/>
      <c r="F39" s="4"/>
      <c r="H39" s="16">
        <v>813</v>
      </c>
      <c r="I39" s="16">
        <v>1148</v>
      </c>
      <c r="J39" s="16">
        <v>175</v>
      </c>
      <c r="K39" s="16" t="s">
        <v>1115</v>
      </c>
      <c r="L39" s="16" t="s">
        <v>4462</v>
      </c>
      <c r="M39" s="16" t="s">
        <v>1146</v>
      </c>
      <c r="N39" s="16"/>
      <c r="O39" s="16" t="s">
        <v>4465</v>
      </c>
      <c r="P39" s="16"/>
      <c r="Q39" s="16" t="s">
        <v>4467</v>
      </c>
      <c r="R39" s="16" t="s">
        <v>4466</v>
      </c>
      <c r="S39" s="16" t="s">
        <v>4474</v>
      </c>
      <c r="T39" s="16" t="s">
        <v>4494</v>
      </c>
      <c r="U39" s="103">
        <v>1250</v>
      </c>
      <c r="V39" s="44">
        <v>26.56</v>
      </c>
      <c r="W39" s="84">
        <v>3181.7684800000002</v>
      </c>
      <c r="X39" s="16">
        <v>221</v>
      </c>
      <c r="Y39" s="95">
        <v>27</v>
      </c>
      <c r="Z39" s="16">
        <v>91</v>
      </c>
      <c r="AA39" s="84" t="s">
        <v>4495</v>
      </c>
    </row>
    <row r="40" spans="1:27" ht="20" customHeight="1" x14ac:dyDescent="0.25">
      <c r="A40" s="151"/>
      <c r="B40" s="151"/>
      <c r="C40" s="151"/>
      <c r="D40" s="4"/>
      <c r="E40" s="4"/>
      <c r="F40" s="4"/>
      <c r="H40" s="16">
        <v>823</v>
      </c>
      <c r="I40" s="16">
        <v>1148</v>
      </c>
      <c r="J40" s="16">
        <v>133</v>
      </c>
      <c r="K40" s="16" t="s">
        <v>1115</v>
      </c>
      <c r="L40" s="16" t="s">
        <v>4462</v>
      </c>
      <c r="M40" s="16" t="s">
        <v>1146</v>
      </c>
      <c r="N40" s="16"/>
      <c r="O40" s="16" t="s">
        <v>4463</v>
      </c>
      <c r="P40" s="16"/>
      <c r="Q40" s="16" t="s">
        <v>4479</v>
      </c>
      <c r="R40" s="16" t="s">
        <v>4464</v>
      </c>
      <c r="S40" s="16" t="s">
        <v>4474</v>
      </c>
      <c r="T40" s="16" t="s">
        <v>4494</v>
      </c>
      <c r="U40" s="103">
        <v>1560</v>
      </c>
      <c r="V40" s="44">
        <v>37.17</v>
      </c>
      <c r="W40" s="84">
        <v>5204.0601899999992</v>
      </c>
      <c r="X40" s="16">
        <v>220</v>
      </c>
      <c r="Y40" s="95">
        <v>37</v>
      </c>
      <c r="Z40" s="16">
        <v>92</v>
      </c>
      <c r="AA40" s="84" t="s">
        <v>4495</v>
      </c>
    </row>
    <row r="41" spans="1:27" ht="20" customHeight="1" x14ac:dyDescent="0.25">
      <c r="A41" s="151"/>
      <c r="B41" s="151"/>
      <c r="C41" s="151"/>
      <c r="D41" s="4"/>
      <c r="E41" s="4"/>
      <c r="F41" s="4"/>
      <c r="H41" s="16">
        <v>822</v>
      </c>
      <c r="I41" s="16">
        <v>1148</v>
      </c>
      <c r="J41" s="16">
        <v>172</v>
      </c>
      <c r="K41" s="16" t="s">
        <v>1115</v>
      </c>
      <c r="L41" s="16" t="s">
        <v>4462</v>
      </c>
      <c r="M41" s="16" t="s">
        <v>1146</v>
      </c>
      <c r="N41" s="16"/>
      <c r="O41" s="16" t="s">
        <v>4465</v>
      </c>
      <c r="P41" s="16"/>
      <c r="Q41" s="16" t="s">
        <v>4479</v>
      </c>
      <c r="R41" s="16" t="s">
        <v>4466</v>
      </c>
      <c r="S41" s="16" t="s">
        <v>4474</v>
      </c>
      <c r="T41" s="16" t="s">
        <v>4494</v>
      </c>
      <c r="U41" s="103">
        <v>1250</v>
      </c>
      <c r="V41" s="44">
        <v>20.36</v>
      </c>
      <c r="W41" s="84">
        <v>2439.0363800000005</v>
      </c>
      <c r="X41" s="16">
        <v>219</v>
      </c>
      <c r="Y41" s="95">
        <v>20</v>
      </c>
      <c r="Z41" s="16">
        <v>93</v>
      </c>
      <c r="AA41" s="84" t="s">
        <v>4495</v>
      </c>
    </row>
    <row r="42" spans="1:27" ht="20" customHeight="1" x14ac:dyDescent="0.25">
      <c r="A42" s="151"/>
      <c r="B42" s="151"/>
      <c r="C42" s="151"/>
      <c r="D42" s="4"/>
      <c r="E42" s="4"/>
      <c r="F42" s="4"/>
      <c r="H42" s="16">
        <v>815</v>
      </c>
      <c r="I42" s="16">
        <v>1148</v>
      </c>
      <c r="J42" s="16">
        <v>166</v>
      </c>
      <c r="K42" s="16" t="s">
        <v>1115</v>
      </c>
      <c r="L42" s="16" t="s">
        <v>4462</v>
      </c>
      <c r="M42" s="16" t="s">
        <v>1146</v>
      </c>
      <c r="N42" s="16"/>
      <c r="O42" s="16" t="s">
        <v>4465</v>
      </c>
      <c r="P42" s="16"/>
      <c r="Q42" s="16" t="s">
        <v>4476</v>
      </c>
      <c r="R42" s="16" t="s">
        <v>4466</v>
      </c>
      <c r="S42" s="16" t="s">
        <v>4474</v>
      </c>
      <c r="T42" s="16" t="s">
        <v>4494</v>
      </c>
      <c r="U42" s="103">
        <v>1250</v>
      </c>
      <c r="V42" s="44">
        <v>20.36</v>
      </c>
      <c r="W42" s="84">
        <v>2439.0363800000005</v>
      </c>
      <c r="X42" s="16">
        <v>217</v>
      </c>
      <c r="Y42" s="95">
        <v>20</v>
      </c>
      <c r="Z42" s="16">
        <v>94</v>
      </c>
      <c r="AA42" s="84" t="s">
        <v>4495</v>
      </c>
    </row>
    <row r="43" spans="1:27" ht="20" customHeight="1" x14ac:dyDescent="0.25">
      <c r="A43" s="151"/>
      <c r="B43" s="151"/>
      <c r="C43" s="151"/>
      <c r="D43" s="4"/>
      <c r="E43" s="4"/>
      <c r="F43" s="4"/>
      <c r="H43" s="16">
        <v>816</v>
      </c>
      <c r="I43" s="16">
        <v>1148</v>
      </c>
      <c r="J43" s="16">
        <v>132</v>
      </c>
      <c r="K43" s="16" t="s">
        <v>1115</v>
      </c>
      <c r="L43" s="16" t="s">
        <v>4462</v>
      </c>
      <c r="M43" s="16" t="s">
        <v>1146</v>
      </c>
      <c r="N43" s="16"/>
      <c r="O43" s="16" t="s">
        <v>4463</v>
      </c>
      <c r="P43" s="16"/>
      <c r="Q43" s="16" t="s">
        <v>4478</v>
      </c>
      <c r="R43" s="16" t="s">
        <v>4464</v>
      </c>
      <c r="S43" s="16" t="s">
        <v>4474</v>
      </c>
      <c r="T43" s="16" t="s">
        <v>4494</v>
      </c>
      <c r="U43" s="103">
        <v>1560</v>
      </c>
      <c r="V43" s="44">
        <v>40.950000000000003</v>
      </c>
      <c r="W43" s="84">
        <v>5733.28665</v>
      </c>
      <c r="X43" s="16">
        <v>216</v>
      </c>
      <c r="Y43" s="95">
        <v>41</v>
      </c>
      <c r="Z43" s="16">
        <v>95</v>
      </c>
      <c r="AA43" s="84" t="s">
        <v>4495</v>
      </c>
    </row>
    <row r="44" spans="1:27" ht="20" customHeight="1" x14ac:dyDescent="0.25">
      <c r="A44" s="151"/>
      <c r="B44" s="151"/>
      <c r="C44" s="151"/>
      <c r="D44" s="4"/>
      <c r="E44" s="4"/>
      <c r="F44" s="4"/>
      <c r="H44" s="16">
        <v>817</v>
      </c>
      <c r="I44" s="16">
        <v>1148</v>
      </c>
      <c r="J44" s="16">
        <v>171</v>
      </c>
      <c r="K44" s="16" t="s">
        <v>1115</v>
      </c>
      <c r="L44" s="16" t="s">
        <v>4462</v>
      </c>
      <c r="M44" s="16" t="s">
        <v>1146</v>
      </c>
      <c r="N44" s="16"/>
      <c r="O44" s="16" t="s">
        <v>4465</v>
      </c>
      <c r="P44" s="16"/>
      <c r="Q44" s="16" t="s">
        <v>4478</v>
      </c>
      <c r="R44" s="16" t="s">
        <v>4466</v>
      </c>
      <c r="S44" s="16" t="s">
        <v>4474</v>
      </c>
      <c r="T44" s="16" t="s">
        <v>4494</v>
      </c>
      <c r="U44" s="103">
        <v>1250</v>
      </c>
      <c r="V44" s="44">
        <v>22.42</v>
      </c>
      <c r="W44" s="84">
        <v>2685.8151100000005</v>
      </c>
      <c r="X44" s="16">
        <v>215</v>
      </c>
      <c r="Y44" s="95">
        <v>22</v>
      </c>
      <c r="Z44" s="16">
        <v>96</v>
      </c>
      <c r="AA44" s="84" t="s">
        <v>4495</v>
      </c>
    </row>
    <row r="45" spans="1:27" ht="20" customHeight="1" x14ac:dyDescent="0.25">
      <c r="A45" s="151"/>
      <c r="B45" s="151"/>
      <c r="C45" s="151"/>
      <c r="D45" s="4"/>
      <c r="E45" s="4"/>
      <c r="F45" s="4"/>
      <c r="H45" s="16">
        <v>818</v>
      </c>
      <c r="I45" s="16">
        <v>1148</v>
      </c>
      <c r="J45" s="16">
        <v>131</v>
      </c>
      <c r="K45" s="16" t="s">
        <v>1115</v>
      </c>
      <c r="L45" s="16" t="s">
        <v>4462</v>
      </c>
      <c r="M45" s="16" t="s">
        <v>1146</v>
      </c>
      <c r="N45" s="16"/>
      <c r="O45" s="16" t="s">
        <v>4463</v>
      </c>
      <c r="P45" s="16"/>
      <c r="Q45" s="16" t="s">
        <v>4460</v>
      </c>
      <c r="R45" s="16" t="s">
        <v>4464</v>
      </c>
      <c r="S45" s="16" t="s">
        <v>4474</v>
      </c>
      <c r="T45" s="16" t="s">
        <v>4494</v>
      </c>
      <c r="U45" s="103">
        <v>1560</v>
      </c>
      <c r="V45" s="44">
        <v>48.51</v>
      </c>
      <c r="W45" s="84">
        <v>6791.7395699999997</v>
      </c>
      <c r="X45" s="16">
        <v>214</v>
      </c>
      <c r="Y45" s="95">
        <v>49</v>
      </c>
      <c r="Z45" s="16">
        <v>97</v>
      </c>
      <c r="AA45" s="84" t="s">
        <v>4495</v>
      </c>
    </row>
    <row r="46" spans="1:27" ht="20" customHeight="1" x14ac:dyDescent="0.25">
      <c r="A46" s="151"/>
      <c r="B46" s="151"/>
      <c r="C46" s="151"/>
      <c r="D46" s="4"/>
      <c r="E46" s="4"/>
      <c r="F46" s="4"/>
      <c r="H46" s="16">
        <v>819</v>
      </c>
      <c r="I46" s="16">
        <v>1148</v>
      </c>
      <c r="J46" s="16">
        <v>170</v>
      </c>
      <c r="K46" s="16" t="s">
        <v>1115</v>
      </c>
      <c r="L46" s="16" t="s">
        <v>4462</v>
      </c>
      <c r="M46" s="16" t="s">
        <v>1146</v>
      </c>
      <c r="N46" s="16"/>
      <c r="O46" s="16" t="s">
        <v>4465</v>
      </c>
      <c r="P46" s="16"/>
      <c r="Q46" s="16" t="s">
        <v>4460</v>
      </c>
      <c r="R46" s="16" t="s">
        <v>4466</v>
      </c>
      <c r="S46" s="16" t="s">
        <v>4474</v>
      </c>
      <c r="T46" s="16" t="s">
        <v>4494</v>
      </c>
      <c r="U46" s="103">
        <v>1250</v>
      </c>
      <c r="V46" s="44">
        <v>26.56</v>
      </c>
      <c r="W46" s="84">
        <v>3181.7684800000002</v>
      </c>
      <c r="X46" s="16">
        <v>213</v>
      </c>
      <c r="Y46" s="95">
        <v>27</v>
      </c>
      <c r="Z46" s="16">
        <v>98</v>
      </c>
      <c r="AA46" s="84" t="s">
        <v>4495</v>
      </c>
    </row>
    <row r="47" spans="1:27" ht="20" customHeight="1" x14ac:dyDescent="0.25">
      <c r="A47" s="151"/>
      <c r="B47" s="151"/>
      <c r="C47" s="151"/>
      <c r="D47" s="4"/>
      <c r="E47" s="4"/>
      <c r="F47" s="4"/>
      <c r="H47" s="16">
        <v>820</v>
      </c>
      <c r="I47" s="16">
        <v>1148</v>
      </c>
      <c r="J47" s="16">
        <v>126</v>
      </c>
      <c r="K47" s="16" t="s">
        <v>1115</v>
      </c>
      <c r="L47" s="16" t="s">
        <v>4462</v>
      </c>
      <c r="M47" s="16" t="s">
        <v>1146</v>
      </c>
      <c r="N47" s="16"/>
      <c r="O47" s="16" t="s">
        <v>4463</v>
      </c>
      <c r="P47" s="16"/>
      <c r="Q47" s="16" t="s">
        <v>1498</v>
      </c>
      <c r="R47" s="16" t="s">
        <v>4464</v>
      </c>
      <c r="S47" s="16" t="s">
        <v>4474</v>
      </c>
      <c r="T47" s="16" t="s">
        <v>4494</v>
      </c>
      <c r="U47" s="103">
        <v>1560</v>
      </c>
      <c r="V47" s="44">
        <v>56.7</v>
      </c>
      <c r="W47" s="84">
        <v>7938.3968999999997</v>
      </c>
      <c r="X47" s="16">
        <v>212</v>
      </c>
      <c r="Y47" s="95">
        <v>57</v>
      </c>
      <c r="Z47" s="16">
        <v>99</v>
      </c>
      <c r="AA47" s="84" t="s">
        <v>4495</v>
      </c>
    </row>
    <row r="48" spans="1:27" ht="20" customHeight="1" x14ac:dyDescent="0.25">
      <c r="A48" s="151"/>
      <c r="B48" s="151"/>
      <c r="C48" s="151"/>
      <c r="D48" s="4"/>
      <c r="E48" s="4"/>
      <c r="F48" s="4"/>
      <c r="H48" s="16">
        <v>821</v>
      </c>
      <c r="I48" s="16">
        <v>1148</v>
      </c>
      <c r="J48" s="16">
        <v>162</v>
      </c>
      <c r="K48" s="16" t="s">
        <v>1115</v>
      </c>
      <c r="L48" s="16" t="s">
        <v>4462</v>
      </c>
      <c r="M48" s="16" t="s">
        <v>1146</v>
      </c>
      <c r="N48" s="16"/>
      <c r="O48" s="16" t="s">
        <v>4465</v>
      </c>
      <c r="P48" s="16"/>
      <c r="Q48" s="16" t="s">
        <v>1498</v>
      </c>
      <c r="R48" s="16" t="s">
        <v>4466</v>
      </c>
      <c r="S48" s="16" t="s">
        <v>4474</v>
      </c>
      <c r="T48" s="16" t="s">
        <v>4494</v>
      </c>
      <c r="U48" s="103">
        <v>1250</v>
      </c>
      <c r="V48" s="44">
        <v>31.05</v>
      </c>
      <c r="W48" s="84">
        <v>3719.6502750000004</v>
      </c>
      <c r="X48" s="16">
        <v>211</v>
      </c>
      <c r="Y48" s="95">
        <v>31</v>
      </c>
      <c r="Z48" s="16">
        <v>100</v>
      </c>
      <c r="AA48" s="84" t="s">
        <v>4495</v>
      </c>
    </row>
    <row r="49" spans="1:27" ht="20" customHeight="1" x14ac:dyDescent="0.25">
      <c r="A49" s="151"/>
      <c r="B49" s="151"/>
      <c r="C49" s="151"/>
      <c r="D49" s="4"/>
      <c r="E49" s="4"/>
      <c r="F49" s="4"/>
      <c r="H49" s="16">
        <v>827</v>
      </c>
      <c r="I49" s="16">
        <v>1149</v>
      </c>
      <c r="J49" s="16">
        <v>141</v>
      </c>
      <c r="K49" s="16" t="s">
        <v>1115</v>
      </c>
      <c r="L49" s="16" t="s">
        <v>4462</v>
      </c>
      <c r="M49" s="16" t="s">
        <v>1146</v>
      </c>
      <c r="N49" s="16"/>
      <c r="O49" s="16" t="s">
        <v>4465</v>
      </c>
      <c r="P49" s="16"/>
      <c r="Q49" s="16" t="s">
        <v>1498</v>
      </c>
      <c r="R49" s="16" t="s">
        <v>4466</v>
      </c>
      <c r="S49" s="16" t="s">
        <v>4474</v>
      </c>
      <c r="T49" s="16" t="s">
        <v>4494</v>
      </c>
      <c r="U49" s="103">
        <v>1250</v>
      </c>
      <c r="V49" s="44">
        <v>29.58</v>
      </c>
      <c r="W49" s="84">
        <v>2619.1463100000005</v>
      </c>
      <c r="X49" s="16">
        <v>295</v>
      </c>
      <c r="Y49" s="95">
        <v>30</v>
      </c>
      <c r="Z49" s="16">
        <v>101</v>
      </c>
      <c r="AA49" s="84" t="s">
        <v>4495</v>
      </c>
    </row>
    <row r="50" spans="1:27" ht="20" customHeight="1" x14ac:dyDescent="0.25">
      <c r="A50" s="151"/>
      <c r="B50" s="151"/>
      <c r="C50" s="151"/>
      <c r="D50" s="4"/>
      <c r="E50" s="4"/>
      <c r="F50" s="4"/>
      <c r="H50" s="16">
        <v>830</v>
      </c>
      <c r="I50" s="16">
        <v>1149</v>
      </c>
      <c r="J50" s="16">
        <v>106</v>
      </c>
      <c r="K50" s="16" t="s">
        <v>1115</v>
      </c>
      <c r="L50" s="16" t="s">
        <v>4462</v>
      </c>
      <c r="M50" s="16" t="s">
        <v>1146</v>
      </c>
      <c r="N50" s="16"/>
      <c r="O50" s="16" t="s">
        <v>4463</v>
      </c>
      <c r="P50" s="16"/>
      <c r="Q50" s="16" t="s">
        <v>1498</v>
      </c>
      <c r="R50" s="16" t="s">
        <v>4464</v>
      </c>
      <c r="S50" s="16" t="s">
        <v>4474</v>
      </c>
      <c r="T50" s="16" t="s">
        <v>4494</v>
      </c>
      <c r="U50" s="103">
        <v>1560</v>
      </c>
      <c r="V50" s="44">
        <v>44.8</v>
      </c>
      <c r="W50" s="84">
        <v>4330.8831999999993</v>
      </c>
      <c r="X50" s="16">
        <v>296</v>
      </c>
      <c r="Y50" s="95">
        <v>45</v>
      </c>
      <c r="Z50" s="16">
        <v>102</v>
      </c>
      <c r="AA50" s="84" t="s">
        <v>4495</v>
      </c>
    </row>
    <row r="51" spans="1:27" ht="20" customHeight="1" x14ac:dyDescent="0.25">
      <c r="A51" s="151"/>
      <c r="B51" s="151"/>
      <c r="C51" s="151"/>
      <c r="D51" s="4"/>
      <c r="E51" s="4"/>
      <c r="F51" s="4"/>
      <c r="H51" s="16">
        <v>829</v>
      </c>
      <c r="I51" s="16">
        <v>1149</v>
      </c>
      <c r="J51" s="16">
        <v>145</v>
      </c>
      <c r="K51" s="16" t="s">
        <v>1115</v>
      </c>
      <c r="L51" s="16" t="s">
        <v>4462</v>
      </c>
      <c r="M51" s="16" t="s">
        <v>1146</v>
      </c>
      <c r="N51" s="16"/>
      <c r="O51" s="16" t="s">
        <v>4465</v>
      </c>
      <c r="P51" s="16"/>
      <c r="Q51" s="16" t="s">
        <v>4460</v>
      </c>
      <c r="R51" s="16" t="s">
        <v>4466</v>
      </c>
      <c r="S51" s="16" t="s">
        <v>4474</v>
      </c>
      <c r="T51" s="16" t="s">
        <v>4494</v>
      </c>
      <c r="U51" s="103">
        <v>1250</v>
      </c>
      <c r="V51" s="44">
        <v>22.95</v>
      </c>
      <c r="W51" s="84">
        <v>2032.0962750000001</v>
      </c>
      <c r="X51" s="16">
        <v>297</v>
      </c>
      <c r="Y51" s="95">
        <v>23</v>
      </c>
      <c r="Z51" s="16">
        <v>103</v>
      </c>
      <c r="AA51" s="84" t="s">
        <v>4495</v>
      </c>
    </row>
    <row r="52" spans="1:27" ht="20" customHeight="1" x14ac:dyDescent="0.25">
      <c r="A52" s="151"/>
      <c r="B52" s="151"/>
      <c r="C52" s="151"/>
      <c r="D52" s="4"/>
      <c r="E52" s="4"/>
      <c r="F52" s="4"/>
      <c r="H52" s="16">
        <v>828</v>
      </c>
      <c r="I52" s="16">
        <v>1149</v>
      </c>
      <c r="J52" s="16">
        <v>110</v>
      </c>
      <c r="K52" s="16" t="s">
        <v>1115</v>
      </c>
      <c r="L52" s="16" t="s">
        <v>4462</v>
      </c>
      <c r="M52" s="16" t="s">
        <v>1146</v>
      </c>
      <c r="N52" s="16"/>
      <c r="O52" s="16" t="s">
        <v>4463</v>
      </c>
      <c r="P52" s="16"/>
      <c r="Q52" s="16" t="s">
        <v>4460</v>
      </c>
      <c r="R52" s="16" t="s">
        <v>4464</v>
      </c>
      <c r="S52" s="16" t="s">
        <v>4474</v>
      </c>
      <c r="T52" s="16" t="s">
        <v>4494</v>
      </c>
      <c r="U52" s="103">
        <v>1560</v>
      </c>
      <c r="V52" s="44">
        <v>28.28</v>
      </c>
      <c r="W52" s="84">
        <v>2733.8700200000003</v>
      </c>
      <c r="X52" s="16">
        <v>298</v>
      </c>
      <c r="Y52" s="95">
        <v>28</v>
      </c>
      <c r="Z52" s="16">
        <v>104</v>
      </c>
      <c r="AA52" s="84" t="s">
        <v>4495</v>
      </c>
    </row>
    <row r="53" spans="1:27" ht="20" customHeight="1" x14ac:dyDescent="0.25">
      <c r="A53" s="151"/>
      <c r="B53" s="151"/>
      <c r="C53" s="151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4" t="s">
        <v>4488</v>
      </c>
      <c r="T53" s="164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S53:T53"/>
    <mergeCell ref="B12:C12"/>
    <mergeCell ref="B13:C13"/>
    <mergeCell ref="B14:C14"/>
    <mergeCell ref="B15:C15"/>
    <mergeCell ref="B16:C16"/>
    <mergeCell ref="B18:C18"/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3 S3:U53">
    <cfRule type="cellIs" dxfId="174" priority="57" operator="equal">
      <formula>"DELETED"</formula>
    </cfRule>
    <cfRule type="cellIs" dxfId="173" priority="58" operator="equal">
      <formula>"삭제"</formula>
    </cfRule>
    <cfRule type="cellIs" dxfId="172" priority="59" operator="equal">
      <formula>"수정"</formula>
    </cfRule>
    <cfRule type="cellIs" dxfId="171" priority="60" operator="equal">
      <formula>"UPDATED"</formula>
    </cfRule>
  </conditionalFormatting>
  <conditionalFormatting sqref="K3:K53">
    <cfRule type="cellIs" dxfId="170" priority="17" operator="equal">
      <formula>"UPDATED"</formula>
    </cfRule>
    <cfRule type="cellIs" dxfId="169" priority="18" operator="equal">
      <formula>"선택"</formula>
    </cfRule>
    <cfRule type="cellIs" dxfId="168" priority="53" operator="equal">
      <formula>"DELETED"</formula>
    </cfRule>
    <cfRule type="cellIs" dxfId="167" priority="54" operator="equal">
      <formula>"삭제"</formula>
    </cfRule>
    <cfRule type="cellIs" dxfId="166" priority="55" operator="equal">
      <formula>"수정"</formula>
    </cfRule>
    <cfRule type="cellIs" dxfId="165" priority="56" operator="equal">
      <formula>"UPDATED"</formula>
    </cfRule>
  </conditionalFormatting>
  <conditionalFormatting sqref="N3:N53">
    <cfRule type="cellIs" dxfId="164" priority="49" operator="equal">
      <formula>"DELETED"</formula>
    </cfRule>
    <cfRule type="cellIs" dxfId="163" priority="50" operator="equal">
      <formula>"삭제"</formula>
    </cfRule>
    <cfRule type="cellIs" dxfId="162" priority="51" operator="equal">
      <formula>"수정"</formula>
    </cfRule>
    <cfRule type="cellIs" dxfId="161" priority="52" operator="equal">
      <formula>"UPDATED"</formula>
    </cfRule>
  </conditionalFormatting>
  <conditionalFormatting sqref="M3:M53">
    <cfRule type="cellIs" dxfId="160" priority="45" operator="equal">
      <formula>"DELETED"</formula>
    </cfRule>
    <cfRule type="cellIs" dxfId="159" priority="46" operator="equal">
      <formula>"삭제"</formula>
    </cfRule>
    <cfRule type="cellIs" dxfId="158" priority="47" operator="equal">
      <formula>"수정"</formula>
    </cfRule>
    <cfRule type="cellIs" dxfId="157" priority="48" operator="equal">
      <formula>"UPDATED"</formula>
    </cfRule>
  </conditionalFormatting>
  <conditionalFormatting sqref="O3:O53">
    <cfRule type="cellIs" dxfId="156" priority="41" operator="equal">
      <formula>"DELETED"</formula>
    </cfRule>
    <cfRule type="cellIs" dxfId="155" priority="42" operator="equal">
      <formula>"삭제"</formula>
    </cfRule>
    <cfRule type="cellIs" dxfId="154" priority="43" operator="equal">
      <formula>"수정"</formula>
    </cfRule>
    <cfRule type="cellIs" dxfId="153" priority="44" operator="equal">
      <formula>"UPDATED"</formula>
    </cfRule>
  </conditionalFormatting>
  <conditionalFormatting sqref="Q3:Q53">
    <cfRule type="cellIs" dxfId="152" priority="37" operator="equal">
      <formula>"DELETED"</formula>
    </cfRule>
    <cfRule type="cellIs" dxfId="151" priority="38" operator="equal">
      <formula>"삭제"</formula>
    </cfRule>
    <cfRule type="cellIs" dxfId="150" priority="39" operator="equal">
      <formula>"수정"</formula>
    </cfRule>
    <cfRule type="cellIs" dxfId="149" priority="40" operator="equal">
      <formula>"UPDATED"</formula>
    </cfRule>
  </conditionalFormatting>
  <conditionalFormatting sqref="P3:P53">
    <cfRule type="cellIs" dxfId="148" priority="33" operator="equal">
      <formula>"DELETED"</formula>
    </cfRule>
    <cfRule type="cellIs" dxfId="147" priority="34" operator="equal">
      <formula>"삭제"</formula>
    </cfRule>
    <cfRule type="cellIs" dxfId="146" priority="35" operator="equal">
      <formula>"수정"</formula>
    </cfRule>
    <cfRule type="cellIs" dxfId="145" priority="36" operator="equal">
      <formula>"UPDATED"</formula>
    </cfRule>
  </conditionalFormatting>
  <conditionalFormatting sqref="R3:R53">
    <cfRule type="cellIs" dxfId="144" priority="29" operator="equal">
      <formula>"DELETED"</formula>
    </cfRule>
    <cfRule type="cellIs" dxfId="143" priority="30" operator="equal">
      <formula>"삭제"</formula>
    </cfRule>
    <cfRule type="cellIs" dxfId="142" priority="31" operator="equal">
      <formula>"수정"</formula>
    </cfRule>
    <cfRule type="cellIs" dxfId="141" priority="32" operator="equal">
      <formula>"UPDATED"</formula>
    </cfRule>
  </conditionalFormatting>
  <conditionalFormatting sqref="E7">
    <cfRule type="containsBlanks" dxfId="140" priority="28">
      <formula>LEN(TRIM(E7))=0</formula>
    </cfRule>
  </conditionalFormatting>
  <conditionalFormatting sqref="E7">
    <cfRule type="notContainsBlanks" dxfId="139" priority="27">
      <formula>LEN(TRIM(E7))&gt;0</formula>
    </cfRule>
  </conditionalFormatting>
  <conditionalFormatting sqref="V3:V53">
    <cfRule type="cellIs" dxfId="138" priority="23" operator="equal">
      <formula>"DELETED"</formula>
    </cfRule>
    <cfRule type="cellIs" dxfId="137" priority="24" operator="equal">
      <formula>"삭제"</formula>
    </cfRule>
    <cfRule type="cellIs" dxfId="136" priority="25" operator="equal">
      <formula>"수정"</formula>
    </cfRule>
    <cfRule type="cellIs" dxfId="135" priority="26" operator="equal">
      <formula>"UPDATED"</formula>
    </cfRule>
  </conditionalFormatting>
  <conditionalFormatting sqref="W3:W53">
    <cfRule type="cellIs" dxfId="134" priority="19" operator="equal">
      <formula>"DELETED"</formula>
    </cfRule>
    <cfRule type="cellIs" dxfId="133" priority="20" operator="equal">
      <formula>"삭제"</formula>
    </cfRule>
    <cfRule type="cellIs" dxfId="132" priority="21" operator="equal">
      <formula>"수정"</formula>
    </cfRule>
    <cfRule type="cellIs" dxfId="131" priority="22" operator="equal">
      <formula>"UPDATED"</formula>
    </cfRule>
  </conditionalFormatting>
  <conditionalFormatting sqref="Y3:Y53">
    <cfRule type="cellIs" dxfId="130" priority="13" operator="equal">
      <formula>"DELETED"</formula>
    </cfRule>
    <cfRule type="cellIs" dxfId="129" priority="14" operator="equal">
      <formula>"삭제"</formula>
    </cfRule>
    <cfRule type="cellIs" dxfId="128" priority="15" operator="equal">
      <formula>"수정"</formula>
    </cfRule>
    <cfRule type="cellIs" dxfId="127" priority="16" operator="equal">
      <formula>"UPDATED"</formula>
    </cfRule>
  </conditionalFormatting>
  <conditionalFormatting sqref="AA3:AA53">
    <cfRule type="notContainsBlanks" dxfId="126" priority="8">
      <formula>LEN(TRIM(AA3))&gt;0</formula>
    </cfRule>
    <cfRule type="cellIs" dxfId="125" priority="9" operator="equal">
      <formula>"DELETED"</formula>
    </cfRule>
    <cfRule type="cellIs" dxfId="124" priority="10" operator="equal">
      <formula>"삭제"</formula>
    </cfRule>
    <cfRule type="cellIs" dxfId="123" priority="11" operator="equal">
      <formula>"수정"</formula>
    </cfRule>
    <cfRule type="cellIs" dxfId="122" priority="12" operator="equal">
      <formula>"UPDATED"</formula>
    </cfRule>
  </conditionalFormatting>
  <conditionalFormatting sqref="S1:U1">
    <cfRule type="cellIs" dxfId="121" priority="4" operator="equal">
      <formula>"DELETED"</formula>
    </cfRule>
    <cfRule type="cellIs" dxfId="120" priority="5" operator="equal">
      <formula>"삭제"</formula>
    </cfRule>
    <cfRule type="cellIs" dxfId="119" priority="6" operator="equal">
      <formula>"수정"</formula>
    </cfRule>
    <cfRule type="cellIs" dxfId="118" priority="7" operator="equal">
      <formula>"UPDATED"</formula>
    </cfRule>
  </conditionalFormatting>
  <conditionalFormatting sqref="E5">
    <cfRule type="containsBlanks" dxfId="117" priority="3">
      <formula>LEN(TRIM(E5))=0</formula>
    </cfRule>
  </conditionalFormatting>
  <conditionalFormatting sqref="E5">
    <cfRule type="notContainsBlanks" dxfId="116" priority="2">
      <formula>LEN(TRIM(E5))&gt;0</formula>
    </cfRule>
  </conditionalFormatting>
  <conditionalFormatting sqref="E9">
    <cfRule type="containsBlanks" dxfId="115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18:C18" r:id="rId1" display="대시보드" xr:uid="{431EED0A-7F73-47CC-889B-8537CB3C575B}"/>
    <hyperlink ref="B3:C3" location="인덴트관리!A1" display="1. 인덴트 관리" xr:uid="{D2E3AFDD-FAA5-465E-B05C-7F42F7470018}"/>
    <hyperlink ref="B4:C4" location="PO관리!A1" display="2. PO 관리" xr:uid="{AB9A5DD3-D74E-43B8-86B0-ABBF293A9BD9}"/>
    <hyperlink ref="B6:C6" location="지출계획!A1" display="3. 지출계획" xr:uid="{60FCF67B-07E9-465E-8C42-1A7D067B485E}"/>
    <hyperlink ref="B7:C7" location="매출채권!A1" display="4. 매출채권" xr:uid="{6B0CA741-C7B4-4910-97B5-0CA64383A860}"/>
    <hyperlink ref="B8:C8" location="체크리스트!A1" display="5. 체크리스트" xr:uid="{C2814C38-9209-4DB1-8FB3-3742C70A3633}"/>
    <hyperlink ref="B9:C9" location="발주서!A1" display="6. 발주서" xr:uid="{FEED20D4-7130-4804-BFBA-D24FF1148DCA}"/>
    <hyperlink ref="B12:C12" location="Tracking!A1" display="Tracking" xr:uid="{E15436BE-BAC6-4268-81DA-F281999F9B46}"/>
    <hyperlink ref="B5:C5" location="PO관리툴!A1" display="PO 관리" xr:uid="{CEDBC62C-8F5C-4267-8CF4-861A44D87489}"/>
    <hyperlink ref="B11:C11" location="선적수량!A1" display="선적수량" xr:uid="{D5F3C672-E57C-4668-84CA-9FCDDD4D1001}"/>
    <hyperlink ref="B10:C10" location="견적서!A1" display="견적서" xr:uid="{C398F81B-B942-4CC1-A5F6-DB492C6BA28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E7DE15E5-7188-4A5E-BE10-5E77BA4DEA39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28C0640D-B3AB-4305-A185-0E67488D8682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6" t="s">
        <v>4488</v>
      </c>
      <c r="T1" s="165"/>
      <c r="U1" s="149"/>
      <c r="V1" s="150"/>
      <c r="W1" s="83"/>
      <c r="X1" s="40">
        <v>1</v>
      </c>
      <c r="Y1" s="83"/>
      <c r="Z1" s="40" t="s">
        <v>4359</v>
      </c>
      <c r="AA1" s="96"/>
    </row>
    <row r="2" spans="1:27" s="2" customFormat="1" ht="20" customHeight="1" thickBot="1" x14ac:dyDescent="0.3">
      <c r="A2" s="156"/>
      <c r="B2" s="156"/>
      <c r="C2" s="15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4436</v>
      </c>
      <c r="T2" s="104" t="s">
        <v>4358</v>
      </c>
      <c r="U2" s="104" t="s">
        <v>1486</v>
      </c>
      <c r="V2" s="102" t="s">
        <v>1483</v>
      </c>
      <c r="W2" s="85" t="s">
        <v>1469</v>
      </c>
      <c r="X2" s="94" t="s">
        <v>12</v>
      </c>
      <c r="Y2" s="99" t="s">
        <v>4357</v>
      </c>
      <c r="Z2" s="94" t="s">
        <v>12</v>
      </c>
      <c r="AA2" s="100" t="s">
        <v>4356</v>
      </c>
    </row>
    <row r="3" spans="1:27" s="2" customFormat="1" ht="20" customHeight="1" x14ac:dyDescent="0.25">
      <c r="A3" s="151"/>
      <c r="B3" s="157" t="s">
        <v>1473</v>
      </c>
      <c r="C3" s="157"/>
      <c r="D3" s="4"/>
      <c r="E3" s="4"/>
      <c r="F3" s="4"/>
      <c r="G3" s="8"/>
      <c r="H3" s="16">
        <v>781</v>
      </c>
      <c r="I3" s="16">
        <v>1145</v>
      </c>
      <c r="J3" s="16">
        <v>126</v>
      </c>
      <c r="K3" s="16" t="s">
        <v>1115</v>
      </c>
      <c r="L3" s="16" t="s">
        <v>4462</v>
      </c>
      <c r="M3" s="16" t="s">
        <v>1146</v>
      </c>
      <c r="N3" s="16"/>
      <c r="O3" s="16" t="s">
        <v>4463</v>
      </c>
      <c r="P3" s="16"/>
      <c r="Q3" s="16" t="s">
        <v>1498</v>
      </c>
      <c r="R3" s="16" t="s">
        <v>4464</v>
      </c>
      <c r="S3" s="16" t="s">
        <v>4474</v>
      </c>
      <c r="T3" s="16"/>
      <c r="U3" s="103">
        <v>0</v>
      </c>
      <c r="V3" s="44">
        <v>64.47</v>
      </c>
      <c r="W3" s="84">
        <v>9026.2512900000002</v>
      </c>
      <c r="X3" s="16">
        <v>10</v>
      </c>
      <c r="Y3" s="95"/>
      <c r="Z3" s="16"/>
      <c r="AA3" s="84"/>
    </row>
    <row r="4" spans="1:27" s="2" customFormat="1" ht="20" customHeight="1" thickBot="1" x14ac:dyDescent="0.3">
      <c r="A4" s="151"/>
      <c r="B4" s="157" t="s">
        <v>1474</v>
      </c>
      <c r="C4" s="157"/>
      <c r="D4" s="4"/>
      <c r="E4" s="4" t="s">
        <v>1484</v>
      </c>
      <c r="F4" s="4"/>
      <c r="G4" s="8"/>
      <c r="H4" s="16">
        <v>782</v>
      </c>
      <c r="I4" s="16">
        <v>1145</v>
      </c>
      <c r="J4" s="16">
        <v>163</v>
      </c>
      <c r="K4" s="16" t="s">
        <v>1115</v>
      </c>
      <c r="L4" s="16" t="s">
        <v>4462</v>
      </c>
      <c r="M4" s="16" t="s">
        <v>1146</v>
      </c>
      <c r="N4" s="16"/>
      <c r="O4" s="16" t="s">
        <v>4465</v>
      </c>
      <c r="P4" s="16"/>
      <c r="Q4" s="16" t="s">
        <v>1498</v>
      </c>
      <c r="R4" s="16"/>
      <c r="S4" s="16" t="s">
        <v>4474</v>
      </c>
      <c r="T4" s="16"/>
      <c r="U4" s="103">
        <v>0</v>
      </c>
      <c r="V4" s="44">
        <v>35.299999999999997</v>
      </c>
      <c r="W4" s="84">
        <v>4228.7811500000007</v>
      </c>
      <c r="X4" s="16">
        <v>9</v>
      </c>
      <c r="Y4" s="95"/>
      <c r="Z4" s="16"/>
      <c r="AA4" s="84"/>
    </row>
    <row r="5" spans="1:27" s="2" customFormat="1" ht="20" customHeight="1" thickBot="1" x14ac:dyDescent="0.3">
      <c r="A5" s="151"/>
      <c r="B5" s="157" t="s">
        <v>1520</v>
      </c>
      <c r="C5" s="157"/>
      <c r="D5" s="4"/>
      <c r="E5" s="10" t="s">
        <v>4491</v>
      </c>
      <c r="F5" s="4"/>
      <c r="G5" s="8"/>
      <c r="H5" s="16">
        <v>783</v>
      </c>
      <c r="I5" s="16">
        <v>1145</v>
      </c>
      <c r="J5" s="16">
        <v>136</v>
      </c>
      <c r="K5" s="16" t="s">
        <v>1115</v>
      </c>
      <c r="L5" s="16" t="s">
        <v>4462</v>
      </c>
      <c r="M5" s="16" t="s">
        <v>1146</v>
      </c>
      <c r="N5" s="16"/>
      <c r="O5" s="16" t="s">
        <v>4463</v>
      </c>
      <c r="P5" s="16"/>
      <c r="Q5" s="16" t="s">
        <v>4475</v>
      </c>
      <c r="R5" s="16" t="s">
        <v>4464</v>
      </c>
      <c r="S5" s="16" t="s">
        <v>4474</v>
      </c>
      <c r="T5" s="16"/>
      <c r="U5" s="103">
        <v>0</v>
      </c>
      <c r="V5" s="44">
        <v>38.64</v>
      </c>
      <c r="W5" s="84">
        <v>5409.8704799999996</v>
      </c>
      <c r="X5" s="16">
        <v>20</v>
      </c>
      <c r="Y5" s="95"/>
      <c r="Z5" s="16"/>
      <c r="AA5" s="84"/>
    </row>
    <row r="6" spans="1:27" s="2" customFormat="1" ht="20" customHeight="1" thickBot="1" x14ac:dyDescent="0.3">
      <c r="A6" s="151"/>
      <c r="B6" s="162" t="s">
        <v>1475</v>
      </c>
      <c r="C6" s="162"/>
      <c r="D6" s="4"/>
      <c r="E6" s="4" t="s">
        <v>1132</v>
      </c>
      <c r="F6" s="4"/>
      <c r="G6" s="8"/>
      <c r="H6" s="16">
        <v>784</v>
      </c>
      <c r="I6" s="16">
        <v>1145</v>
      </c>
      <c r="J6" s="16">
        <v>177</v>
      </c>
      <c r="K6" s="16" t="s">
        <v>1115</v>
      </c>
      <c r="L6" s="16" t="s">
        <v>4462</v>
      </c>
      <c r="M6" s="16" t="s">
        <v>1146</v>
      </c>
      <c r="N6" s="16"/>
      <c r="O6" s="16" t="s">
        <v>4465</v>
      </c>
      <c r="P6" s="16"/>
      <c r="Q6" s="16" t="s">
        <v>4475</v>
      </c>
      <c r="R6" s="16"/>
      <c r="S6" s="16" t="s">
        <v>4474</v>
      </c>
      <c r="T6" s="16"/>
      <c r="U6" s="103">
        <v>0</v>
      </c>
      <c r="V6" s="44">
        <v>21.16</v>
      </c>
      <c r="W6" s="84">
        <v>2534.8727800000001</v>
      </c>
      <c r="X6" s="16">
        <v>19</v>
      </c>
      <c r="Y6" s="95"/>
      <c r="Z6" s="16"/>
      <c r="AA6" s="84"/>
    </row>
    <row r="7" spans="1:27" s="2" customFormat="1" ht="20" customHeight="1" thickBot="1" x14ac:dyDescent="0.3">
      <c r="A7" s="151"/>
      <c r="B7" s="162" t="s">
        <v>1476</v>
      </c>
      <c r="C7" s="162"/>
      <c r="D7" s="4"/>
      <c r="E7" s="10" t="s">
        <v>1148</v>
      </c>
      <c r="F7" s="4"/>
      <c r="G7" s="8"/>
      <c r="H7" s="16">
        <v>785</v>
      </c>
      <c r="I7" s="16">
        <v>1145</v>
      </c>
      <c r="J7" s="16">
        <v>135</v>
      </c>
      <c r="K7" s="16" t="s">
        <v>1115</v>
      </c>
      <c r="L7" s="16" t="s">
        <v>4462</v>
      </c>
      <c r="M7" s="16" t="s">
        <v>1146</v>
      </c>
      <c r="N7" s="16"/>
      <c r="O7" s="16" t="s">
        <v>4463</v>
      </c>
      <c r="P7" s="16"/>
      <c r="Q7" s="16" t="s">
        <v>4467</v>
      </c>
      <c r="R7" s="16" t="s">
        <v>4464</v>
      </c>
      <c r="S7" s="16" t="s">
        <v>4474</v>
      </c>
      <c r="T7" s="16"/>
      <c r="U7" s="103">
        <v>0</v>
      </c>
      <c r="V7" s="44">
        <v>51.24</v>
      </c>
      <c r="W7" s="84">
        <v>7173.9586799999997</v>
      </c>
      <c r="X7" s="16">
        <v>18</v>
      </c>
      <c r="Y7" s="95"/>
      <c r="Z7" s="16"/>
      <c r="AA7" s="84"/>
    </row>
    <row r="8" spans="1:27" s="2" customFormat="1" ht="20" customHeight="1" thickBot="1" x14ac:dyDescent="0.3">
      <c r="A8" s="151"/>
      <c r="B8" s="157" t="s">
        <v>1477</v>
      </c>
      <c r="C8" s="157"/>
      <c r="D8" s="4"/>
      <c r="E8" s="4" t="s">
        <v>1465</v>
      </c>
      <c r="F8" s="4"/>
      <c r="G8" s="8"/>
      <c r="H8" s="16">
        <v>786</v>
      </c>
      <c r="I8" s="16">
        <v>1145</v>
      </c>
      <c r="J8" s="16">
        <v>176</v>
      </c>
      <c r="K8" s="16" t="s">
        <v>1115</v>
      </c>
      <c r="L8" s="16" t="s">
        <v>4462</v>
      </c>
      <c r="M8" s="16" t="s">
        <v>1146</v>
      </c>
      <c r="N8" s="16"/>
      <c r="O8" s="16" t="s">
        <v>4465</v>
      </c>
      <c r="P8" s="16"/>
      <c r="Q8" s="16" t="s">
        <v>4467</v>
      </c>
      <c r="R8" s="16"/>
      <c r="S8" s="16" t="s">
        <v>4474</v>
      </c>
      <c r="T8" s="16"/>
      <c r="U8" s="103">
        <v>0</v>
      </c>
      <c r="V8" s="44">
        <v>28.06</v>
      </c>
      <c r="W8" s="84">
        <v>3361.4617300000004</v>
      </c>
      <c r="X8" s="16">
        <v>17</v>
      </c>
      <c r="Y8" s="95"/>
      <c r="Z8" s="16"/>
      <c r="AA8" s="84"/>
    </row>
    <row r="9" spans="1:27" s="2" customFormat="1" ht="20" customHeight="1" thickBot="1" x14ac:dyDescent="0.3">
      <c r="A9" s="151"/>
      <c r="B9" s="157" t="s">
        <v>1478</v>
      </c>
      <c r="C9" s="157"/>
      <c r="D9" s="4"/>
      <c r="E9" s="154" t="s">
        <v>4462</v>
      </c>
      <c r="F9" s="4"/>
      <c r="G9" s="8"/>
      <c r="H9" s="16">
        <v>787</v>
      </c>
      <c r="I9" s="16">
        <v>1145</v>
      </c>
      <c r="J9" s="16">
        <v>128</v>
      </c>
      <c r="K9" s="16" t="s">
        <v>1115</v>
      </c>
      <c r="L9" s="16" t="s">
        <v>4462</v>
      </c>
      <c r="M9" s="16" t="s">
        <v>1146</v>
      </c>
      <c r="N9" s="16"/>
      <c r="O9" s="16" t="s">
        <v>4463</v>
      </c>
      <c r="P9" s="16"/>
      <c r="Q9" s="16" t="s">
        <v>4476</v>
      </c>
      <c r="R9" s="16" t="s">
        <v>4464</v>
      </c>
      <c r="S9" s="16" t="s">
        <v>4474</v>
      </c>
      <c r="T9" s="16"/>
      <c r="U9" s="103">
        <v>0</v>
      </c>
      <c r="V9" s="44">
        <v>38.64</v>
      </c>
      <c r="W9" s="84">
        <v>5409.8704799999996</v>
      </c>
      <c r="X9" s="16">
        <v>16</v>
      </c>
      <c r="Y9" s="95"/>
      <c r="Z9" s="16"/>
      <c r="AA9" s="84"/>
    </row>
    <row r="10" spans="1:27" s="2" customFormat="1" ht="20" customHeight="1" x14ac:dyDescent="0.25">
      <c r="A10" s="151"/>
      <c r="B10" s="157" t="s">
        <v>4483</v>
      </c>
      <c r="C10" s="157"/>
      <c r="D10" s="4"/>
      <c r="E10" s="4" t="s">
        <v>4490</v>
      </c>
      <c r="F10" s="4"/>
      <c r="G10" s="8"/>
      <c r="H10" s="16">
        <v>788</v>
      </c>
      <c r="I10" s="16">
        <v>1145</v>
      </c>
      <c r="J10" s="16">
        <v>167</v>
      </c>
      <c r="K10" s="16" t="s">
        <v>1115</v>
      </c>
      <c r="L10" s="16" t="s">
        <v>4462</v>
      </c>
      <c r="M10" s="16" t="s">
        <v>1146</v>
      </c>
      <c r="N10" s="16"/>
      <c r="O10" s="16" t="s">
        <v>4465</v>
      </c>
      <c r="P10" s="16"/>
      <c r="Q10" s="16" t="s">
        <v>4476</v>
      </c>
      <c r="R10" s="16"/>
      <c r="S10" s="16" t="s">
        <v>4474</v>
      </c>
      <c r="T10" s="16"/>
      <c r="U10" s="103">
        <v>0</v>
      </c>
      <c r="V10" s="44">
        <v>21.16</v>
      </c>
      <c r="W10" s="84">
        <v>2534.8727800000001</v>
      </c>
      <c r="X10" s="16">
        <v>15</v>
      </c>
      <c r="Y10" s="95"/>
      <c r="Z10" s="16"/>
      <c r="AA10" s="84"/>
    </row>
    <row r="11" spans="1:27" s="2" customFormat="1" ht="20" customHeight="1" x14ac:dyDescent="0.25">
      <c r="A11" s="151"/>
      <c r="B11" s="157" t="s">
        <v>4355</v>
      </c>
      <c r="C11" s="157"/>
      <c r="D11" s="24"/>
      <c r="E11" s="4"/>
      <c r="F11" s="4"/>
      <c r="G11" s="8"/>
      <c r="H11" s="16">
        <v>789</v>
      </c>
      <c r="I11" s="16">
        <v>1145</v>
      </c>
      <c r="J11" s="16">
        <v>127</v>
      </c>
      <c r="K11" s="16" t="s">
        <v>1115</v>
      </c>
      <c r="L11" s="16" t="s">
        <v>4462</v>
      </c>
      <c r="M11" s="16" t="s">
        <v>1146</v>
      </c>
      <c r="N11" s="16"/>
      <c r="O11" s="16" t="s">
        <v>4463</v>
      </c>
      <c r="P11" s="16"/>
      <c r="Q11" s="16" t="s">
        <v>1117</v>
      </c>
      <c r="R11" s="16" t="s">
        <v>4464</v>
      </c>
      <c r="S11" s="16" t="s">
        <v>4474</v>
      </c>
      <c r="T11" s="16"/>
      <c r="U11" s="103">
        <v>0</v>
      </c>
      <c r="V11" s="44">
        <v>51.24</v>
      </c>
      <c r="W11" s="84">
        <v>7173.9586799999997</v>
      </c>
      <c r="X11" s="16">
        <v>14</v>
      </c>
      <c r="Y11" s="95"/>
      <c r="Z11" s="16"/>
      <c r="AA11" s="84"/>
    </row>
    <row r="12" spans="1:27" s="2" customFormat="1" ht="20" customHeight="1" x14ac:dyDescent="0.25">
      <c r="A12" s="151"/>
      <c r="B12" s="157" t="s">
        <v>1479</v>
      </c>
      <c r="C12" s="157"/>
      <c r="D12" s="24"/>
      <c r="E12" s="33" t="s">
        <v>4481</v>
      </c>
      <c r="F12" s="4"/>
      <c r="G12" s="8"/>
      <c r="H12" s="16">
        <v>790</v>
      </c>
      <c r="I12" s="16">
        <v>1145</v>
      </c>
      <c r="J12" s="16">
        <v>165</v>
      </c>
      <c r="K12" s="16" t="s">
        <v>1115</v>
      </c>
      <c r="L12" s="16" t="s">
        <v>4462</v>
      </c>
      <c r="M12" s="16" t="s">
        <v>1146</v>
      </c>
      <c r="N12" s="16"/>
      <c r="O12" s="16" t="s">
        <v>4465</v>
      </c>
      <c r="P12" s="16"/>
      <c r="Q12" s="16" t="s">
        <v>1117</v>
      </c>
      <c r="R12" s="16"/>
      <c r="S12" s="16" t="s">
        <v>4474</v>
      </c>
      <c r="T12" s="16"/>
      <c r="U12" s="103">
        <v>0</v>
      </c>
      <c r="V12" s="44">
        <v>28.06</v>
      </c>
      <c r="W12" s="84">
        <v>3361.4617300000004</v>
      </c>
      <c r="X12" s="16">
        <v>13</v>
      </c>
      <c r="Y12" s="95"/>
      <c r="Z12" s="16"/>
      <c r="AA12" s="84"/>
    </row>
    <row r="13" spans="1:27" s="2" customFormat="1" ht="20" customHeight="1" x14ac:dyDescent="0.25">
      <c r="A13" s="116"/>
      <c r="B13" s="156"/>
      <c r="C13" s="156"/>
      <c r="D13" s="24"/>
      <c r="E13" s="34" t="str">
        <f>발주서!E13</f>
        <v>DHGK-2143</v>
      </c>
      <c r="F13" s="4"/>
      <c r="G13" s="8"/>
      <c r="H13" s="16">
        <v>791</v>
      </c>
      <c r="I13" s="16">
        <v>1145</v>
      </c>
      <c r="J13" s="16">
        <v>134</v>
      </c>
      <c r="K13" s="16" t="s">
        <v>1115</v>
      </c>
      <c r="L13" s="16" t="s">
        <v>4462</v>
      </c>
      <c r="M13" s="16" t="s">
        <v>1146</v>
      </c>
      <c r="N13" s="16"/>
      <c r="O13" s="16" t="s">
        <v>4463</v>
      </c>
      <c r="P13" s="16"/>
      <c r="Q13" s="16" t="s">
        <v>4461</v>
      </c>
      <c r="R13" s="16" t="s">
        <v>4464</v>
      </c>
      <c r="S13" s="16" t="s">
        <v>4474</v>
      </c>
      <c r="T13" s="16"/>
      <c r="U13" s="103">
        <v>0</v>
      </c>
      <c r="V13" s="44">
        <v>51.24</v>
      </c>
      <c r="W13" s="84">
        <v>7173.9586799999997</v>
      </c>
      <c r="X13" s="16">
        <v>12</v>
      </c>
      <c r="Y13" s="95"/>
      <c r="Z13" s="16"/>
      <c r="AA13" s="84"/>
    </row>
    <row r="14" spans="1:27" s="2" customFormat="1" ht="20" customHeight="1" x14ac:dyDescent="0.25">
      <c r="A14" s="116"/>
      <c r="B14" s="156"/>
      <c r="C14" s="156"/>
      <c r="D14" s="24"/>
      <c r="E14" s="34" t="str">
        <f>발주서!E14</f>
        <v>DHGK-2144</v>
      </c>
      <c r="F14" s="4"/>
      <c r="G14" s="8"/>
      <c r="H14" s="16">
        <v>792</v>
      </c>
      <c r="I14" s="16">
        <v>1145</v>
      </c>
      <c r="J14" s="16">
        <v>174</v>
      </c>
      <c r="K14" s="16" t="s">
        <v>1115</v>
      </c>
      <c r="L14" s="16" t="s">
        <v>4462</v>
      </c>
      <c r="M14" s="16" t="s">
        <v>1146</v>
      </c>
      <c r="N14" s="16"/>
      <c r="O14" s="16" t="s">
        <v>4465</v>
      </c>
      <c r="P14" s="16"/>
      <c r="Q14" s="16" t="s">
        <v>4461</v>
      </c>
      <c r="R14" s="16"/>
      <c r="S14" s="16" t="s">
        <v>4474</v>
      </c>
      <c r="T14" s="16"/>
      <c r="U14" s="103">
        <v>0</v>
      </c>
      <c r="V14" s="44">
        <v>28.06</v>
      </c>
      <c r="W14" s="84">
        <v>3361.4617300000004</v>
      </c>
      <c r="X14" s="16">
        <v>11</v>
      </c>
      <c r="Y14" s="95"/>
      <c r="Z14" s="16"/>
      <c r="AA14" s="84"/>
    </row>
    <row r="15" spans="1:27" s="2" customFormat="1" ht="20" customHeight="1" x14ac:dyDescent="0.25">
      <c r="A15" s="116"/>
      <c r="B15" s="156" t="s">
        <v>5</v>
      </c>
      <c r="C15" s="156"/>
      <c r="D15" s="24"/>
      <c r="E15" s="34" t="str">
        <f>발주서!E15</f>
        <v>DHGK-2145</v>
      </c>
      <c r="F15" s="4"/>
      <c r="G15" s="8"/>
      <c r="H15" s="16">
        <v>801</v>
      </c>
      <c r="I15" s="16">
        <v>1146</v>
      </c>
      <c r="J15" s="16">
        <v>174</v>
      </c>
      <c r="K15" s="16" t="s">
        <v>1115</v>
      </c>
      <c r="L15" s="16" t="s">
        <v>4462</v>
      </c>
      <c r="M15" s="16" t="s">
        <v>1146</v>
      </c>
      <c r="N15" s="16"/>
      <c r="O15" s="16" t="s">
        <v>4465</v>
      </c>
      <c r="P15" s="16"/>
      <c r="Q15" s="16" t="s">
        <v>4461</v>
      </c>
      <c r="R15" s="16"/>
      <c r="S15" s="16" t="s">
        <v>4474</v>
      </c>
      <c r="T15" s="16"/>
      <c r="U15" s="103">
        <v>0</v>
      </c>
      <c r="V15" s="44">
        <v>32.94</v>
      </c>
      <c r="W15" s="84">
        <v>4632.3357299999998</v>
      </c>
      <c r="X15" s="16">
        <v>84</v>
      </c>
      <c r="Y15" s="95"/>
      <c r="Z15" s="16"/>
      <c r="AA15" s="84"/>
    </row>
    <row r="16" spans="1:27" s="2" customFormat="1" ht="20" customHeight="1" x14ac:dyDescent="0.25">
      <c r="A16" s="116"/>
      <c r="B16" s="156" t="s">
        <v>6</v>
      </c>
      <c r="C16" s="156"/>
      <c r="D16" s="24"/>
      <c r="E16" s="34" t="str">
        <f>발주서!E16</f>
        <v>DHGK-2146</v>
      </c>
      <c r="F16" s="4"/>
      <c r="G16" s="8"/>
      <c r="H16" s="16">
        <v>793</v>
      </c>
      <c r="I16" s="16">
        <v>1146</v>
      </c>
      <c r="J16" s="16">
        <v>125</v>
      </c>
      <c r="K16" s="16" t="s">
        <v>1115</v>
      </c>
      <c r="L16" s="16" t="s">
        <v>4462</v>
      </c>
      <c r="M16" s="16" t="s">
        <v>1146</v>
      </c>
      <c r="N16" s="16"/>
      <c r="O16" s="16" t="s">
        <v>4463</v>
      </c>
      <c r="P16" s="16"/>
      <c r="Q16" s="16" t="s">
        <v>4477</v>
      </c>
      <c r="R16" s="16" t="s">
        <v>4464</v>
      </c>
      <c r="S16" s="16" t="s">
        <v>4474</v>
      </c>
      <c r="T16" s="16"/>
      <c r="U16" s="103">
        <v>0</v>
      </c>
      <c r="V16" s="44">
        <v>42.32</v>
      </c>
      <c r="W16" s="84">
        <v>6489.3911200000002</v>
      </c>
      <c r="X16" s="16">
        <v>93</v>
      </c>
      <c r="Y16" s="95"/>
      <c r="Z16" s="16"/>
      <c r="AA16" s="84"/>
    </row>
    <row r="17" spans="1:27" s="2" customFormat="1" ht="20" customHeight="1" x14ac:dyDescent="0.25">
      <c r="A17" s="116"/>
      <c r="B17" s="116"/>
      <c r="C17" s="116"/>
      <c r="D17" s="24"/>
      <c r="E17" s="34" t="str">
        <f>발주서!E17</f>
        <v>DHGK-2147</v>
      </c>
      <c r="F17" s="4"/>
      <c r="G17" s="8"/>
      <c r="H17" s="16">
        <v>794</v>
      </c>
      <c r="I17" s="16">
        <v>1146</v>
      </c>
      <c r="J17" s="16">
        <v>161</v>
      </c>
      <c r="K17" s="16" t="s">
        <v>1115</v>
      </c>
      <c r="L17" s="16" t="s">
        <v>4462</v>
      </c>
      <c r="M17" s="16" t="s">
        <v>1146</v>
      </c>
      <c r="N17" s="16"/>
      <c r="O17" s="16" t="s">
        <v>4465</v>
      </c>
      <c r="P17" s="16"/>
      <c r="Q17" s="16" t="s">
        <v>4477</v>
      </c>
      <c r="R17" s="16"/>
      <c r="S17" s="16" t="s">
        <v>4474</v>
      </c>
      <c r="T17" s="16"/>
      <c r="U17" s="103">
        <v>0</v>
      </c>
      <c r="V17" s="44">
        <v>24.84</v>
      </c>
      <c r="W17" s="84">
        <v>3493.2367800000002</v>
      </c>
      <c r="X17" s="16">
        <v>92</v>
      </c>
      <c r="Y17" s="95"/>
      <c r="Z17" s="16"/>
      <c r="AA17" s="84"/>
    </row>
    <row r="18" spans="1:27" s="2" customFormat="1" ht="20" customHeight="1" x14ac:dyDescent="0.25">
      <c r="A18" s="116"/>
      <c r="B18" s="158" t="s">
        <v>1098</v>
      </c>
      <c r="C18" s="158"/>
      <c r="D18" s="24"/>
      <c r="E18" s="34" t="str">
        <f>발주서!E18</f>
        <v>DHGK-2148</v>
      </c>
      <c r="F18" s="4"/>
      <c r="G18" s="8"/>
      <c r="H18" s="16">
        <v>795</v>
      </c>
      <c r="I18" s="16">
        <v>1146</v>
      </c>
      <c r="J18" s="16">
        <v>135</v>
      </c>
      <c r="K18" s="16" t="s">
        <v>1115</v>
      </c>
      <c r="L18" s="16" t="s">
        <v>4462</v>
      </c>
      <c r="M18" s="16" t="s">
        <v>1146</v>
      </c>
      <c r="N18" s="16"/>
      <c r="O18" s="16" t="s">
        <v>4463</v>
      </c>
      <c r="P18" s="16"/>
      <c r="Q18" s="16" t="s">
        <v>4467</v>
      </c>
      <c r="R18" s="16" t="s">
        <v>4464</v>
      </c>
      <c r="S18" s="16" t="s">
        <v>4474</v>
      </c>
      <c r="T18" s="16"/>
      <c r="U18" s="103">
        <v>0</v>
      </c>
      <c r="V18" s="44">
        <v>56.12</v>
      </c>
      <c r="W18" s="84">
        <v>8605.4969199999996</v>
      </c>
      <c r="X18" s="16">
        <v>91</v>
      </c>
      <c r="Y18" s="95"/>
      <c r="Z18" s="16"/>
      <c r="AA18" s="84"/>
    </row>
    <row r="19" spans="1:27" s="2" customFormat="1" ht="20" customHeight="1" x14ac:dyDescent="0.25">
      <c r="A19" s="116"/>
      <c r="B19" s="116"/>
      <c r="C19" s="116"/>
      <c r="D19" s="24"/>
      <c r="E19" s="34" t="str">
        <f>발주서!E19</f>
        <v>DHGK-2149</v>
      </c>
      <c r="F19" s="4"/>
      <c r="G19" s="8"/>
      <c r="H19" s="16">
        <v>796</v>
      </c>
      <c r="I19" s="16">
        <v>1146</v>
      </c>
      <c r="J19" s="16">
        <v>176</v>
      </c>
      <c r="K19" s="16" t="s">
        <v>1115</v>
      </c>
      <c r="L19" s="16" t="s">
        <v>4462</v>
      </c>
      <c r="M19" s="16" t="s">
        <v>1146</v>
      </c>
      <c r="N19" s="16"/>
      <c r="O19" s="16" t="s">
        <v>4465</v>
      </c>
      <c r="P19" s="16"/>
      <c r="Q19" s="16" t="s">
        <v>4467</v>
      </c>
      <c r="R19" s="16"/>
      <c r="S19" s="16" t="s">
        <v>4474</v>
      </c>
      <c r="T19" s="16"/>
      <c r="U19" s="103">
        <v>0</v>
      </c>
      <c r="V19" s="44">
        <v>32.94</v>
      </c>
      <c r="W19" s="84">
        <v>4632.3357299999998</v>
      </c>
      <c r="X19" s="16">
        <v>90</v>
      </c>
      <c r="Y19" s="95"/>
      <c r="Z19" s="16"/>
      <c r="AA19" s="84"/>
    </row>
    <row r="20" spans="1:27" s="2" customFormat="1" ht="20" customHeight="1" x14ac:dyDescent="0.25">
      <c r="A20" s="116"/>
      <c r="B20" s="116"/>
      <c r="C20" s="116"/>
      <c r="D20" s="24"/>
      <c r="E20" s="34" t="str">
        <f>발주서!E20</f>
        <v>DHGK-2150</v>
      </c>
      <c r="F20" s="4"/>
      <c r="G20" s="8"/>
      <c r="H20" s="16">
        <v>797</v>
      </c>
      <c r="I20" s="16">
        <v>1146</v>
      </c>
      <c r="J20" s="16">
        <v>128</v>
      </c>
      <c r="K20" s="16" t="s">
        <v>1115</v>
      </c>
      <c r="L20" s="16" t="s">
        <v>4462</v>
      </c>
      <c r="M20" s="16" t="s">
        <v>1146</v>
      </c>
      <c r="N20" s="16"/>
      <c r="O20" s="16" t="s">
        <v>4463</v>
      </c>
      <c r="P20" s="16"/>
      <c r="Q20" s="16" t="s">
        <v>4476</v>
      </c>
      <c r="R20" s="16" t="s">
        <v>4464</v>
      </c>
      <c r="S20" s="16" t="s">
        <v>4474</v>
      </c>
      <c r="T20" s="16"/>
      <c r="U20" s="103">
        <v>0</v>
      </c>
      <c r="V20" s="44">
        <v>42.32</v>
      </c>
      <c r="W20" s="84">
        <v>6489.3911200000002</v>
      </c>
      <c r="X20" s="16">
        <v>89</v>
      </c>
      <c r="Y20" s="95"/>
      <c r="Z20" s="16"/>
      <c r="AA20" s="84"/>
    </row>
    <row r="21" spans="1:27" s="2" customFormat="1" ht="20" customHeight="1" x14ac:dyDescent="0.25">
      <c r="A21" s="116"/>
      <c r="B21" s="116"/>
      <c r="C21" s="116"/>
      <c r="D21" s="24"/>
      <c r="E21" s="34" t="str">
        <f>발주서!E21</f>
        <v>DHGK-2151</v>
      </c>
      <c r="F21" s="4"/>
      <c r="G21" s="8"/>
      <c r="H21" s="16">
        <v>798</v>
      </c>
      <c r="I21" s="16">
        <v>1146</v>
      </c>
      <c r="J21" s="16">
        <v>167</v>
      </c>
      <c r="K21" s="16" t="s">
        <v>1115</v>
      </c>
      <c r="L21" s="16" t="s">
        <v>4462</v>
      </c>
      <c r="M21" s="16" t="s">
        <v>1146</v>
      </c>
      <c r="N21" s="16"/>
      <c r="O21" s="16" t="s">
        <v>4465</v>
      </c>
      <c r="P21" s="16"/>
      <c r="Q21" s="16" t="s">
        <v>4476</v>
      </c>
      <c r="R21" s="16"/>
      <c r="S21" s="16" t="s">
        <v>4474</v>
      </c>
      <c r="T21" s="16"/>
      <c r="U21" s="103">
        <v>0</v>
      </c>
      <c r="V21" s="44">
        <v>24.84</v>
      </c>
      <c r="W21" s="84">
        <v>3493.2367800000002</v>
      </c>
      <c r="X21" s="16">
        <v>88</v>
      </c>
      <c r="Y21" s="95"/>
      <c r="Z21" s="16"/>
      <c r="AA21" s="84"/>
    </row>
    <row r="22" spans="1:27" s="2" customFormat="1" ht="20" customHeight="1" x14ac:dyDescent="0.25">
      <c r="A22" s="116"/>
      <c r="B22" s="116"/>
      <c r="C22" s="116"/>
      <c r="D22" s="24"/>
      <c r="E22" s="34" t="str">
        <f>발주서!E22</f>
        <v>DHGK-2152</v>
      </c>
      <c r="F22" s="4"/>
      <c r="G22" s="8"/>
      <c r="H22" s="16">
        <v>799</v>
      </c>
      <c r="I22" s="16">
        <v>1146</v>
      </c>
      <c r="J22" s="16">
        <v>127</v>
      </c>
      <c r="K22" s="16" t="s">
        <v>1115</v>
      </c>
      <c r="L22" s="16" t="s">
        <v>4462</v>
      </c>
      <c r="M22" s="16" t="s">
        <v>1146</v>
      </c>
      <c r="N22" s="16"/>
      <c r="O22" s="16" t="s">
        <v>4463</v>
      </c>
      <c r="P22" s="16"/>
      <c r="Q22" s="16" t="s">
        <v>1117</v>
      </c>
      <c r="R22" s="16" t="s">
        <v>4464</v>
      </c>
      <c r="S22" s="16" t="s">
        <v>4474</v>
      </c>
      <c r="T22" s="16"/>
      <c r="U22" s="103">
        <v>0</v>
      </c>
      <c r="V22" s="44">
        <v>56.12</v>
      </c>
      <c r="W22" s="84">
        <v>8605.4969199999996</v>
      </c>
      <c r="X22" s="16">
        <v>87</v>
      </c>
      <c r="Y22" s="95"/>
      <c r="Z22" s="16"/>
      <c r="AA22" s="84"/>
    </row>
    <row r="23" spans="1:27" s="2" customFormat="1" ht="20" customHeight="1" x14ac:dyDescent="0.25">
      <c r="A23" s="116"/>
      <c r="B23" s="116"/>
      <c r="C23" s="116"/>
      <c r="D23" s="24"/>
      <c r="E23" s="34" t="str">
        <f>발주서!E23</f>
        <v>DHGK-2153</v>
      </c>
      <c r="F23" s="4"/>
      <c r="G23" s="8"/>
      <c r="H23" s="16">
        <v>804</v>
      </c>
      <c r="I23" s="16">
        <v>1146</v>
      </c>
      <c r="J23" s="16">
        <v>165</v>
      </c>
      <c r="K23" s="16" t="s">
        <v>1115</v>
      </c>
      <c r="L23" s="16" t="s">
        <v>4462</v>
      </c>
      <c r="M23" s="16" t="s">
        <v>1146</v>
      </c>
      <c r="N23" s="16"/>
      <c r="O23" s="16" t="s">
        <v>4465</v>
      </c>
      <c r="P23" s="16"/>
      <c r="Q23" s="16" t="s">
        <v>1117</v>
      </c>
      <c r="R23" s="16"/>
      <c r="S23" s="16" t="s">
        <v>4474</v>
      </c>
      <c r="T23" s="16"/>
      <c r="U23" s="103">
        <v>0</v>
      </c>
      <c r="V23" s="44">
        <v>32.94</v>
      </c>
      <c r="W23" s="84">
        <v>4632.3357299999998</v>
      </c>
      <c r="X23" s="16">
        <v>86</v>
      </c>
      <c r="Y23" s="95"/>
      <c r="Z23" s="16"/>
      <c r="AA23" s="84"/>
    </row>
    <row r="24" spans="1:27" s="2" customFormat="1" ht="20" customHeight="1" x14ac:dyDescent="0.25">
      <c r="A24" s="116"/>
      <c r="B24" s="116"/>
      <c r="C24" s="116"/>
      <c r="D24" s="24"/>
      <c r="E24" s="34" t="str">
        <f>발주서!E24</f>
        <v>DHGK-2154</v>
      </c>
      <c r="F24" s="4"/>
      <c r="G24" s="8"/>
      <c r="H24" s="16">
        <v>800</v>
      </c>
      <c r="I24" s="16">
        <v>1146</v>
      </c>
      <c r="J24" s="16">
        <v>134</v>
      </c>
      <c r="K24" s="16" t="s">
        <v>1115</v>
      </c>
      <c r="L24" s="16" t="s">
        <v>4462</v>
      </c>
      <c r="M24" s="16" t="s">
        <v>1146</v>
      </c>
      <c r="N24" s="16"/>
      <c r="O24" s="16" t="s">
        <v>4463</v>
      </c>
      <c r="P24" s="16"/>
      <c r="Q24" s="16" t="s">
        <v>4461</v>
      </c>
      <c r="R24" s="16" t="s">
        <v>4464</v>
      </c>
      <c r="S24" s="16" t="s">
        <v>4474</v>
      </c>
      <c r="T24" s="16"/>
      <c r="U24" s="103">
        <v>0</v>
      </c>
      <c r="V24" s="44">
        <v>56.12</v>
      </c>
      <c r="W24" s="84">
        <v>8605.4969199999996</v>
      </c>
      <c r="X24" s="16">
        <v>85</v>
      </c>
      <c r="Y24" s="95"/>
      <c r="Z24" s="16"/>
      <c r="AA24" s="84"/>
    </row>
    <row r="25" spans="1:27" s="2" customFormat="1" ht="20" customHeight="1" x14ac:dyDescent="0.25">
      <c r="A25" s="116"/>
      <c r="B25" s="116"/>
      <c r="C25" s="116"/>
      <c r="D25" s="24"/>
      <c r="E25" s="34" t="str">
        <f>발주서!E25</f>
        <v>DHGK-2155</v>
      </c>
      <c r="F25" s="4"/>
      <c r="G25" s="8"/>
      <c r="H25" s="16">
        <v>802</v>
      </c>
      <c r="I25" s="16">
        <v>1146</v>
      </c>
      <c r="J25" s="16">
        <v>126</v>
      </c>
      <c r="K25" s="16" t="s">
        <v>1115</v>
      </c>
      <c r="L25" s="16" t="s">
        <v>4462</v>
      </c>
      <c r="M25" s="16" t="s">
        <v>1146</v>
      </c>
      <c r="N25" s="16"/>
      <c r="O25" s="16" t="s">
        <v>4463</v>
      </c>
      <c r="P25" s="16"/>
      <c r="Q25" s="16" t="s">
        <v>1498</v>
      </c>
      <c r="R25" s="16" t="s">
        <v>4464</v>
      </c>
      <c r="S25" s="16" t="s">
        <v>4474</v>
      </c>
      <c r="T25" s="16"/>
      <c r="U25" s="103">
        <v>0</v>
      </c>
      <c r="V25" s="44">
        <v>70.61</v>
      </c>
      <c r="W25" s="84">
        <v>10827.408009999999</v>
      </c>
      <c r="X25" s="16">
        <v>83</v>
      </c>
      <c r="Y25" s="95"/>
      <c r="Z25" s="16"/>
      <c r="AA25" s="84"/>
    </row>
    <row r="26" spans="1:27" s="2" customFormat="1" ht="20" customHeight="1" x14ac:dyDescent="0.25">
      <c r="A26" s="116"/>
      <c r="B26" s="116"/>
      <c r="C26" s="116"/>
      <c r="D26" s="24"/>
      <c r="E26" s="34" t="str">
        <f>발주서!E26</f>
        <v>DHGK-2156</v>
      </c>
      <c r="F26" s="4"/>
      <c r="G26" s="8"/>
      <c r="H26" s="16">
        <v>803</v>
      </c>
      <c r="I26" s="16">
        <v>1146</v>
      </c>
      <c r="J26" s="16">
        <v>163</v>
      </c>
      <c r="K26" s="16" t="s">
        <v>1115</v>
      </c>
      <c r="L26" s="16" t="s">
        <v>4462</v>
      </c>
      <c r="M26" s="16" t="s">
        <v>1146</v>
      </c>
      <c r="N26" s="16"/>
      <c r="O26" s="16" t="s">
        <v>4465</v>
      </c>
      <c r="P26" s="16"/>
      <c r="Q26" s="16" t="s">
        <v>1498</v>
      </c>
      <c r="R26" s="16"/>
      <c r="S26" s="16" t="s">
        <v>4474</v>
      </c>
      <c r="T26" s="16"/>
      <c r="U26" s="103">
        <v>0</v>
      </c>
      <c r="V26" s="44">
        <v>41.44</v>
      </c>
      <c r="W26" s="84">
        <v>5827.6864800000003</v>
      </c>
      <c r="X26" s="16">
        <v>82</v>
      </c>
      <c r="Y26" s="95"/>
      <c r="Z26" s="16"/>
      <c r="AA26" s="84"/>
    </row>
    <row r="27" spans="1:27" s="2" customFormat="1" ht="20" customHeight="1" x14ac:dyDescent="0.25">
      <c r="A27" s="116"/>
      <c r="B27" s="116"/>
      <c r="C27" s="116"/>
      <c r="D27" s="24"/>
      <c r="E27" s="34" t="str">
        <f>발주서!E27</f>
        <v>DHGK-2157</v>
      </c>
      <c r="F27" s="4"/>
      <c r="G27" s="8"/>
      <c r="H27" s="16">
        <v>811</v>
      </c>
      <c r="I27" s="16">
        <v>1147</v>
      </c>
      <c r="J27" s="16">
        <v>126</v>
      </c>
      <c r="K27" s="16" t="s">
        <v>1115</v>
      </c>
      <c r="L27" s="16" t="s">
        <v>4462</v>
      </c>
      <c r="M27" s="16" t="s">
        <v>1146</v>
      </c>
      <c r="N27" s="16"/>
      <c r="O27" s="16" t="s">
        <v>4463</v>
      </c>
      <c r="P27" s="16"/>
      <c r="Q27" s="16" t="s">
        <v>1498</v>
      </c>
      <c r="R27" s="16" t="s">
        <v>4464</v>
      </c>
      <c r="S27" s="16" t="s">
        <v>4474</v>
      </c>
      <c r="T27" s="16"/>
      <c r="U27" s="103">
        <v>0</v>
      </c>
      <c r="V27" s="44">
        <v>37.049999999999997</v>
      </c>
      <c r="W27" s="84">
        <v>4693.2346499999994</v>
      </c>
      <c r="X27" s="16">
        <v>142</v>
      </c>
      <c r="Y27" s="95"/>
      <c r="Z27" s="16"/>
      <c r="AA27" s="84"/>
    </row>
    <row r="28" spans="1:27" s="2" customFormat="1" ht="20" customHeight="1" x14ac:dyDescent="0.25">
      <c r="A28" s="116"/>
      <c r="B28" s="116"/>
      <c r="C28" s="116"/>
      <c r="D28" s="24"/>
      <c r="E28" s="34" t="str">
        <f>발주서!E28</f>
        <v>DHGK-2158</v>
      </c>
      <c r="F28" s="4"/>
      <c r="G28" s="8"/>
      <c r="H28" s="16">
        <v>806</v>
      </c>
      <c r="I28" s="16">
        <v>1147</v>
      </c>
      <c r="J28" s="16">
        <v>134</v>
      </c>
      <c r="K28" s="16" t="s">
        <v>1115</v>
      </c>
      <c r="L28" s="16" t="s">
        <v>4462</v>
      </c>
      <c r="M28" s="16" t="s">
        <v>1146</v>
      </c>
      <c r="N28" s="16"/>
      <c r="O28" s="16" t="s">
        <v>4463</v>
      </c>
      <c r="P28" s="16"/>
      <c r="Q28" s="16" t="s">
        <v>4461</v>
      </c>
      <c r="R28" s="16" t="s">
        <v>4464</v>
      </c>
      <c r="S28" s="16" t="s">
        <v>4474</v>
      </c>
      <c r="T28" s="16"/>
      <c r="U28" s="103">
        <v>0</v>
      </c>
      <c r="V28" s="44">
        <v>24</v>
      </c>
      <c r="W28" s="84">
        <v>3200.16</v>
      </c>
      <c r="X28" s="16">
        <v>148</v>
      </c>
      <c r="Y28" s="95"/>
      <c r="Z28" s="16"/>
      <c r="AA28" s="84"/>
    </row>
    <row r="29" spans="1:27" ht="20" customHeight="1" x14ac:dyDescent="0.25">
      <c r="A29" s="116"/>
      <c r="B29" s="116"/>
      <c r="C29" s="116"/>
      <c r="D29" s="24"/>
      <c r="E29" s="34" t="str">
        <f>발주서!E29</f>
        <v/>
      </c>
      <c r="F29" s="4"/>
      <c r="H29" s="16">
        <v>807</v>
      </c>
      <c r="I29" s="16">
        <v>1147</v>
      </c>
      <c r="J29" s="16">
        <v>173</v>
      </c>
      <c r="K29" s="16" t="s">
        <v>1115</v>
      </c>
      <c r="L29" s="16" t="s">
        <v>4462</v>
      </c>
      <c r="M29" s="16" t="s">
        <v>1146</v>
      </c>
      <c r="N29" s="16"/>
      <c r="O29" s="16" t="s">
        <v>4465</v>
      </c>
      <c r="P29" s="16"/>
      <c r="Q29" s="16" t="s">
        <v>4461</v>
      </c>
      <c r="R29" s="16" t="s">
        <v>4466</v>
      </c>
      <c r="S29" s="16" t="s">
        <v>4474</v>
      </c>
      <c r="T29" s="16"/>
      <c r="U29" s="103">
        <v>0</v>
      </c>
      <c r="V29" s="44">
        <v>12.6</v>
      </c>
      <c r="W29" s="84">
        <v>1378.1691000000001</v>
      </c>
      <c r="X29" s="16">
        <v>147</v>
      </c>
      <c r="Y29" s="95"/>
      <c r="Z29" s="16"/>
      <c r="AA29" s="84"/>
    </row>
    <row r="30" spans="1:27" ht="20" customHeight="1" thickBot="1" x14ac:dyDescent="0.3">
      <c r="A30" s="116"/>
      <c r="B30" s="116"/>
      <c r="C30" s="116"/>
      <c r="D30" s="24"/>
      <c r="E30" s="35" t="str">
        <f>발주서!E30</f>
        <v/>
      </c>
      <c r="F30" s="4"/>
      <c r="H30" s="16">
        <v>808</v>
      </c>
      <c r="I30" s="16">
        <v>1147</v>
      </c>
      <c r="J30" s="16">
        <v>126</v>
      </c>
      <c r="K30" s="16" t="s">
        <v>1115</v>
      </c>
      <c r="L30" s="16" t="s">
        <v>4462</v>
      </c>
      <c r="M30" s="16" t="s">
        <v>1146</v>
      </c>
      <c r="N30" s="16"/>
      <c r="O30" s="16" t="s">
        <v>4463</v>
      </c>
      <c r="P30" s="16"/>
      <c r="Q30" s="16" t="s">
        <v>1498</v>
      </c>
      <c r="R30" s="16" t="s">
        <v>4464</v>
      </c>
      <c r="S30" s="16" t="s">
        <v>4474</v>
      </c>
      <c r="T30" s="16"/>
      <c r="U30" s="103">
        <v>0</v>
      </c>
      <c r="V30" s="44">
        <v>24</v>
      </c>
      <c r="W30" s="84">
        <v>3200.16</v>
      </c>
      <c r="X30" s="16">
        <v>146</v>
      </c>
      <c r="Y30" s="95"/>
      <c r="Z30" s="16"/>
      <c r="AA30" s="84"/>
    </row>
    <row r="31" spans="1:27" ht="20" customHeight="1" x14ac:dyDescent="0.25">
      <c r="A31" s="116"/>
      <c r="B31" s="116"/>
      <c r="C31" s="116"/>
      <c r="D31" s="4"/>
      <c r="E31" s="4"/>
      <c r="F31" s="4"/>
      <c r="H31" s="16">
        <v>805</v>
      </c>
      <c r="I31" s="16">
        <v>1147</v>
      </c>
      <c r="J31" s="16">
        <v>134</v>
      </c>
      <c r="K31" s="16" t="s">
        <v>1115</v>
      </c>
      <c r="L31" s="16" t="s">
        <v>4462</v>
      </c>
      <c r="M31" s="16" t="s">
        <v>1146</v>
      </c>
      <c r="N31" s="16"/>
      <c r="O31" s="16" t="s">
        <v>4463</v>
      </c>
      <c r="P31" s="16"/>
      <c r="Q31" s="16" t="s">
        <v>4461</v>
      </c>
      <c r="R31" s="16" t="s">
        <v>4464</v>
      </c>
      <c r="S31" s="16" t="s">
        <v>4474</v>
      </c>
      <c r="T31" s="16"/>
      <c r="U31" s="103">
        <v>0</v>
      </c>
      <c r="V31" s="44">
        <v>30.21</v>
      </c>
      <c r="W31" s="84">
        <v>3826.7913299999996</v>
      </c>
      <c r="X31" s="16">
        <v>144</v>
      </c>
      <c r="Y31" s="95"/>
      <c r="Z31" s="16"/>
      <c r="AA31" s="84"/>
    </row>
    <row r="32" spans="1:27" ht="20" customHeight="1" x14ac:dyDescent="0.25">
      <c r="A32" s="116"/>
      <c r="B32" s="116"/>
      <c r="C32" s="116"/>
      <c r="D32" s="4"/>
      <c r="E32" s="4"/>
      <c r="F32" s="4"/>
      <c r="H32" s="16">
        <v>810</v>
      </c>
      <c r="I32" s="16">
        <v>1147</v>
      </c>
      <c r="J32" s="16">
        <v>173</v>
      </c>
      <c r="K32" s="16" t="s">
        <v>1115</v>
      </c>
      <c r="L32" s="16" t="s">
        <v>4462</v>
      </c>
      <c r="M32" s="16" t="s">
        <v>1146</v>
      </c>
      <c r="N32" s="16"/>
      <c r="O32" s="16" t="s">
        <v>4465</v>
      </c>
      <c r="P32" s="16"/>
      <c r="Q32" s="16" t="s">
        <v>4461</v>
      </c>
      <c r="R32" s="16" t="s">
        <v>4466</v>
      </c>
      <c r="S32" s="16" t="s">
        <v>4474</v>
      </c>
      <c r="T32" s="16"/>
      <c r="U32" s="103">
        <v>0</v>
      </c>
      <c r="V32" s="44">
        <v>15.9</v>
      </c>
      <c r="W32" s="84">
        <v>1656.3030000000001</v>
      </c>
      <c r="X32" s="16">
        <v>143</v>
      </c>
      <c r="Y32" s="95"/>
      <c r="Z32" s="16"/>
      <c r="AA32" s="84"/>
    </row>
    <row r="33" spans="1:27" ht="20" customHeight="1" x14ac:dyDescent="0.25">
      <c r="A33" s="116"/>
      <c r="B33" s="116"/>
      <c r="C33" s="116"/>
      <c r="D33" s="4"/>
      <c r="E33" s="4"/>
      <c r="F33" s="4"/>
      <c r="H33" s="16">
        <v>812</v>
      </c>
      <c r="I33" s="16">
        <v>1147</v>
      </c>
      <c r="J33" s="16">
        <v>162</v>
      </c>
      <c r="K33" s="16" t="s">
        <v>1115</v>
      </c>
      <c r="L33" s="16" t="s">
        <v>4462</v>
      </c>
      <c r="M33" s="16" t="s">
        <v>1146</v>
      </c>
      <c r="N33" s="16"/>
      <c r="O33" s="16" t="s">
        <v>4465</v>
      </c>
      <c r="P33" s="16"/>
      <c r="Q33" s="16" t="s">
        <v>1498</v>
      </c>
      <c r="R33" s="16" t="s">
        <v>4466</v>
      </c>
      <c r="S33" s="16" t="s">
        <v>4474</v>
      </c>
      <c r="T33" s="16"/>
      <c r="U33" s="103">
        <v>0</v>
      </c>
      <c r="V33" s="44">
        <v>19.5</v>
      </c>
      <c r="W33" s="84">
        <v>2031.3150000000001</v>
      </c>
      <c r="X33" s="16">
        <v>141</v>
      </c>
      <c r="Y33" s="95"/>
      <c r="Z33" s="16"/>
      <c r="AA33" s="84"/>
    </row>
    <row r="34" spans="1:27" ht="20" customHeight="1" x14ac:dyDescent="0.25">
      <c r="A34" s="116"/>
      <c r="B34" s="116"/>
      <c r="C34" s="116"/>
      <c r="D34" s="4"/>
      <c r="E34" s="4"/>
      <c r="F34" s="4"/>
      <c r="H34" s="16">
        <v>809</v>
      </c>
      <c r="I34" s="16">
        <v>1147</v>
      </c>
      <c r="J34" s="16">
        <v>162</v>
      </c>
      <c r="K34" s="16" t="s">
        <v>1115</v>
      </c>
      <c r="L34" s="16" t="s">
        <v>4462</v>
      </c>
      <c r="M34" s="16" t="s">
        <v>1146</v>
      </c>
      <c r="N34" s="16"/>
      <c r="O34" s="16" t="s">
        <v>4465</v>
      </c>
      <c r="P34" s="16"/>
      <c r="Q34" s="16" t="s">
        <v>1498</v>
      </c>
      <c r="R34" s="16" t="s">
        <v>4466</v>
      </c>
      <c r="S34" s="16" t="s">
        <v>4474</v>
      </c>
      <c r="T34" s="16"/>
      <c r="U34" s="103">
        <v>0</v>
      </c>
      <c r="V34" s="44">
        <v>12.6</v>
      </c>
      <c r="W34" s="84">
        <v>1378.1691000000001</v>
      </c>
      <c r="X34" s="16">
        <v>145</v>
      </c>
      <c r="Y34" s="95"/>
      <c r="Z34" s="16"/>
      <c r="AA34" s="84"/>
    </row>
    <row r="35" spans="1:27" ht="20" customHeight="1" x14ac:dyDescent="0.25">
      <c r="A35" s="116"/>
      <c r="B35" s="116"/>
      <c r="C35" s="116"/>
      <c r="D35" s="4"/>
      <c r="E35" s="4"/>
      <c r="F35" s="4"/>
      <c r="H35" s="16">
        <v>814</v>
      </c>
      <c r="I35" s="16">
        <v>1148</v>
      </c>
      <c r="J35" s="16">
        <v>128</v>
      </c>
      <c r="K35" s="16" t="s">
        <v>1115</v>
      </c>
      <c r="L35" s="16" t="s">
        <v>4462</v>
      </c>
      <c r="M35" s="16" t="s">
        <v>1146</v>
      </c>
      <c r="N35" s="16"/>
      <c r="O35" s="16" t="s">
        <v>4463</v>
      </c>
      <c r="P35" s="16"/>
      <c r="Q35" s="16" t="s">
        <v>4476</v>
      </c>
      <c r="R35" s="16" t="s">
        <v>4464</v>
      </c>
      <c r="S35" s="16" t="s">
        <v>4474</v>
      </c>
      <c r="T35" s="16"/>
      <c r="U35" s="103">
        <v>0</v>
      </c>
      <c r="V35" s="44">
        <v>37.17</v>
      </c>
      <c r="W35" s="84">
        <v>5204.0601899999992</v>
      </c>
      <c r="X35" s="16">
        <v>218</v>
      </c>
      <c r="Y35" s="95"/>
      <c r="Z35" s="16"/>
      <c r="AA35" s="84"/>
    </row>
    <row r="36" spans="1:27" ht="20" customHeight="1" x14ac:dyDescent="0.25">
      <c r="A36" s="116"/>
      <c r="B36" s="116"/>
      <c r="C36" s="116"/>
      <c r="D36" s="4"/>
      <c r="E36" s="4"/>
      <c r="F36" s="4"/>
      <c r="H36" s="16">
        <v>824</v>
      </c>
      <c r="I36" s="16">
        <v>1148</v>
      </c>
      <c r="J36" s="16">
        <v>130</v>
      </c>
      <c r="K36" s="16" t="s">
        <v>1115</v>
      </c>
      <c r="L36" s="16" t="s">
        <v>4462</v>
      </c>
      <c r="M36" s="16" t="s">
        <v>1146</v>
      </c>
      <c r="N36" s="16"/>
      <c r="O36" s="16" t="s">
        <v>4463</v>
      </c>
      <c r="P36" s="16"/>
      <c r="Q36" s="16" t="s">
        <v>4480</v>
      </c>
      <c r="R36" s="16" t="s">
        <v>4464</v>
      </c>
      <c r="S36" s="16" t="s">
        <v>4474</v>
      </c>
      <c r="T36" s="16"/>
      <c r="U36" s="103">
        <v>0</v>
      </c>
      <c r="V36" s="44">
        <v>28.98</v>
      </c>
      <c r="W36" s="84">
        <v>4057.4028599999997</v>
      </c>
      <c r="X36" s="16">
        <v>224</v>
      </c>
      <c r="Y36" s="95"/>
      <c r="Z36" s="16"/>
      <c r="AA36" s="84"/>
    </row>
    <row r="37" spans="1:27" ht="20" customHeight="1" x14ac:dyDescent="0.25">
      <c r="A37" s="116"/>
      <c r="B37" s="116"/>
      <c r="C37" s="116"/>
      <c r="D37" s="4"/>
      <c r="E37" s="4"/>
      <c r="F37" s="4"/>
      <c r="H37" s="16">
        <v>825</v>
      </c>
      <c r="I37" s="16">
        <v>1148</v>
      </c>
      <c r="J37" s="16">
        <v>169</v>
      </c>
      <c r="K37" s="16" t="s">
        <v>1115</v>
      </c>
      <c r="L37" s="16" t="s">
        <v>4462</v>
      </c>
      <c r="M37" s="16" t="s">
        <v>1146</v>
      </c>
      <c r="N37" s="16"/>
      <c r="O37" s="16" t="s">
        <v>4465</v>
      </c>
      <c r="P37" s="16"/>
      <c r="Q37" s="16" t="s">
        <v>4480</v>
      </c>
      <c r="R37" s="16" t="s">
        <v>4466</v>
      </c>
      <c r="S37" s="16" t="s">
        <v>4474</v>
      </c>
      <c r="T37" s="16"/>
      <c r="U37" s="103">
        <v>0</v>
      </c>
      <c r="V37" s="44">
        <v>15.87</v>
      </c>
      <c r="W37" s="84">
        <v>1901.154585</v>
      </c>
      <c r="X37" s="16">
        <v>223</v>
      </c>
      <c r="Y37" s="95"/>
      <c r="Z37" s="16"/>
      <c r="AA37" s="84"/>
    </row>
    <row r="38" spans="1:27" ht="20" customHeight="1" x14ac:dyDescent="0.25">
      <c r="A38" s="116"/>
      <c r="B38" s="116"/>
      <c r="C38" s="116"/>
      <c r="D38" s="4"/>
      <c r="E38" s="4"/>
      <c r="F38" s="4"/>
      <c r="H38" s="16">
        <v>826</v>
      </c>
      <c r="I38" s="16">
        <v>1148</v>
      </c>
      <c r="J38" s="16">
        <v>135</v>
      </c>
      <c r="K38" s="16" t="s">
        <v>1115</v>
      </c>
      <c r="L38" s="16" t="s">
        <v>4462</v>
      </c>
      <c r="M38" s="16" t="s">
        <v>1146</v>
      </c>
      <c r="N38" s="16"/>
      <c r="O38" s="16" t="s">
        <v>4463</v>
      </c>
      <c r="P38" s="16"/>
      <c r="Q38" s="16" t="s">
        <v>4467</v>
      </c>
      <c r="R38" s="16" t="s">
        <v>4464</v>
      </c>
      <c r="S38" s="16" t="s">
        <v>4474</v>
      </c>
      <c r="T38" s="16"/>
      <c r="U38" s="103">
        <v>0</v>
      </c>
      <c r="V38" s="44">
        <v>48.51</v>
      </c>
      <c r="W38" s="84">
        <v>6791.7395699999997</v>
      </c>
      <c r="X38" s="16">
        <v>222</v>
      </c>
      <c r="Y38" s="95"/>
      <c r="Z38" s="16"/>
      <c r="AA38" s="84"/>
    </row>
    <row r="39" spans="1:27" ht="20" customHeight="1" x14ac:dyDescent="0.25">
      <c r="A39" s="116"/>
      <c r="B39" s="116"/>
      <c r="C39" s="116"/>
      <c r="D39" s="4"/>
      <c r="E39" s="4"/>
      <c r="F39" s="4"/>
      <c r="H39" s="16">
        <v>813</v>
      </c>
      <c r="I39" s="16">
        <v>1148</v>
      </c>
      <c r="J39" s="16">
        <v>175</v>
      </c>
      <c r="K39" s="16" t="s">
        <v>1115</v>
      </c>
      <c r="L39" s="16" t="s">
        <v>4462</v>
      </c>
      <c r="M39" s="16" t="s">
        <v>1146</v>
      </c>
      <c r="N39" s="16"/>
      <c r="O39" s="16" t="s">
        <v>4465</v>
      </c>
      <c r="P39" s="16"/>
      <c r="Q39" s="16" t="s">
        <v>4467</v>
      </c>
      <c r="R39" s="16" t="s">
        <v>4466</v>
      </c>
      <c r="S39" s="16" t="s">
        <v>4474</v>
      </c>
      <c r="T39" s="16"/>
      <c r="U39" s="103">
        <v>0</v>
      </c>
      <c r="V39" s="44">
        <v>26.56</v>
      </c>
      <c r="W39" s="84">
        <v>3181.7684800000002</v>
      </c>
      <c r="X39" s="16">
        <v>221</v>
      </c>
      <c r="Y39" s="95"/>
      <c r="Z39" s="16"/>
      <c r="AA39" s="84"/>
    </row>
    <row r="40" spans="1:27" ht="20" customHeight="1" x14ac:dyDescent="0.25">
      <c r="A40" s="116"/>
      <c r="B40" s="116"/>
      <c r="C40" s="116"/>
      <c r="D40" s="4"/>
      <c r="E40" s="4"/>
      <c r="F40" s="4"/>
      <c r="H40" s="16">
        <v>823</v>
      </c>
      <c r="I40" s="16">
        <v>1148</v>
      </c>
      <c r="J40" s="16">
        <v>133</v>
      </c>
      <c r="K40" s="16" t="s">
        <v>1115</v>
      </c>
      <c r="L40" s="16" t="s">
        <v>4462</v>
      </c>
      <c r="M40" s="16" t="s">
        <v>1146</v>
      </c>
      <c r="N40" s="16"/>
      <c r="O40" s="16" t="s">
        <v>4463</v>
      </c>
      <c r="P40" s="16"/>
      <c r="Q40" s="16" t="s">
        <v>4479</v>
      </c>
      <c r="R40" s="16" t="s">
        <v>4464</v>
      </c>
      <c r="S40" s="16" t="s">
        <v>4474</v>
      </c>
      <c r="T40" s="16"/>
      <c r="U40" s="103">
        <v>0</v>
      </c>
      <c r="V40" s="44">
        <v>37.17</v>
      </c>
      <c r="W40" s="84">
        <v>5204.0601899999992</v>
      </c>
      <c r="X40" s="16">
        <v>220</v>
      </c>
      <c r="Y40" s="95"/>
      <c r="Z40" s="16"/>
      <c r="AA40" s="84"/>
    </row>
    <row r="41" spans="1:27" ht="20" customHeight="1" x14ac:dyDescent="0.25">
      <c r="A41" s="116"/>
      <c r="B41" s="116"/>
      <c r="C41" s="116"/>
      <c r="D41" s="4"/>
      <c r="E41" s="4"/>
      <c r="F41" s="4"/>
      <c r="H41" s="16">
        <v>822</v>
      </c>
      <c r="I41" s="16">
        <v>1148</v>
      </c>
      <c r="J41" s="16">
        <v>172</v>
      </c>
      <c r="K41" s="16" t="s">
        <v>1115</v>
      </c>
      <c r="L41" s="16" t="s">
        <v>4462</v>
      </c>
      <c r="M41" s="16" t="s">
        <v>1146</v>
      </c>
      <c r="N41" s="16"/>
      <c r="O41" s="16" t="s">
        <v>4465</v>
      </c>
      <c r="P41" s="16"/>
      <c r="Q41" s="16" t="s">
        <v>4479</v>
      </c>
      <c r="R41" s="16" t="s">
        <v>4466</v>
      </c>
      <c r="S41" s="16" t="s">
        <v>4474</v>
      </c>
      <c r="T41" s="16"/>
      <c r="U41" s="103">
        <v>0</v>
      </c>
      <c r="V41" s="44">
        <v>20.36</v>
      </c>
      <c r="W41" s="84">
        <v>2439.0363800000005</v>
      </c>
      <c r="X41" s="16">
        <v>219</v>
      </c>
      <c r="Y41" s="95"/>
      <c r="Z41" s="16"/>
      <c r="AA41" s="84"/>
    </row>
    <row r="42" spans="1:27" ht="20" customHeight="1" x14ac:dyDescent="0.25">
      <c r="A42" s="116"/>
      <c r="B42" s="116"/>
      <c r="C42" s="116"/>
      <c r="D42" s="4"/>
      <c r="E42" s="4"/>
      <c r="F42" s="4"/>
      <c r="H42" s="16">
        <v>815</v>
      </c>
      <c r="I42" s="16">
        <v>1148</v>
      </c>
      <c r="J42" s="16">
        <v>166</v>
      </c>
      <c r="K42" s="16" t="s">
        <v>1115</v>
      </c>
      <c r="L42" s="16" t="s">
        <v>4462</v>
      </c>
      <c r="M42" s="16" t="s">
        <v>1146</v>
      </c>
      <c r="N42" s="16"/>
      <c r="O42" s="16" t="s">
        <v>4465</v>
      </c>
      <c r="P42" s="16"/>
      <c r="Q42" s="16" t="s">
        <v>4476</v>
      </c>
      <c r="R42" s="16" t="s">
        <v>4466</v>
      </c>
      <c r="S42" s="16" t="s">
        <v>4474</v>
      </c>
      <c r="T42" s="16"/>
      <c r="U42" s="103">
        <v>0</v>
      </c>
      <c r="V42" s="44">
        <v>20.36</v>
      </c>
      <c r="W42" s="84">
        <v>2439.0363800000005</v>
      </c>
      <c r="X42" s="16">
        <v>217</v>
      </c>
      <c r="Y42" s="95"/>
      <c r="Z42" s="16"/>
      <c r="AA42" s="84"/>
    </row>
    <row r="43" spans="1:27" ht="20" customHeight="1" x14ac:dyDescent="0.25">
      <c r="A43" s="116"/>
      <c r="B43" s="116"/>
      <c r="C43" s="116"/>
      <c r="D43" s="4"/>
      <c r="E43" s="4"/>
      <c r="F43" s="4"/>
      <c r="H43" s="16">
        <v>816</v>
      </c>
      <c r="I43" s="16">
        <v>1148</v>
      </c>
      <c r="J43" s="16">
        <v>132</v>
      </c>
      <c r="K43" s="16" t="s">
        <v>1115</v>
      </c>
      <c r="L43" s="16" t="s">
        <v>4462</v>
      </c>
      <c r="M43" s="16" t="s">
        <v>1146</v>
      </c>
      <c r="N43" s="16"/>
      <c r="O43" s="16" t="s">
        <v>4463</v>
      </c>
      <c r="P43" s="16"/>
      <c r="Q43" s="16" t="s">
        <v>4478</v>
      </c>
      <c r="R43" s="16" t="s">
        <v>4464</v>
      </c>
      <c r="S43" s="16" t="s">
        <v>4474</v>
      </c>
      <c r="T43" s="16"/>
      <c r="U43" s="103">
        <v>0</v>
      </c>
      <c r="V43" s="44">
        <v>40.950000000000003</v>
      </c>
      <c r="W43" s="84">
        <v>5733.28665</v>
      </c>
      <c r="X43" s="16">
        <v>216</v>
      </c>
      <c r="Y43" s="95"/>
      <c r="Z43" s="16"/>
      <c r="AA43" s="84"/>
    </row>
    <row r="44" spans="1:27" ht="20" customHeight="1" x14ac:dyDescent="0.25">
      <c r="A44" s="116"/>
      <c r="B44" s="116"/>
      <c r="C44" s="116"/>
      <c r="D44" s="4"/>
      <c r="E44" s="4"/>
      <c r="F44" s="4"/>
      <c r="H44" s="16">
        <v>817</v>
      </c>
      <c r="I44" s="16">
        <v>1148</v>
      </c>
      <c r="J44" s="16">
        <v>171</v>
      </c>
      <c r="K44" s="16" t="s">
        <v>1115</v>
      </c>
      <c r="L44" s="16" t="s">
        <v>4462</v>
      </c>
      <c r="M44" s="16" t="s">
        <v>1146</v>
      </c>
      <c r="N44" s="16"/>
      <c r="O44" s="16" t="s">
        <v>4465</v>
      </c>
      <c r="P44" s="16"/>
      <c r="Q44" s="16" t="s">
        <v>4478</v>
      </c>
      <c r="R44" s="16" t="s">
        <v>4466</v>
      </c>
      <c r="S44" s="16" t="s">
        <v>4474</v>
      </c>
      <c r="T44" s="16"/>
      <c r="U44" s="103">
        <v>0</v>
      </c>
      <c r="V44" s="44">
        <v>22.42</v>
      </c>
      <c r="W44" s="84">
        <v>2685.8151100000005</v>
      </c>
      <c r="X44" s="16">
        <v>215</v>
      </c>
      <c r="Y44" s="95"/>
      <c r="Z44" s="16"/>
      <c r="AA44" s="84"/>
    </row>
    <row r="45" spans="1:27" ht="20" customHeight="1" x14ac:dyDescent="0.25">
      <c r="A45" s="116"/>
      <c r="B45" s="116"/>
      <c r="C45" s="116"/>
      <c r="D45" s="4"/>
      <c r="E45" s="4"/>
      <c r="F45" s="4"/>
      <c r="H45" s="16">
        <v>818</v>
      </c>
      <c r="I45" s="16">
        <v>1148</v>
      </c>
      <c r="J45" s="16">
        <v>131</v>
      </c>
      <c r="K45" s="16" t="s">
        <v>1115</v>
      </c>
      <c r="L45" s="16" t="s">
        <v>4462</v>
      </c>
      <c r="M45" s="16" t="s">
        <v>1146</v>
      </c>
      <c r="N45" s="16"/>
      <c r="O45" s="16" t="s">
        <v>4463</v>
      </c>
      <c r="P45" s="16"/>
      <c r="Q45" s="16" t="s">
        <v>4460</v>
      </c>
      <c r="R45" s="16" t="s">
        <v>4464</v>
      </c>
      <c r="S45" s="16" t="s">
        <v>4474</v>
      </c>
      <c r="T45" s="16"/>
      <c r="U45" s="103">
        <v>0</v>
      </c>
      <c r="V45" s="44">
        <v>48.51</v>
      </c>
      <c r="W45" s="84">
        <v>6791.7395699999997</v>
      </c>
      <c r="X45" s="16">
        <v>214</v>
      </c>
      <c r="Y45" s="95"/>
      <c r="Z45" s="16"/>
      <c r="AA45" s="84"/>
    </row>
    <row r="46" spans="1:27" ht="20" customHeight="1" x14ac:dyDescent="0.25">
      <c r="A46" s="116"/>
      <c r="B46" s="116"/>
      <c r="C46" s="116"/>
      <c r="D46" s="4"/>
      <c r="E46" s="4"/>
      <c r="F46" s="4"/>
      <c r="H46" s="16">
        <v>819</v>
      </c>
      <c r="I46" s="16">
        <v>1148</v>
      </c>
      <c r="J46" s="16">
        <v>170</v>
      </c>
      <c r="K46" s="16" t="s">
        <v>1115</v>
      </c>
      <c r="L46" s="16" t="s">
        <v>4462</v>
      </c>
      <c r="M46" s="16" t="s">
        <v>1146</v>
      </c>
      <c r="N46" s="16"/>
      <c r="O46" s="16" t="s">
        <v>4465</v>
      </c>
      <c r="P46" s="16"/>
      <c r="Q46" s="16" t="s">
        <v>4460</v>
      </c>
      <c r="R46" s="16" t="s">
        <v>4466</v>
      </c>
      <c r="S46" s="16" t="s">
        <v>4474</v>
      </c>
      <c r="T46" s="16"/>
      <c r="U46" s="103">
        <v>0</v>
      </c>
      <c r="V46" s="44">
        <v>26.56</v>
      </c>
      <c r="W46" s="84">
        <v>3181.7684800000002</v>
      </c>
      <c r="X46" s="16">
        <v>213</v>
      </c>
      <c r="Y46" s="95"/>
      <c r="Z46" s="16"/>
      <c r="AA46" s="84"/>
    </row>
    <row r="47" spans="1:27" ht="20" customHeight="1" x14ac:dyDescent="0.25">
      <c r="A47" s="116"/>
      <c r="B47" s="116"/>
      <c r="C47" s="116"/>
      <c r="D47" s="4"/>
      <c r="E47" s="4"/>
      <c r="F47" s="4"/>
      <c r="H47" s="16">
        <v>820</v>
      </c>
      <c r="I47" s="16">
        <v>1148</v>
      </c>
      <c r="J47" s="16">
        <v>126</v>
      </c>
      <c r="K47" s="16" t="s">
        <v>1115</v>
      </c>
      <c r="L47" s="16" t="s">
        <v>4462</v>
      </c>
      <c r="M47" s="16" t="s">
        <v>1146</v>
      </c>
      <c r="N47" s="16"/>
      <c r="O47" s="16" t="s">
        <v>4463</v>
      </c>
      <c r="P47" s="16"/>
      <c r="Q47" s="16" t="s">
        <v>1498</v>
      </c>
      <c r="R47" s="16" t="s">
        <v>4464</v>
      </c>
      <c r="S47" s="16" t="s">
        <v>4474</v>
      </c>
      <c r="T47" s="16"/>
      <c r="U47" s="103">
        <v>0</v>
      </c>
      <c r="V47" s="44">
        <v>56.7</v>
      </c>
      <c r="W47" s="84">
        <v>7938.3968999999997</v>
      </c>
      <c r="X47" s="16">
        <v>212</v>
      </c>
      <c r="Y47" s="95"/>
      <c r="Z47" s="16"/>
      <c r="AA47" s="84"/>
    </row>
    <row r="48" spans="1:27" ht="20" customHeight="1" x14ac:dyDescent="0.25">
      <c r="A48" s="116"/>
      <c r="B48" s="116"/>
      <c r="C48" s="116"/>
      <c r="D48" s="4"/>
      <c r="E48" s="4"/>
      <c r="F48" s="4"/>
      <c r="H48" s="16">
        <v>821</v>
      </c>
      <c r="I48" s="16">
        <v>1148</v>
      </c>
      <c r="J48" s="16">
        <v>162</v>
      </c>
      <c r="K48" s="16" t="s">
        <v>1115</v>
      </c>
      <c r="L48" s="16" t="s">
        <v>4462</v>
      </c>
      <c r="M48" s="16" t="s">
        <v>1146</v>
      </c>
      <c r="N48" s="16"/>
      <c r="O48" s="16" t="s">
        <v>4465</v>
      </c>
      <c r="P48" s="16"/>
      <c r="Q48" s="16" t="s">
        <v>1498</v>
      </c>
      <c r="R48" s="16" t="s">
        <v>4466</v>
      </c>
      <c r="S48" s="16" t="s">
        <v>4474</v>
      </c>
      <c r="T48" s="16"/>
      <c r="U48" s="103">
        <v>0</v>
      </c>
      <c r="V48" s="44">
        <v>31.05</v>
      </c>
      <c r="W48" s="84">
        <v>3719.6502750000004</v>
      </c>
      <c r="X48" s="16">
        <v>211</v>
      </c>
      <c r="Y48" s="95"/>
      <c r="Z48" s="16"/>
      <c r="AA48" s="84"/>
    </row>
    <row r="49" spans="1:27" ht="20" customHeight="1" x14ac:dyDescent="0.25">
      <c r="A49" s="116"/>
      <c r="B49" s="116"/>
      <c r="C49" s="116"/>
      <c r="D49" s="4"/>
      <c r="E49" s="4"/>
      <c r="F49" s="4"/>
      <c r="H49" s="16">
        <v>827</v>
      </c>
      <c r="I49" s="16">
        <v>1149</v>
      </c>
      <c r="J49" s="16">
        <v>141</v>
      </c>
      <c r="K49" s="16" t="s">
        <v>1115</v>
      </c>
      <c r="L49" s="16" t="s">
        <v>4462</v>
      </c>
      <c r="M49" s="16" t="s">
        <v>1146</v>
      </c>
      <c r="N49" s="16"/>
      <c r="O49" s="16" t="s">
        <v>4465</v>
      </c>
      <c r="P49" s="16"/>
      <c r="Q49" s="16" t="s">
        <v>1498</v>
      </c>
      <c r="R49" s="16" t="s">
        <v>4466</v>
      </c>
      <c r="S49" s="16" t="s">
        <v>4474</v>
      </c>
      <c r="T49" s="16"/>
      <c r="U49" s="103">
        <v>0</v>
      </c>
      <c r="V49" s="44">
        <v>29.58</v>
      </c>
      <c r="W49" s="84">
        <v>2619.1463100000005</v>
      </c>
      <c r="X49" s="16">
        <v>295</v>
      </c>
      <c r="Y49" s="95"/>
      <c r="Z49" s="16"/>
      <c r="AA49" s="84"/>
    </row>
    <row r="50" spans="1:27" ht="20" customHeight="1" x14ac:dyDescent="0.25">
      <c r="A50" s="116"/>
      <c r="B50" s="116"/>
      <c r="C50" s="116"/>
      <c r="D50" s="4"/>
      <c r="E50" s="4"/>
      <c r="F50" s="4"/>
      <c r="H50" s="16">
        <v>830</v>
      </c>
      <c r="I50" s="16">
        <v>1149</v>
      </c>
      <c r="J50" s="16">
        <v>106</v>
      </c>
      <c r="K50" s="16" t="s">
        <v>1115</v>
      </c>
      <c r="L50" s="16" t="s">
        <v>4462</v>
      </c>
      <c r="M50" s="16" t="s">
        <v>1146</v>
      </c>
      <c r="N50" s="16"/>
      <c r="O50" s="16" t="s">
        <v>4463</v>
      </c>
      <c r="P50" s="16"/>
      <c r="Q50" s="16" t="s">
        <v>1498</v>
      </c>
      <c r="R50" s="16" t="s">
        <v>4464</v>
      </c>
      <c r="S50" s="16" t="s">
        <v>4474</v>
      </c>
      <c r="T50" s="16"/>
      <c r="U50" s="103">
        <v>0</v>
      </c>
      <c r="V50" s="44">
        <v>44.8</v>
      </c>
      <c r="W50" s="84">
        <v>4330.8831999999993</v>
      </c>
      <c r="X50" s="16">
        <v>296</v>
      </c>
      <c r="Y50" s="95"/>
      <c r="Z50" s="16"/>
      <c r="AA50" s="84"/>
    </row>
    <row r="51" spans="1:27" ht="20" customHeight="1" x14ac:dyDescent="0.25">
      <c r="A51" s="116"/>
      <c r="B51" s="116"/>
      <c r="C51" s="116"/>
      <c r="D51" s="4"/>
      <c r="E51" s="4"/>
      <c r="F51" s="4"/>
      <c r="H51" s="16">
        <v>829</v>
      </c>
      <c r="I51" s="16">
        <v>1149</v>
      </c>
      <c r="J51" s="16">
        <v>145</v>
      </c>
      <c r="K51" s="16" t="s">
        <v>1115</v>
      </c>
      <c r="L51" s="16" t="s">
        <v>4462</v>
      </c>
      <c r="M51" s="16" t="s">
        <v>1146</v>
      </c>
      <c r="N51" s="16"/>
      <c r="O51" s="16" t="s">
        <v>4465</v>
      </c>
      <c r="P51" s="16"/>
      <c r="Q51" s="16" t="s">
        <v>4460</v>
      </c>
      <c r="R51" s="16" t="s">
        <v>4466</v>
      </c>
      <c r="S51" s="16" t="s">
        <v>4474</v>
      </c>
      <c r="T51" s="16"/>
      <c r="U51" s="103">
        <v>0</v>
      </c>
      <c r="V51" s="44">
        <v>22.95</v>
      </c>
      <c r="W51" s="84">
        <v>2032.0962750000001</v>
      </c>
      <c r="X51" s="16">
        <v>297</v>
      </c>
      <c r="Y51" s="95"/>
      <c r="Z51" s="16"/>
      <c r="AA51" s="84"/>
    </row>
    <row r="52" spans="1:27" ht="20" customHeight="1" x14ac:dyDescent="0.25">
      <c r="A52" s="116"/>
      <c r="B52" s="116"/>
      <c r="C52" s="116"/>
      <c r="D52" s="4"/>
      <c r="E52" s="4"/>
      <c r="F52" s="4"/>
      <c r="H52" s="16">
        <v>828</v>
      </c>
      <c r="I52" s="16">
        <v>1149</v>
      </c>
      <c r="J52" s="16">
        <v>110</v>
      </c>
      <c r="K52" s="16" t="s">
        <v>1115</v>
      </c>
      <c r="L52" s="16" t="s">
        <v>4462</v>
      </c>
      <c r="M52" s="16" t="s">
        <v>1146</v>
      </c>
      <c r="N52" s="16"/>
      <c r="O52" s="16" t="s">
        <v>4463</v>
      </c>
      <c r="P52" s="16"/>
      <c r="Q52" s="16" t="s">
        <v>4460</v>
      </c>
      <c r="R52" s="16" t="s">
        <v>4464</v>
      </c>
      <c r="S52" s="16" t="s">
        <v>4474</v>
      </c>
      <c r="T52" s="16"/>
      <c r="U52" s="103">
        <v>0</v>
      </c>
      <c r="V52" s="44">
        <v>28.28</v>
      </c>
      <c r="W52" s="84">
        <v>2733.8700200000003</v>
      </c>
      <c r="X52" s="16">
        <v>298</v>
      </c>
      <c r="Y52" s="95"/>
      <c r="Z52" s="16"/>
      <c r="AA52" s="84"/>
    </row>
    <row r="53" spans="1:27" ht="20" customHeight="1" x14ac:dyDescent="0.25">
      <c r="A53" s="116"/>
      <c r="B53" s="116"/>
      <c r="C53" s="116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4" t="s">
        <v>4488</v>
      </c>
      <c r="T53" s="164"/>
      <c r="U53" s="68"/>
      <c r="V53" s="45"/>
      <c r="W53" s="97"/>
      <c r="X53" s="14"/>
      <c r="Y53" s="97"/>
      <c r="Z53" s="14"/>
      <c r="AA53" s="97"/>
    </row>
  </sheetData>
  <autoFilter ref="H2:AA53" xr:uid="{AA0C7D01-2D1B-4875-A10A-63DCF46B1AE1}"/>
  <mergeCells count="19">
    <mergeCell ref="S53:T53"/>
    <mergeCell ref="B12:C12"/>
    <mergeCell ref="B13:C13"/>
    <mergeCell ref="B14:C14"/>
    <mergeCell ref="B15:C15"/>
    <mergeCell ref="B16:C16"/>
    <mergeCell ref="B18:C18"/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3 S3:U53">
    <cfRule type="cellIs" dxfId="114" priority="57" operator="equal">
      <formula>"DELETED"</formula>
    </cfRule>
    <cfRule type="cellIs" dxfId="113" priority="58" operator="equal">
      <formula>"삭제"</formula>
    </cfRule>
    <cfRule type="cellIs" dxfId="112" priority="59" operator="equal">
      <formula>"수정"</formula>
    </cfRule>
    <cfRule type="cellIs" dxfId="111" priority="60" operator="equal">
      <formula>"UPDATED"</formula>
    </cfRule>
  </conditionalFormatting>
  <conditionalFormatting sqref="K3:K53">
    <cfRule type="cellIs" dxfId="110" priority="17" operator="equal">
      <formula>"UPDATED"</formula>
    </cfRule>
    <cfRule type="cellIs" dxfId="109" priority="18" operator="equal">
      <formula>"선택"</formula>
    </cfRule>
    <cfRule type="cellIs" dxfId="108" priority="53" operator="equal">
      <formula>"DELETED"</formula>
    </cfRule>
    <cfRule type="cellIs" dxfId="107" priority="54" operator="equal">
      <formula>"삭제"</formula>
    </cfRule>
    <cfRule type="cellIs" dxfId="106" priority="55" operator="equal">
      <formula>"수정"</formula>
    </cfRule>
    <cfRule type="cellIs" dxfId="105" priority="56" operator="equal">
      <formula>"UPDATED"</formula>
    </cfRule>
  </conditionalFormatting>
  <conditionalFormatting sqref="N3:N53">
    <cfRule type="cellIs" dxfId="104" priority="49" operator="equal">
      <formula>"DELETED"</formula>
    </cfRule>
    <cfRule type="cellIs" dxfId="103" priority="50" operator="equal">
      <formula>"삭제"</formula>
    </cfRule>
    <cfRule type="cellIs" dxfId="102" priority="51" operator="equal">
      <formula>"수정"</formula>
    </cfRule>
    <cfRule type="cellIs" dxfId="101" priority="52" operator="equal">
      <formula>"UPDATED"</formula>
    </cfRule>
  </conditionalFormatting>
  <conditionalFormatting sqref="M3:M53">
    <cfRule type="cellIs" dxfId="100" priority="45" operator="equal">
      <formula>"DELETED"</formula>
    </cfRule>
    <cfRule type="cellIs" dxfId="99" priority="46" operator="equal">
      <formula>"삭제"</formula>
    </cfRule>
    <cfRule type="cellIs" dxfId="98" priority="47" operator="equal">
      <formula>"수정"</formula>
    </cfRule>
    <cfRule type="cellIs" dxfId="97" priority="48" operator="equal">
      <formula>"UPDATED"</formula>
    </cfRule>
  </conditionalFormatting>
  <conditionalFormatting sqref="O3:O53">
    <cfRule type="cellIs" dxfId="96" priority="41" operator="equal">
      <formula>"DELETED"</formula>
    </cfRule>
    <cfRule type="cellIs" dxfId="95" priority="42" operator="equal">
      <formula>"삭제"</formula>
    </cfRule>
    <cfRule type="cellIs" dxfId="94" priority="43" operator="equal">
      <formula>"수정"</formula>
    </cfRule>
    <cfRule type="cellIs" dxfId="93" priority="44" operator="equal">
      <formula>"UPDATED"</formula>
    </cfRule>
  </conditionalFormatting>
  <conditionalFormatting sqref="Q3:Q53">
    <cfRule type="cellIs" dxfId="92" priority="37" operator="equal">
      <formula>"DELETED"</formula>
    </cfRule>
    <cfRule type="cellIs" dxfId="91" priority="38" operator="equal">
      <formula>"삭제"</formula>
    </cfRule>
    <cfRule type="cellIs" dxfId="90" priority="39" operator="equal">
      <formula>"수정"</formula>
    </cfRule>
    <cfRule type="cellIs" dxfId="89" priority="40" operator="equal">
      <formula>"UPDATED"</formula>
    </cfRule>
  </conditionalFormatting>
  <conditionalFormatting sqref="P3:P53">
    <cfRule type="cellIs" dxfId="88" priority="33" operator="equal">
      <formula>"DELETED"</formula>
    </cfRule>
    <cfRule type="cellIs" dxfId="87" priority="34" operator="equal">
      <formula>"삭제"</formula>
    </cfRule>
    <cfRule type="cellIs" dxfId="86" priority="35" operator="equal">
      <formula>"수정"</formula>
    </cfRule>
    <cfRule type="cellIs" dxfId="85" priority="36" operator="equal">
      <formula>"UPDATED"</formula>
    </cfRule>
  </conditionalFormatting>
  <conditionalFormatting sqref="R3:R53">
    <cfRule type="cellIs" dxfId="84" priority="29" operator="equal">
      <formula>"DELETED"</formula>
    </cfRule>
    <cfRule type="cellIs" dxfId="83" priority="30" operator="equal">
      <formula>"삭제"</formula>
    </cfRule>
    <cfRule type="cellIs" dxfId="82" priority="31" operator="equal">
      <formula>"수정"</formula>
    </cfRule>
    <cfRule type="cellIs" dxfId="81" priority="32" operator="equal">
      <formula>"UPDATED"</formula>
    </cfRule>
  </conditionalFormatting>
  <conditionalFormatting sqref="E7">
    <cfRule type="containsBlanks" dxfId="80" priority="28">
      <formula>LEN(TRIM(E7))=0</formula>
    </cfRule>
  </conditionalFormatting>
  <conditionalFormatting sqref="E7">
    <cfRule type="notContainsBlanks" dxfId="79" priority="27">
      <formula>LEN(TRIM(E7))&gt;0</formula>
    </cfRule>
  </conditionalFormatting>
  <conditionalFormatting sqref="V3:V53">
    <cfRule type="cellIs" dxfId="78" priority="23" operator="equal">
      <formula>"DELETED"</formula>
    </cfRule>
    <cfRule type="cellIs" dxfId="77" priority="24" operator="equal">
      <formula>"삭제"</formula>
    </cfRule>
    <cfRule type="cellIs" dxfId="76" priority="25" operator="equal">
      <formula>"수정"</formula>
    </cfRule>
    <cfRule type="cellIs" dxfId="75" priority="26" operator="equal">
      <formula>"UPDATED"</formula>
    </cfRule>
  </conditionalFormatting>
  <conditionalFormatting sqref="W3:W53">
    <cfRule type="cellIs" dxfId="74" priority="19" operator="equal">
      <formula>"DELETED"</formula>
    </cfRule>
    <cfRule type="cellIs" dxfId="73" priority="20" operator="equal">
      <formula>"삭제"</formula>
    </cfRule>
    <cfRule type="cellIs" dxfId="72" priority="21" operator="equal">
      <formula>"수정"</formula>
    </cfRule>
    <cfRule type="cellIs" dxfId="71" priority="22" operator="equal">
      <formula>"UPDATED"</formula>
    </cfRule>
  </conditionalFormatting>
  <conditionalFormatting sqref="Y3:Y53">
    <cfRule type="cellIs" dxfId="70" priority="13" operator="equal">
      <formula>"DELETED"</formula>
    </cfRule>
    <cfRule type="cellIs" dxfId="69" priority="14" operator="equal">
      <formula>"삭제"</formula>
    </cfRule>
    <cfRule type="cellIs" dxfId="68" priority="15" operator="equal">
      <formula>"수정"</formula>
    </cfRule>
    <cfRule type="cellIs" dxfId="67" priority="16" operator="equal">
      <formula>"UPDATED"</formula>
    </cfRule>
  </conditionalFormatting>
  <conditionalFormatting sqref="AA3:AA53">
    <cfRule type="notContainsBlanks" dxfId="66" priority="8">
      <formula>LEN(TRIM(AA3))&gt;0</formula>
    </cfRule>
    <cfRule type="cellIs" dxfId="65" priority="9" operator="equal">
      <formula>"DELETED"</formula>
    </cfRule>
    <cfRule type="cellIs" dxfId="64" priority="10" operator="equal">
      <formula>"삭제"</formula>
    </cfRule>
    <cfRule type="cellIs" dxfId="63" priority="11" operator="equal">
      <formula>"수정"</formula>
    </cfRule>
    <cfRule type="cellIs" dxfId="62" priority="12" operator="equal">
      <formula>"UPDATED"</formula>
    </cfRule>
  </conditionalFormatting>
  <conditionalFormatting sqref="S1:U1">
    <cfRule type="cellIs" dxfId="61" priority="4" operator="equal">
      <formula>"DELETED"</formula>
    </cfRule>
    <cfRule type="cellIs" dxfId="60" priority="5" operator="equal">
      <formula>"삭제"</formula>
    </cfRule>
    <cfRule type="cellIs" dxfId="59" priority="6" operator="equal">
      <formula>"수정"</formula>
    </cfRule>
    <cfRule type="cellIs" dxfId="58" priority="7" operator="equal">
      <formula>"UPDATED"</formula>
    </cfRule>
  </conditionalFormatting>
  <conditionalFormatting sqref="E5">
    <cfRule type="containsBlanks" dxfId="57" priority="3">
      <formula>LEN(TRIM(E5))=0</formula>
    </cfRule>
  </conditionalFormatting>
  <conditionalFormatting sqref="E5">
    <cfRule type="notContainsBlanks" dxfId="56" priority="2">
      <formula>LEN(TRIM(E5))&gt;0</formula>
    </cfRule>
  </conditionalFormatting>
  <conditionalFormatting sqref="E9">
    <cfRule type="containsBlanks" dxfId="55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18:C18" r:id="rId1" display="대시보드" xr:uid="{CEB48D3D-F889-49CA-9EB1-D9CAA4432A81}"/>
    <hyperlink ref="B3:C3" location="인덴트관리!A1" display="1. 인덴트 관리" xr:uid="{38E8684F-EFAF-4C64-B0C5-730D93D39578}"/>
    <hyperlink ref="B4:C4" location="PO관리!A1" display="2. PO 관리" xr:uid="{A97B9352-065E-48A6-BD9A-E0E878AF5C73}"/>
    <hyperlink ref="B6:C6" location="지출계획!A1" display="3. 지출계획" xr:uid="{5B76E706-74F1-49A8-9378-B8509779E4F9}"/>
    <hyperlink ref="B7:C7" location="매출채권!A1" display="4. 매출채권" xr:uid="{84E8ECA7-1794-4144-8A4A-97A14C483606}"/>
    <hyperlink ref="B8:C8" location="체크리스트!A1" display="5. 체크리스트" xr:uid="{F95BA4F0-010E-45BD-AF1A-FA5A478C706A}"/>
    <hyperlink ref="B9:C9" location="발주서!A1" display="6. 발주서" xr:uid="{25A44435-113A-4240-8586-83FC3D3E2843}"/>
    <hyperlink ref="B12:C12" location="Tracking!A1" display="Tracking" xr:uid="{9424759B-E471-4464-8B82-34199E5374D5}"/>
    <hyperlink ref="B5:C5" location="PO관리툴!A1" display="PO 관리" xr:uid="{0D21C592-0936-4EAE-BB44-407B63CFCA6D}"/>
    <hyperlink ref="B11:C11" location="선적수량!A1" display="선적수량" xr:uid="{6CA121C1-EE84-410A-8B49-87F223F9AD29}"/>
    <hyperlink ref="B10:C10" location="견적서!A1" display="견적서" xr:uid="{0BB59E81-AA27-40ED-A4DE-1416C1A0689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0FDFBFEC-9575-4658-900B-A94A1E436E6C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2882ABD6-6B4D-4A86-A451-759A99EAD7AB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8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59" t="s">
        <v>7</v>
      </c>
      <c r="B1" s="160"/>
      <c r="C1" s="161"/>
      <c r="D1" s="4"/>
      <c r="E1" s="4"/>
      <c r="F1" s="4"/>
      <c r="G1" s="6"/>
      <c r="H1" s="40">
        <v>175</v>
      </c>
      <c r="I1" s="57">
        <v>1</v>
      </c>
      <c r="J1" s="57">
        <v>4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56"/>
      <c r="B2" s="156"/>
      <c r="C2" s="156"/>
      <c r="D2" s="4"/>
      <c r="E2" s="4"/>
      <c r="F2" s="4"/>
      <c r="G2" s="8"/>
      <c r="H2" s="19" t="s">
        <v>12</v>
      </c>
      <c r="I2" s="61" t="s">
        <v>1131</v>
      </c>
      <c r="J2" s="61" t="s">
        <v>1480</v>
      </c>
      <c r="K2" s="61" t="s">
        <v>1481</v>
      </c>
      <c r="L2" s="61" t="s">
        <v>1482</v>
      </c>
      <c r="M2" s="61" t="s">
        <v>10</v>
      </c>
      <c r="N2" s="61" t="s">
        <v>1466</v>
      </c>
      <c r="O2" s="61" t="s">
        <v>1132</v>
      </c>
      <c r="P2" s="61" t="s">
        <v>4471</v>
      </c>
      <c r="Q2" s="19" t="s">
        <v>12</v>
      </c>
      <c r="R2" s="19" t="s">
        <v>12</v>
      </c>
      <c r="S2" s="62" t="s">
        <v>1487</v>
      </c>
      <c r="T2" s="62" t="s">
        <v>1488</v>
      </c>
      <c r="U2" s="106" t="s">
        <v>1489</v>
      </c>
      <c r="V2" s="106" t="s">
        <v>1490</v>
      </c>
    </row>
    <row r="3" spans="1:22" s="2" customFormat="1" ht="20" customHeight="1" x14ac:dyDescent="0.25">
      <c r="A3" s="151"/>
      <c r="B3" s="157" t="s">
        <v>1473</v>
      </c>
      <c r="C3" s="157"/>
      <c r="D3" s="4"/>
      <c r="E3" s="4"/>
      <c r="F3" s="4"/>
      <c r="G3" s="8"/>
      <c r="H3" s="16">
        <v>38</v>
      </c>
      <c r="I3" s="16" t="s">
        <v>1115</v>
      </c>
      <c r="J3" s="16" t="s">
        <v>4335</v>
      </c>
      <c r="K3" s="16" t="s">
        <v>1099</v>
      </c>
      <c r="L3" s="16" t="s">
        <v>223</v>
      </c>
      <c r="M3" s="16">
        <v>2022</v>
      </c>
      <c r="N3" s="16" t="s">
        <v>1146</v>
      </c>
      <c r="O3" s="16" t="s">
        <v>4468</v>
      </c>
      <c r="P3" s="16" t="s">
        <v>4472</v>
      </c>
      <c r="Q3" s="16">
        <v>6</v>
      </c>
      <c r="R3" s="16"/>
      <c r="S3" s="16"/>
      <c r="T3" s="16"/>
      <c r="U3" s="39"/>
      <c r="V3" s="39"/>
    </row>
    <row r="4" spans="1:22" s="2" customFormat="1" ht="20" customHeight="1" x14ac:dyDescent="0.25">
      <c r="A4" s="151"/>
      <c r="B4" s="157" t="s">
        <v>1474</v>
      </c>
      <c r="C4" s="157"/>
      <c r="D4" s="4"/>
      <c r="E4" s="4"/>
      <c r="F4" s="4"/>
      <c r="G4" s="8"/>
      <c r="H4" s="16">
        <v>104</v>
      </c>
      <c r="I4" s="16" t="s">
        <v>1115</v>
      </c>
      <c r="J4" s="16" t="s">
        <v>4335</v>
      </c>
      <c r="K4" s="16" t="s">
        <v>1100</v>
      </c>
      <c r="L4" s="16" t="s">
        <v>223</v>
      </c>
      <c r="M4" s="16">
        <v>2022</v>
      </c>
      <c r="N4" s="16" t="s">
        <v>1146</v>
      </c>
      <c r="O4" s="16" t="s">
        <v>4468</v>
      </c>
      <c r="P4" s="16" t="s">
        <v>4472</v>
      </c>
      <c r="Q4" s="16">
        <v>7</v>
      </c>
      <c r="R4" s="16"/>
      <c r="S4" s="16"/>
      <c r="T4" s="16"/>
      <c r="U4" s="39"/>
      <c r="V4" s="39"/>
    </row>
    <row r="5" spans="1:22" s="2" customFormat="1" ht="20" customHeight="1" x14ac:dyDescent="0.25">
      <c r="A5" s="151"/>
      <c r="B5" s="157" t="s">
        <v>1520</v>
      </c>
      <c r="C5" s="157"/>
      <c r="D5" s="4"/>
      <c r="E5" s="4"/>
      <c r="F5" s="4"/>
      <c r="G5" s="8"/>
      <c r="H5" s="16">
        <v>105</v>
      </c>
      <c r="I5" s="16" t="s">
        <v>1115</v>
      </c>
      <c r="J5" s="16" t="s">
        <v>4335</v>
      </c>
      <c r="K5" s="16" t="s">
        <v>1100</v>
      </c>
      <c r="L5" s="16" t="s">
        <v>223</v>
      </c>
      <c r="M5" s="16">
        <v>2022</v>
      </c>
      <c r="N5" s="16" t="s">
        <v>1146</v>
      </c>
      <c r="O5" s="16" t="s">
        <v>4468</v>
      </c>
      <c r="P5" s="16" t="s">
        <v>4472</v>
      </c>
      <c r="Q5" s="16">
        <v>8</v>
      </c>
      <c r="R5" s="16"/>
      <c r="S5" s="16"/>
      <c r="T5" s="16"/>
      <c r="U5" s="39"/>
      <c r="V5" s="39"/>
    </row>
    <row r="6" spans="1:22" s="2" customFormat="1" ht="20" customHeight="1" thickBot="1" x14ac:dyDescent="0.3">
      <c r="A6" s="151"/>
      <c r="B6" s="162" t="s">
        <v>1475</v>
      </c>
      <c r="C6" s="162"/>
      <c r="D6" s="4"/>
      <c r="E6" s="4" t="s">
        <v>1132</v>
      </c>
      <c r="F6" s="4"/>
      <c r="G6" s="8"/>
      <c r="H6" s="16">
        <v>242</v>
      </c>
      <c r="I6" s="16" t="s">
        <v>1115</v>
      </c>
      <c r="J6" s="16" t="s">
        <v>4335</v>
      </c>
      <c r="K6" s="16" t="s">
        <v>1102</v>
      </c>
      <c r="L6" s="16" t="s">
        <v>223</v>
      </c>
      <c r="M6" s="16">
        <v>2022</v>
      </c>
      <c r="N6" s="16" t="s">
        <v>1146</v>
      </c>
      <c r="O6" s="16" t="s">
        <v>4468</v>
      </c>
      <c r="P6" s="16" t="s">
        <v>4472</v>
      </c>
      <c r="Q6" s="16">
        <v>9</v>
      </c>
      <c r="R6" s="16"/>
      <c r="S6" s="16"/>
      <c r="T6" s="16"/>
      <c r="U6" s="39"/>
      <c r="V6" s="39"/>
    </row>
    <row r="7" spans="1:22" s="2" customFormat="1" ht="20" customHeight="1" thickBot="1" x14ac:dyDescent="0.3">
      <c r="A7" s="151"/>
      <c r="B7" s="162" t="s">
        <v>1476</v>
      </c>
      <c r="C7" s="162"/>
      <c r="D7" s="4"/>
      <c r="E7" s="10" t="s">
        <v>1148</v>
      </c>
      <c r="F7" s="4"/>
      <c r="G7" s="8"/>
      <c r="H7" s="16">
        <v>522</v>
      </c>
      <c r="I7" s="16" t="s">
        <v>1115</v>
      </c>
      <c r="J7" s="16" t="s">
        <v>4335</v>
      </c>
      <c r="K7" s="16" t="s">
        <v>1105</v>
      </c>
      <c r="L7" s="16" t="s">
        <v>223</v>
      </c>
      <c r="M7" s="16">
        <v>2022</v>
      </c>
      <c r="N7" s="16" t="s">
        <v>1146</v>
      </c>
      <c r="O7" s="16" t="s">
        <v>4468</v>
      </c>
      <c r="P7" s="16" t="s">
        <v>4472</v>
      </c>
      <c r="Q7" s="16">
        <v>10</v>
      </c>
      <c r="R7" s="16"/>
      <c r="S7" s="16"/>
      <c r="T7" s="16"/>
      <c r="U7" s="39"/>
      <c r="V7" s="39"/>
    </row>
    <row r="8" spans="1:22" s="2" customFormat="1" ht="20" customHeight="1" x14ac:dyDescent="0.25">
      <c r="A8" s="151"/>
      <c r="B8" s="157" t="s">
        <v>1477</v>
      </c>
      <c r="C8" s="157"/>
      <c r="D8" s="24"/>
      <c r="E8" s="4"/>
      <c r="F8" s="4"/>
      <c r="G8" s="8"/>
      <c r="H8" s="16">
        <v>1107</v>
      </c>
      <c r="I8" s="16" t="s">
        <v>1115</v>
      </c>
      <c r="J8" s="16" t="s">
        <v>4335</v>
      </c>
      <c r="K8" s="16" t="s">
        <v>1113</v>
      </c>
      <c r="L8" s="16" t="s">
        <v>223</v>
      </c>
      <c r="M8" s="16">
        <v>2022</v>
      </c>
      <c r="N8" s="16" t="s">
        <v>1146</v>
      </c>
      <c r="O8" s="16" t="s">
        <v>4468</v>
      </c>
      <c r="P8" s="16" t="s">
        <v>4472</v>
      </c>
      <c r="Q8" s="16">
        <v>11</v>
      </c>
      <c r="R8" s="16"/>
      <c r="S8" s="16"/>
      <c r="T8" s="16"/>
      <c r="U8" s="39"/>
      <c r="V8" s="39"/>
    </row>
    <row r="9" spans="1:22" s="2" customFormat="1" ht="20" customHeight="1" x14ac:dyDescent="0.25">
      <c r="A9" s="151"/>
      <c r="B9" s="157" t="s">
        <v>1478</v>
      </c>
      <c r="C9" s="157"/>
      <c r="D9" s="24"/>
      <c r="E9" s="109" t="s">
        <v>1493</v>
      </c>
      <c r="F9" s="4"/>
      <c r="G9" s="8"/>
      <c r="H9" s="16">
        <v>1221</v>
      </c>
      <c r="I9" s="16" t="s">
        <v>1115</v>
      </c>
      <c r="J9" s="16" t="s">
        <v>4335</v>
      </c>
      <c r="K9" s="16" t="s">
        <v>1114</v>
      </c>
      <c r="L9" s="16" t="s">
        <v>223</v>
      </c>
      <c r="M9" s="16">
        <v>2022</v>
      </c>
      <c r="N9" s="16" t="s">
        <v>1146</v>
      </c>
      <c r="O9" s="16" t="s">
        <v>4468</v>
      </c>
      <c r="P9" s="16" t="s">
        <v>4472</v>
      </c>
      <c r="Q9" s="16">
        <v>12</v>
      </c>
      <c r="R9" s="16"/>
      <c r="S9" s="16"/>
      <c r="T9" s="16"/>
      <c r="U9" s="39"/>
      <c r="V9" s="39"/>
    </row>
    <row r="10" spans="1:22" s="2" customFormat="1" ht="20" customHeight="1" x14ac:dyDescent="0.25">
      <c r="A10" s="151"/>
      <c r="B10" s="157" t="s">
        <v>4483</v>
      </c>
      <c r="C10" s="157"/>
      <c r="D10" s="24"/>
      <c r="E10" s="110" t="str">
        <f>IF(Tracking임시!G2="","",Tracking임시!G2)</f>
        <v/>
      </c>
      <c r="F10" s="4"/>
      <c r="G10" s="8"/>
      <c r="H10" s="16">
        <v>1609</v>
      </c>
      <c r="I10" s="16" t="s">
        <v>1115</v>
      </c>
      <c r="J10" s="16" t="s">
        <v>4335</v>
      </c>
      <c r="K10" s="16" t="s">
        <v>1114</v>
      </c>
      <c r="L10" s="16" t="s">
        <v>223</v>
      </c>
      <c r="M10" s="16">
        <v>2022</v>
      </c>
      <c r="N10" s="16" t="s">
        <v>1146</v>
      </c>
      <c r="O10" s="16" t="s">
        <v>4468</v>
      </c>
      <c r="P10" s="16" t="s">
        <v>4472</v>
      </c>
      <c r="Q10" s="16">
        <v>13</v>
      </c>
      <c r="R10" s="16"/>
      <c r="S10" s="16"/>
      <c r="T10" s="16"/>
      <c r="U10" s="39"/>
      <c r="V10" s="39"/>
    </row>
    <row r="11" spans="1:22" s="2" customFormat="1" ht="20" customHeight="1" x14ac:dyDescent="0.25">
      <c r="A11" s="151"/>
      <c r="B11" s="157" t="s">
        <v>4355</v>
      </c>
      <c r="C11" s="157"/>
      <c r="D11" s="24"/>
      <c r="E11" s="110" t="str">
        <f>IF(Tracking임시!G3="","",Tracking임시!G3)</f>
        <v/>
      </c>
      <c r="F11" s="4"/>
      <c r="G11" s="8"/>
      <c r="H11" s="16">
        <v>1041</v>
      </c>
      <c r="I11" s="16" t="s">
        <v>1115</v>
      </c>
      <c r="J11" s="16" t="s">
        <v>4335</v>
      </c>
      <c r="K11" s="16" t="s">
        <v>1112</v>
      </c>
      <c r="L11" s="16" t="s">
        <v>223</v>
      </c>
      <c r="M11" s="16">
        <v>2022</v>
      </c>
      <c r="N11" s="16" t="s">
        <v>1146</v>
      </c>
      <c r="O11" s="16" t="s">
        <v>4339</v>
      </c>
      <c r="P11" s="16" t="s">
        <v>4437</v>
      </c>
      <c r="Q11" s="16">
        <v>25</v>
      </c>
      <c r="R11" s="16"/>
      <c r="S11" s="16"/>
      <c r="T11" s="16"/>
      <c r="U11" s="39"/>
      <c r="V11" s="39"/>
    </row>
    <row r="12" spans="1:22" s="2" customFormat="1" ht="20" customHeight="1" x14ac:dyDescent="0.25">
      <c r="A12" s="151"/>
      <c r="B12" s="157" t="s">
        <v>1479</v>
      </c>
      <c r="C12" s="157"/>
      <c r="D12" s="24"/>
      <c r="E12" s="110" t="str">
        <f>IF(Tracking임시!G4="","",Tracking임시!G4)</f>
        <v/>
      </c>
      <c r="F12" s="4"/>
      <c r="G12" s="8"/>
      <c r="H12" s="16">
        <v>524</v>
      </c>
      <c r="I12" s="16" t="s">
        <v>1115</v>
      </c>
      <c r="J12" s="16" t="s">
        <v>4335</v>
      </c>
      <c r="K12" s="16" t="s">
        <v>1105</v>
      </c>
      <c r="L12" s="16" t="s">
        <v>223</v>
      </c>
      <c r="M12" s="16">
        <v>2022</v>
      </c>
      <c r="N12" s="16" t="s">
        <v>1146</v>
      </c>
      <c r="O12" s="16" t="s">
        <v>4339</v>
      </c>
      <c r="P12" s="16" t="s">
        <v>4437</v>
      </c>
      <c r="Q12" s="16">
        <v>20</v>
      </c>
      <c r="R12" s="16"/>
      <c r="S12" s="16"/>
      <c r="T12" s="16"/>
      <c r="U12" s="39"/>
      <c r="V12" s="39"/>
    </row>
    <row r="13" spans="1:22" s="2" customFormat="1" ht="20" customHeight="1" x14ac:dyDescent="0.25">
      <c r="A13" s="112"/>
      <c r="B13" s="156"/>
      <c r="C13" s="156"/>
      <c r="D13" s="24"/>
      <c r="E13" s="110" t="str">
        <f>IF(Tracking임시!G5="","",Tracking임시!G5)</f>
        <v/>
      </c>
      <c r="F13" s="4"/>
      <c r="G13" s="8"/>
      <c r="H13" s="16">
        <v>1042</v>
      </c>
      <c r="I13" s="16" t="s">
        <v>1115</v>
      </c>
      <c r="J13" s="16" t="s">
        <v>4335</v>
      </c>
      <c r="K13" s="16" t="s">
        <v>1112</v>
      </c>
      <c r="L13" s="16" t="s">
        <v>223</v>
      </c>
      <c r="M13" s="16">
        <v>2022</v>
      </c>
      <c r="N13" s="16" t="s">
        <v>1146</v>
      </c>
      <c r="O13" s="16" t="s">
        <v>4339</v>
      </c>
      <c r="P13" s="16" t="s">
        <v>4437</v>
      </c>
      <c r="Q13" s="16">
        <v>26</v>
      </c>
      <c r="R13" s="16"/>
      <c r="S13" s="16"/>
      <c r="T13" s="16"/>
      <c r="U13" s="39"/>
      <c r="V13" s="39"/>
    </row>
    <row r="14" spans="1:22" s="2" customFormat="1" ht="20" customHeight="1" x14ac:dyDescent="0.25">
      <c r="A14" s="112"/>
      <c r="B14" s="156"/>
      <c r="C14" s="156"/>
      <c r="D14" s="24"/>
      <c r="E14" s="110" t="str">
        <f>IF(Tracking임시!G6="","",Tracking임시!G6)</f>
        <v/>
      </c>
      <c r="F14" s="4"/>
      <c r="G14" s="8"/>
      <c r="H14" s="16">
        <v>1111</v>
      </c>
      <c r="I14" s="16" t="s">
        <v>1115</v>
      </c>
      <c r="J14" s="16" t="s">
        <v>4335</v>
      </c>
      <c r="K14" s="16" t="s">
        <v>1113</v>
      </c>
      <c r="L14" s="16" t="s">
        <v>223</v>
      </c>
      <c r="M14" s="16">
        <v>2022</v>
      </c>
      <c r="N14" s="16" t="s">
        <v>1146</v>
      </c>
      <c r="O14" s="16" t="s">
        <v>4339</v>
      </c>
      <c r="P14" s="16" t="s">
        <v>4437</v>
      </c>
      <c r="Q14" s="16">
        <v>27</v>
      </c>
      <c r="R14" s="16"/>
      <c r="S14" s="16"/>
      <c r="T14" s="16"/>
      <c r="U14" s="39"/>
      <c r="V14" s="39"/>
    </row>
    <row r="15" spans="1:22" s="2" customFormat="1" ht="20" customHeight="1" x14ac:dyDescent="0.25">
      <c r="A15" s="112"/>
      <c r="B15" s="156" t="s">
        <v>5</v>
      </c>
      <c r="C15" s="156"/>
      <c r="D15" s="24"/>
      <c r="E15" s="110" t="str">
        <f>IF(Tracking임시!G7="","",Tracking임시!G7)</f>
        <v/>
      </c>
      <c r="F15" s="4"/>
      <c r="G15" s="8"/>
      <c r="H15" s="16">
        <v>1112</v>
      </c>
      <c r="I15" s="16" t="s">
        <v>1115</v>
      </c>
      <c r="J15" s="16" t="s">
        <v>4335</v>
      </c>
      <c r="K15" s="16" t="s">
        <v>1113</v>
      </c>
      <c r="L15" s="16" t="s">
        <v>223</v>
      </c>
      <c r="M15" s="16">
        <v>2022</v>
      </c>
      <c r="N15" s="16" t="s">
        <v>1146</v>
      </c>
      <c r="O15" s="16" t="s">
        <v>4339</v>
      </c>
      <c r="P15" s="16" t="s">
        <v>4437</v>
      </c>
      <c r="Q15" s="16">
        <v>28</v>
      </c>
      <c r="R15" s="16"/>
      <c r="S15" s="16"/>
      <c r="T15" s="16"/>
      <c r="U15" s="39"/>
      <c r="V15" s="39"/>
    </row>
    <row r="16" spans="1:22" s="2" customFormat="1" ht="20" customHeight="1" x14ac:dyDescent="0.25">
      <c r="A16" s="112"/>
      <c r="B16" s="156" t="s">
        <v>6</v>
      </c>
      <c r="C16" s="156"/>
      <c r="D16" s="24"/>
      <c r="E16" s="110" t="str">
        <f>IF(Tracking임시!G8="","",Tracking임시!G8)</f>
        <v/>
      </c>
      <c r="F16" s="4"/>
      <c r="G16" s="8"/>
      <c r="H16" s="16">
        <v>1611</v>
      </c>
      <c r="I16" s="16" t="s">
        <v>1115</v>
      </c>
      <c r="J16" s="16" t="s">
        <v>4335</v>
      </c>
      <c r="K16" s="16" t="s">
        <v>1114</v>
      </c>
      <c r="L16" s="16" t="s">
        <v>223</v>
      </c>
      <c r="M16" s="16">
        <v>2022</v>
      </c>
      <c r="N16" s="16" t="s">
        <v>1146</v>
      </c>
      <c r="O16" s="16" t="s">
        <v>4339</v>
      </c>
      <c r="P16" s="16" t="s">
        <v>4437</v>
      </c>
      <c r="Q16" s="16">
        <v>29</v>
      </c>
      <c r="R16" s="16"/>
      <c r="S16" s="16"/>
      <c r="T16" s="16"/>
      <c r="U16" s="39"/>
      <c r="V16" s="39"/>
    </row>
    <row r="17" spans="1:22" s="2" customFormat="1" ht="20" customHeight="1" x14ac:dyDescent="0.25">
      <c r="A17" s="112"/>
      <c r="B17" s="112"/>
      <c r="C17" s="112"/>
      <c r="D17" s="24"/>
      <c r="E17" s="110" t="str">
        <f>IF(Tracking임시!G9="","",Tracking임시!G9)</f>
        <v/>
      </c>
      <c r="F17" s="4"/>
      <c r="G17" s="8"/>
      <c r="H17" s="16">
        <v>1612</v>
      </c>
      <c r="I17" s="16" t="s">
        <v>1115</v>
      </c>
      <c r="J17" s="16" t="s">
        <v>4335</v>
      </c>
      <c r="K17" s="16" t="s">
        <v>1114</v>
      </c>
      <c r="L17" s="16" t="s">
        <v>223</v>
      </c>
      <c r="M17" s="16">
        <v>2022</v>
      </c>
      <c r="N17" s="16" t="s">
        <v>1146</v>
      </c>
      <c r="O17" s="16" t="s">
        <v>4339</v>
      </c>
      <c r="P17" s="16" t="s">
        <v>4437</v>
      </c>
      <c r="Q17" s="16">
        <v>30</v>
      </c>
      <c r="R17" s="16"/>
      <c r="S17" s="16"/>
      <c r="T17" s="16"/>
      <c r="U17" s="39"/>
      <c r="V17" s="39"/>
    </row>
    <row r="18" spans="1:22" s="2" customFormat="1" ht="20" customHeight="1" x14ac:dyDescent="0.25">
      <c r="A18" s="112"/>
      <c r="B18" s="158" t="s">
        <v>1098</v>
      </c>
      <c r="C18" s="158"/>
      <c r="D18" s="24"/>
      <c r="E18" s="110" t="str">
        <f>IF(Tracking임시!G10="","",Tracking임시!G10)</f>
        <v/>
      </c>
      <c r="F18" s="4"/>
      <c r="G18" s="8"/>
      <c r="H18" s="16">
        <v>57</v>
      </c>
      <c r="I18" s="16" t="s">
        <v>1115</v>
      </c>
      <c r="J18" s="16" t="s">
        <v>4335</v>
      </c>
      <c r="K18" s="16" t="s">
        <v>1099</v>
      </c>
      <c r="L18" s="16" t="s">
        <v>223</v>
      </c>
      <c r="M18" s="16">
        <v>2022</v>
      </c>
      <c r="N18" s="16" t="s">
        <v>1146</v>
      </c>
      <c r="O18" s="16" t="s">
        <v>4469</v>
      </c>
      <c r="P18" s="16" t="s">
        <v>4437</v>
      </c>
      <c r="Q18" s="16">
        <v>31</v>
      </c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>
        <v>252</v>
      </c>
      <c r="I19" s="16" t="s">
        <v>1115</v>
      </c>
      <c r="J19" s="16" t="s">
        <v>4335</v>
      </c>
      <c r="K19" s="16" t="s">
        <v>1102</v>
      </c>
      <c r="L19" s="16" t="s">
        <v>223</v>
      </c>
      <c r="M19" s="16">
        <v>2022</v>
      </c>
      <c r="N19" s="16" t="s">
        <v>1146</v>
      </c>
      <c r="O19" s="16" t="s">
        <v>4469</v>
      </c>
      <c r="P19" s="16" t="s">
        <v>4437</v>
      </c>
      <c r="Q19" s="16">
        <v>32</v>
      </c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>
        <v>163</v>
      </c>
      <c r="I20" s="16" t="s">
        <v>1115</v>
      </c>
      <c r="J20" s="16" t="s">
        <v>4335</v>
      </c>
      <c r="K20" s="16" t="s">
        <v>1101</v>
      </c>
      <c r="L20" s="16" t="s">
        <v>223</v>
      </c>
      <c r="M20" s="16">
        <v>2022</v>
      </c>
      <c r="N20" s="16" t="s">
        <v>1146</v>
      </c>
      <c r="O20" s="16" t="s">
        <v>4470</v>
      </c>
      <c r="P20" s="16" t="s">
        <v>4437</v>
      </c>
      <c r="Q20" s="16">
        <v>33</v>
      </c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>
        <v>343</v>
      </c>
      <c r="I21" s="16" t="s">
        <v>1115</v>
      </c>
      <c r="J21" s="16" t="s">
        <v>4335</v>
      </c>
      <c r="K21" s="16" t="s">
        <v>1103</v>
      </c>
      <c r="L21" s="16" t="s">
        <v>223</v>
      </c>
      <c r="M21" s="16">
        <v>2022</v>
      </c>
      <c r="N21" s="16" t="s">
        <v>1146</v>
      </c>
      <c r="O21" s="16" t="s">
        <v>4470</v>
      </c>
      <c r="P21" s="16" t="s">
        <v>4437</v>
      </c>
      <c r="Q21" s="16">
        <v>34</v>
      </c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>
        <v>344</v>
      </c>
      <c r="I22" s="16" t="s">
        <v>1115</v>
      </c>
      <c r="J22" s="16" t="s">
        <v>4335</v>
      </c>
      <c r="K22" s="16" t="s">
        <v>1103</v>
      </c>
      <c r="L22" s="16" t="s">
        <v>223</v>
      </c>
      <c r="M22" s="16">
        <v>2022</v>
      </c>
      <c r="N22" s="16" t="s">
        <v>1146</v>
      </c>
      <c r="O22" s="16" t="s">
        <v>4470</v>
      </c>
      <c r="P22" s="16" t="s">
        <v>4437</v>
      </c>
      <c r="Q22" s="16">
        <v>35</v>
      </c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>
        <v>1036</v>
      </c>
      <c r="I23" s="16" t="s">
        <v>1115</v>
      </c>
      <c r="J23" s="16" t="s">
        <v>4335</v>
      </c>
      <c r="K23" s="16" t="s">
        <v>1112</v>
      </c>
      <c r="L23" s="16" t="s">
        <v>223</v>
      </c>
      <c r="M23" s="16">
        <v>2022</v>
      </c>
      <c r="N23" s="16" t="s">
        <v>1146</v>
      </c>
      <c r="O23" s="16" t="s">
        <v>4338</v>
      </c>
      <c r="P23" s="16" t="s">
        <v>4437</v>
      </c>
      <c r="Q23" s="16">
        <v>36</v>
      </c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>
        <v>1038</v>
      </c>
      <c r="I24" s="16" t="s">
        <v>1115</v>
      </c>
      <c r="J24" s="16" t="s">
        <v>4335</v>
      </c>
      <c r="K24" s="16" t="s">
        <v>1112</v>
      </c>
      <c r="L24" s="16" t="s">
        <v>223</v>
      </c>
      <c r="M24" s="16">
        <v>2022</v>
      </c>
      <c r="N24" s="16" t="s">
        <v>1146</v>
      </c>
      <c r="O24" s="16" t="s">
        <v>4338</v>
      </c>
      <c r="P24" s="16" t="s">
        <v>4437</v>
      </c>
      <c r="Q24" s="16">
        <v>37</v>
      </c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>
        <v>1225</v>
      </c>
      <c r="I25" s="16" t="s">
        <v>1115</v>
      </c>
      <c r="J25" s="16" t="s">
        <v>4335</v>
      </c>
      <c r="K25" s="16" t="s">
        <v>1114</v>
      </c>
      <c r="L25" s="16" t="s">
        <v>223</v>
      </c>
      <c r="M25" s="16">
        <v>2022</v>
      </c>
      <c r="N25" s="16" t="s">
        <v>1146</v>
      </c>
      <c r="O25" s="16" t="s">
        <v>4338</v>
      </c>
      <c r="P25" s="16" t="s">
        <v>4437</v>
      </c>
      <c r="Q25" s="16">
        <v>38</v>
      </c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>
        <v>1040</v>
      </c>
      <c r="I26" s="16" t="s">
        <v>1115</v>
      </c>
      <c r="J26" s="16" t="s">
        <v>4335</v>
      </c>
      <c r="K26" s="16" t="s">
        <v>1112</v>
      </c>
      <c r="L26" s="16" t="s">
        <v>223</v>
      </c>
      <c r="M26" s="16">
        <v>2022</v>
      </c>
      <c r="N26" s="16" t="s">
        <v>1146</v>
      </c>
      <c r="O26" s="16" t="s">
        <v>4339</v>
      </c>
      <c r="P26" s="16" t="s">
        <v>4437</v>
      </c>
      <c r="Q26" s="16">
        <v>24</v>
      </c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>
        <v>1039</v>
      </c>
      <c r="I27" s="16" t="s">
        <v>1115</v>
      </c>
      <c r="J27" s="16" t="s">
        <v>4335</v>
      </c>
      <c r="K27" s="16" t="s">
        <v>1112</v>
      </c>
      <c r="L27" s="16" t="s">
        <v>223</v>
      </c>
      <c r="M27" s="16">
        <v>2022</v>
      </c>
      <c r="N27" s="16" t="s">
        <v>1146</v>
      </c>
      <c r="O27" s="16" t="s">
        <v>4339</v>
      </c>
      <c r="P27" s="16" t="s">
        <v>4437</v>
      </c>
      <c r="Q27" s="16">
        <v>23</v>
      </c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>
        <v>606</v>
      </c>
      <c r="I28" s="16" t="s">
        <v>1115</v>
      </c>
      <c r="J28" s="16" t="s">
        <v>4335</v>
      </c>
      <c r="K28" s="16" t="s">
        <v>1106</v>
      </c>
      <c r="L28" s="16" t="s">
        <v>223</v>
      </c>
      <c r="M28" s="16">
        <v>2022</v>
      </c>
      <c r="N28" s="16" t="s">
        <v>1146</v>
      </c>
      <c r="O28" s="16" t="s">
        <v>4339</v>
      </c>
      <c r="P28" s="16" t="s">
        <v>4437</v>
      </c>
      <c r="Q28" s="16">
        <v>22</v>
      </c>
      <c r="R28" s="16"/>
      <c r="S28" s="16"/>
      <c r="T28" s="16"/>
      <c r="U28" s="39"/>
      <c r="V28" s="39"/>
    </row>
    <row r="29" spans="1:22" ht="20" customHeight="1" x14ac:dyDescent="0.25">
      <c r="H29" s="16">
        <v>605</v>
      </c>
      <c r="I29" s="16" t="s">
        <v>1115</v>
      </c>
      <c r="J29" s="16" t="s">
        <v>4335</v>
      </c>
      <c r="K29" s="16" t="s">
        <v>1106</v>
      </c>
      <c r="L29" s="16" t="s">
        <v>223</v>
      </c>
      <c r="M29" s="16">
        <v>2022</v>
      </c>
      <c r="N29" s="16" t="s">
        <v>1146</v>
      </c>
      <c r="O29" s="16" t="s">
        <v>4339</v>
      </c>
      <c r="P29" s="16" t="s">
        <v>4437</v>
      </c>
      <c r="Q29" s="16">
        <v>21</v>
      </c>
      <c r="R29" s="16"/>
      <c r="S29" s="16"/>
      <c r="T29" s="16"/>
      <c r="U29" s="39"/>
      <c r="V29" s="39"/>
    </row>
    <row r="30" spans="1:22" ht="20" customHeight="1" x14ac:dyDescent="0.25">
      <c r="H30" s="16">
        <v>523</v>
      </c>
      <c r="I30" s="16" t="s">
        <v>1115</v>
      </c>
      <c r="J30" s="16" t="s">
        <v>4335</v>
      </c>
      <c r="K30" s="16" t="s">
        <v>1105</v>
      </c>
      <c r="L30" s="16" t="s">
        <v>223</v>
      </c>
      <c r="M30" s="16">
        <v>2022</v>
      </c>
      <c r="N30" s="16" t="s">
        <v>1146</v>
      </c>
      <c r="O30" s="16" t="s">
        <v>4339</v>
      </c>
      <c r="P30" s="16" t="s">
        <v>4437</v>
      </c>
      <c r="Q30" s="16">
        <v>19</v>
      </c>
      <c r="R30" s="16"/>
      <c r="S30" s="16"/>
      <c r="T30" s="16"/>
      <c r="U30" s="39"/>
      <c r="V30" s="39"/>
    </row>
    <row r="31" spans="1:22" ht="20" customHeight="1" x14ac:dyDescent="0.25">
      <c r="H31" s="16">
        <v>348</v>
      </c>
      <c r="I31" s="16" t="s">
        <v>1115</v>
      </c>
      <c r="J31" s="16" t="s">
        <v>4335</v>
      </c>
      <c r="K31" s="16" t="s">
        <v>1103</v>
      </c>
      <c r="L31" s="16" t="s">
        <v>223</v>
      </c>
      <c r="M31" s="16">
        <v>2022</v>
      </c>
      <c r="N31" s="16" t="s">
        <v>1146</v>
      </c>
      <c r="O31" s="16" t="s">
        <v>4339</v>
      </c>
      <c r="P31" s="16" t="s">
        <v>4437</v>
      </c>
      <c r="Q31" s="16">
        <v>18</v>
      </c>
      <c r="R31" s="16"/>
      <c r="S31" s="16"/>
      <c r="T31" s="16"/>
      <c r="U31" s="39"/>
      <c r="V31" s="39"/>
    </row>
    <row r="32" spans="1:22" ht="20" customHeight="1" x14ac:dyDescent="0.25">
      <c r="H32" s="16">
        <v>347</v>
      </c>
      <c r="I32" s="16" t="s">
        <v>1115</v>
      </c>
      <c r="J32" s="16" t="s">
        <v>4335</v>
      </c>
      <c r="K32" s="16" t="s">
        <v>1103</v>
      </c>
      <c r="L32" s="16" t="s">
        <v>223</v>
      </c>
      <c r="M32" s="16">
        <v>2022</v>
      </c>
      <c r="N32" s="16" t="s">
        <v>1146</v>
      </c>
      <c r="O32" s="16" t="s">
        <v>4339</v>
      </c>
      <c r="P32" s="16" t="s">
        <v>4437</v>
      </c>
      <c r="Q32" s="16">
        <v>17</v>
      </c>
      <c r="R32" s="16"/>
      <c r="S32" s="16"/>
      <c r="T32" s="16"/>
      <c r="U32" s="39"/>
      <c r="V32" s="39"/>
    </row>
    <row r="33" spans="8:22" ht="20" customHeight="1" x14ac:dyDescent="0.25">
      <c r="H33" s="16">
        <v>165</v>
      </c>
      <c r="I33" s="16" t="s">
        <v>1115</v>
      </c>
      <c r="J33" s="16" t="s">
        <v>4335</v>
      </c>
      <c r="K33" s="16" t="s">
        <v>1101</v>
      </c>
      <c r="L33" s="16" t="s">
        <v>223</v>
      </c>
      <c r="M33" s="16">
        <v>2022</v>
      </c>
      <c r="N33" s="16" t="s">
        <v>1146</v>
      </c>
      <c r="O33" s="16" t="s">
        <v>4339</v>
      </c>
      <c r="P33" s="16" t="s">
        <v>4437</v>
      </c>
      <c r="Q33" s="16">
        <v>16</v>
      </c>
      <c r="R33" s="16"/>
      <c r="S33" s="16"/>
      <c r="T33" s="16"/>
      <c r="U33" s="39"/>
      <c r="V33" s="39"/>
    </row>
    <row r="34" spans="8:22" ht="20" customHeight="1" x14ac:dyDescent="0.25">
      <c r="H34" s="16">
        <v>107</v>
      </c>
      <c r="I34" s="16" t="s">
        <v>1115</v>
      </c>
      <c r="J34" s="16" t="s">
        <v>4335</v>
      </c>
      <c r="K34" s="16" t="s">
        <v>1100</v>
      </c>
      <c r="L34" s="16" t="s">
        <v>223</v>
      </c>
      <c r="M34" s="16">
        <v>2022</v>
      </c>
      <c r="N34" s="16" t="s">
        <v>1146</v>
      </c>
      <c r="O34" s="16" t="s">
        <v>4339</v>
      </c>
      <c r="P34" s="16" t="s">
        <v>4437</v>
      </c>
      <c r="Q34" s="16">
        <v>15</v>
      </c>
      <c r="R34" s="16"/>
      <c r="S34" s="16"/>
      <c r="T34" s="16"/>
      <c r="U34" s="39"/>
      <c r="V34" s="39"/>
    </row>
    <row r="35" spans="8:22" ht="20" customHeight="1" x14ac:dyDescent="0.25">
      <c r="H35" s="16">
        <v>106</v>
      </c>
      <c r="I35" s="16" t="s">
        <v>1115</v>
      </c>
      <c r="J35" s="16" t="s">
        <v>4335</v>
      </c>
      <c r="K35" s="16" t="s">
        <v>1100</v>
      </c>
      <c r="L35" s="16" t="s">
        <v>223</v>
      </c>
      <c r="M35" s="16">
        <v>2022</v>
      </c>
      <c r="N35" s="16" t="s">
        <v>1146</v>
      </c>
      <c r="O35" s="16" t="s">
        <v>4339</v>
      </c>
      <c r="P35" s="16" t="s">
        <v>4437</v>
      </c>
      <c r="Q35" s="16">
        <v>14</v>
      </c>
      <c r="R35" s="16"/>
      <c r="S35" s="16"/>
      <c r="T35" s="16"/>
      <c r="U35" s="39"/>
      <c r="V35" s="39"/>
    </row>
    <row r="36" spans="8:22" ht="20" customHeight="1" x14ac:dyDescent="0.25">
      <c r="H36" s="16">
        <v>1226</v>
      </c>
      <c r="I36" s="16" t="s">
        <v>1115</v>
      </c>
      <c r="J36" s="16" t="s">
        <v>4335</v>
      </c>
      <c r="K36" s="16" t="s">
        <v>1114</v>
      </c>
      <c r="L36" s="16" t="s">
        <v>223</v>
      </c>
      <c r="M36" s="16">
        <v>2022</v>
      </c>
      <c r="N36" s="16" t="s">
        <v>1146</v>
      </c>
      <c r="O36" s="16" t="s">
        <v>4338</v>
      </c>
      <c r="P36" s="16" t="s">
        <v>4437</v>
      </c>
      <c r="Q36" s="16">
        <v>39</v>
      </c>
      <c r="R36" s="16"/>
      <c r="S36" s="16"/>
      <c r="T36" s="16"/>
      <c r="U36" s="39"/>
      <c r="V36" s="39"/>
    </row>
    <row r="37" spans="8:22" ht="20" customHeight="1" x14ac:dyDescent="0.25">
      <c r="H37" s="16">
        <v>1229</v>
      </c>
      <c r="I37" s="16" t="s">
        <v>1115</v>
      </c>
      <c r="J37" s="16" t="s">
        <v>4335</v>
      </c>
      <c r="K37" s="16" t="s">
        <v>1114</v>
      </c>
      <c r="L37" s="16" t="s">
        <v>223</v>
      </c>
      <c r="M37" s="16">
        <v>2022</v>
      </c>
      <c r="N37" s="16" t="s">
        <v>1146</v>
      </c>
      <c r="O37" s="16" t="s">
        <v>4338</v>
      </c>
      <c r="P37" s="16" t="s">
        <v>4437</v>
      </c>
      <c r="Q37" s="16">
        <v>40</v>
      </c>
      <c r="R37" s="16"/>
      <c r="S37" s="16"/>
      <c r="T37" s="16"/>
      <c r="U37" s="39"/>
      <c r="V37" s="39"/>
    </row>
    <row r="38" spans="8:22" ht="20" customHeight="1" x14ac:dyDescent="0.25">
      <c r="H38" s="16">
        <v>1230</v>
      </c>
      <c r="I38" s="16" t="s">
        <v>1115</v>
      </c>
      <c r="J38" s="16" t="s">
        <v>4335</v>
      </c>
      <c r="K38" s="16" t="s">
        <v>1114</v>
      </c>
      <c r="L38" s="16" t="s">
        <v>223</v>
      </c>
      <c r="M38" s="16">
        <v>2022</v>
      </c>
      <c r="N38" s="16" t="s">
        <v>1146</v>
      </c>
      <c r="O38" s="16" t="s">
        <v>4338</v>
      </c>
      <c r="P38" s="16" t="s">
        <v>4437</v>
      </c>
      <c r="Q38" s="16">
        <v>41</v>
      </c>
      <c r="R38" s="16"/>
      <c r="S38" s="16"/>
      <c r="T38" s="16"/>
      <c r="U38" s="39"/>
      <c r="V38" s="39"/>
    </row>
    <row r="39" spans="8:22" ht="20" customHeight="1" x14ac:dyDescent="0.25">
      <c r="H39" s="16">
        <v>664</v>
      </c>
      <c r="I39" s="16" t="s">
        <v>1115</v>
      </c>
      <c r="J39" s="16" t="s">
        <v>4335</v>
      </c>
      <c r="K39" s="16" t="s">
        <v>1107</v>
      </c>
      <c r="L39" s="16" t="s">
        <v>223</v>
      </c>
      <c r="M39" s="16">
        <v>2022</v>
      </c>
      <c r="N39" s="16" t="s">
        <v>1146</v>
      </c>
      <c r="O39" s="16" t="s">
        <v>4338</v>
      </c>
      <c r="P39" s="16" t="s">
        <v>4473</v>
      </c>
      <c r="Q39" s="16">
        <v>3</v>
      </c>
      <c r="R39" s="16"/>
      <c r="S39" s="16"/>
      <c r="T39" s="16"/>
      <c r="U39" s="39"/>
      <c r="V39" s="39"/>
    </row>
    <row r="40" spans="8:22" ht="20" customHeight="1" x14ac:dyDescent="0.25">
      <c r="H40" s="16">
        <v>341</v>
      </c>
      <c r="I40" s="16" t="s">
        <v>1115</v>
      </c>
      <c r="J40" s="16" t="s">
        <v>4335</v>
      </c>
      <c r="K40" s="16" t="s">
        <v>1103</v>
      </c>
      <c r="L40" s="16" t="s">
        <v>223</v>
      </c>
      <c r="M40" s="16">
        <v>2022</v>
      </c>
      <c r="N40" s="16" t="s">
        <v>1146</v>
      </c>
      <c r="O40" s="16" t="s">
        <v>4470</v>
      </c>
      <c r="P40" s="16" t="s">
        <v>4473</v>
      </c>
      <c r="Q40" s="16">
        <v>5</v>
      </c>
      <c r="R40" s="16"/>
      <c r="S40" s="16"/>
      <c r="T40" s="16"/>
      <c r="U40" s="39"/>
      <c r="V40" s="39"/>
    </row>
    <row r="41" spans="8:22" ht="20" customHeight="1" x14ac:dyDescent="0.25">
      <c r="H41" s="16">
        <v>163</v>
      </c>
      <c r="I41" s="16" t="s">
        <v>1115</v>
      </c>
      <c r="J41" s="16" t="s">
        <v>4335</v>
      </c>
      <c r="K41" s="16" t="s">
        <v>1101</v>
      </c>
      <c r="L41" s="16" t="s">
        <v>223</v>
      </c>
      <c r="M41" s="16">
        <v>2022</v>
      </c>
      <c r="N41" s="16" t="s">
        <v>1146</v>
      </c>
      <c r="O41" s="16" t="s">
        <v>4470</v>
      </c>
      <c r="P41" s="16" t="s">
        <v>4473</v>
      </c>
      <c r="Q41" s="16">
        <v>4</v>
      </c>
      <c r="R41" s="16"/>
      <c r="S41" s="16"/>
      <c r="T41" s="16"/>
      <c r="U41" s="39"/>
      <c r="V41" s="39"/>
    </row>
    <row r="42" spans="8:22" ht="20" customHeight="1" x14ac:dyDescent="0.25">
      <c r="H42" s="16">
        <v>663</v>
      </c>
      <c r="I42" s="16" t="s">
        <v>1115</v>
      </c>
      <c r="J42" s="16" t="s">
        <v>4335</v>
      </c>
      <c r="K42" s="16" t="s">
        <v>1107</v>
      </c>
      <c r="L42" s="16" t="s">
        <v>223</v>
      </c>
      <c r="M42" s="16">
        <v>2022</v>
      </c>
      <c r="N42" s="16" t="s">
        <v>1146</v>
      </c>
      <c r="O42" s="16" t="s">
        <v>4338</v>
      </c>
      <c r="P42" s="16" t="s">
        <v>4473</v>
      </c>
      <c r="Q42" s="16">
        <v>2</v>
      </c>
      <c r="R42" s="16"/>
      <c r="S42" s="16"/>
      <c r="T42" s="16"/>
      <c r="U42" s="39"/>
      <c r="V42" s="39"/>
    </row>
    <row r="43" spans="8:22" ht="20" customHeight="1" x14ac:dyDescent="0.25">
      <c r="H43" s="16">
        <v>10</v>
      </c>
      <c r="I43" s="16" t="s">
        <v>1115</v>
      </c>
      <c r="J43" s="16" t="s">
        <v>4335</v>
      </c>
      <c r="K43" s="16" t="s">
        <v>1099</v>
      </c>
      <c r="L43" s="16" t="s">
        <v>223</v>
      </c>
      <c r="M43" s="16">
        <v>2022</v>
      </c>
      <c r="N43" s="16" t="s">
        <v>1146</v>
      </c>
      <c r="O43" s="16" t="s">
        <v>4462</v>
      </c>
      <c r="P43" s="16" t="s">
        <v>4489</v>
      </c>
      <c r="Q43" s="16">
        <v>42</v>
      </c>
      <c r="R43" s="16">
        <v>85</v>
      </c>
      <c r="S43" s="16" t="s">
        <v>4493</v>
      </c>
      <c r="T43" s="16" t="s">
        <v>1519</v>
      </c>
      <c r="U43" s="39">
        <v>44515</v>
      </c>
      <c r="V43" s="39">
        <v>44529</v>
      </c>
    </row>
    <row r="44" spans="8:22" ht="20" customHeight="1" x14ac:dyDescent="0.25">
      <c r="H44" s="16">
        <v>20</v>
      </c>
      <c r="I44" s="16" t="s">
        <v>1115</v>
      </c>
      <c r="J44" s="16" t="s">
        <v>4335</v>
      </c>
      <c r="K44" s="16" t="s">
        <v>1099</v>
      </c>
      <c r="L44" s="16" t="s">
        <v>223</v>
      </c>
      <c r="M44" s="16">
        <v>2022</v>
      </c>
      <c r="N44" s="16" t="s">
        <v>1146</v>
      </c>
      <c r="O44" s="16" t="s">
        <v>4462</v>
      </c>
      <c r="P44" s="16" t="s">
        <v>4489</v>
      </c>
      <c r="Q44" s="16">
        <v>43</v>
      </c>
      <c r="R44" s="16">
        <v>86</v>
      </c>
      <c r="S44" s="16" t="s">
        <v>4493</v>
      </c>
      <c r="T44" s="16" t="s">
        <v>1519</v>
      </c>
      <c r="U44" s="39">
        <v>44515</v>
      </c>
      <c r="V44" s="39">
        <v>44529</v>
      </c>
    </row>
    <row r="45" spans="8:22" ht="20" customHeight="1" x14ac:dyDescent="0.25">
      <c r="H45" s="16">
        <v>18</v>
      </c>
      <c r="I45" s="16" t="s">
        <v>1115</v>
      </c>
      <c r="J45" s="16" t="s">
        <v>4335</v>
      </c>
      <c r="K45" s="16" t="s">
        <v>1099</v>
      </c>
      <c r="L45" s="16" t="s">
        <v>223</v>
      </c>
      <c r="M45" s="16">
        <v>2022</v>
      </c>
      <c r="N45" s="16" t="s">
        <v>1146</v>
      </c>
      <c r="O45" s="16" t="s">
        <v>4462</v>
      </c>
      <c r="P45" s="16" t="s">
        <v>4489</v>
      </c>
      <c r="Q45" s="16">
        <v>44</v>
      </c>
      <c r="R45" s="16">
        <v>87</v>
      </c>
      <c r="S45" s="16" t="s">
        <v>4493</v>
      </c>
      <c r="T45" s="16" t="s">
        <v>1519</v>
      </c>
      <c r="U45" s="39">
        <v>44515</v>
      </c>
      <c r="V45" s="39">
        <v>44529</v>
      </c>
    </row>
    <row r="46" spans="8:22" ht="20" customHeight="1" x14ac:dyDescent="0.25">
      <c r="H46" s="16">
        <v>16</v>
      </c>
      <c r="I46" s="16" t="s">
        <v>1115</v>
      </c>
      <c r="J46" s="16" t="s">
        <v>4335</v>
      </c>
      <c r="K46" s="16" t="s">
        <v>1099</v>
      </c>
      <c r="L46" s="16" t="s">
        <v>223</v>
      </c>
      <c r="M46" s="16">
        <v>2022</v>
      </c>
      <c r="N46" s="16" t="s">
        <v>1146</v>
      </c>
      <c r="O46" s="16" t="s">
        <v>4462</v>
      </c>
      <c r="P46" s="16" t="s">
        <v>4489</v>
      </c>
      <c r="Q46" s="16">
        <v>45</v>
      </c>
      <c r="R46" s="16">
        <v>88</v>
      </c>
      <c r="S46" s="16" t="s">
        <v>4493</v>
      </c>
      <c r="T46" s="16" t="s">
        <v>1519</v>
      </c>
      <c r="U46" s="39">
        <v>44515</v>
      </c>
      <c r="V46" s="39">
        <v>44529</v>
      </c>
    </row>
    <row r="47" spans="8:22" ht="20" customHeight="1" x14ac:dyDescent="0.25">
      <c r="H47" s="16">
        <v>14</v>
      </c>
      <c r="I47" s="16" t="s">
        <v>1115</v>
      </c>
      <c r="J47" s="16" t="s">
        <v>4335</v>
      </c>
      <c r="K47" s="16" t="s">
        <v>1099</v>
      </c>
      <c r="L47" s="16" t="s">
        <v>223</v>
      </c>
      <c r="M47" s="16">
        <v>2022</v>
      </c>
      <c r="N47" s="16" t="s">
        <v>1146</v>
      </c>
      <c r="O47" s="16" t="s">
        <v>4462</v>
      </c>
      <c r="P47" s="16" t="s">
        <v>4489</v>
      </c>
      <c r="Q47" s="16">
        <v>46</v>
      </c>
      <c r="R47" s="16">
        <v>89</v>
      </c>
      <c r="S47" s="16" t="s">
        <v>4493</v>
      </c>
      <c r="T47" s="16" t="s">
        <v>1519</v>
      </c>
      <c r="U47" s="39">
        <v>44515</v>
      </c>
      <c r="V47" s="39">
        <v>44529</v>
      </c>
    </row>
    <row r="48" spans="8:22" ht="20" customHeight="1" x14ac:dyDescent="0.25">
      <c r="H48" s="16">
        <v>12</v>
      </c>
      <c r="I48" s="16" t="s">
        <v>1115</v>
      </c>
      <c r="J48" s="16" t="s">
        <v>4335</v>
      </c>
      <c r="K48" s="16" t="s">
        <v>1099</v>
      </c>
      <c r="L48" s="16" t="s">
        <v>223</v>
      </c>
      <c r="M48" s="16">
        <v>2022</v>
      </c>
      <c r="N48" s="16" t="s">
        <v>1146</v>
      </c>
      <c r="O48" s="16" t="s">
        <v>4462</v>
      </c>
      <c r="P48" s="16" t="s">
        <v>4489</v>
      </c>
      <c r="Q48" s="16">
        <v>47</v>
      </c>
      <c r="R48" s="16">
        <v>90</v>
      </c>
      <c r="S48" s="16" t="s">
        <v>4493</v>
      </c>
      <c r="T48" s="16" t="s">
        <v>1519</v>
      </c>
      <c r="U48" s="39">
        <v>44515</v>
      </c>
      <c r="V48" s="39">
        <v>44529</v>
      </c>
    </row>
    <row r="49" spans="8:22" ht="20" customHeight="1" x14ac:dyDescent="0.25">
      <c r="H49" s="16">
        <v>93</v>
      </c>
      <c r="I49" s="16" t="s">
        <v>1115</v>
      </c>
      <c r="J49" s="16" t="s">
        <v>4335</v>
      </c>
      <c r="K49" s="16" t="s">
        <v>1100</v>
      </c>
      <c r="L49" s="16" t="s">
        <v>223</v>
      </c>
      <c r="M49" s="16">
        <v>2022</v>
      </c>
      <c r="N49" s="16" t="s">
        <v>1146</v>
      </c>
      <c r="O49" s="16" t="s">
        <v>4462</v>
      </c>
      <c r="P49" s="16" t="s">
        <v>4489</v>
      </c>
      <c r="Q49" s="16">
        <v>48</v>
      </c>
      <c r="R49" s="16">
        <v>91</v>
      </c>
      <c r="S49" s="16" t="s">
        <v>4493</v>
      </c>
      <c r="T49" s="16" t="s">
        <v>1519</v>
      </c>
      <c r="U49" s="39">
        <v>44515</v>
      </c>
      <c r="V49" s="39">
        <v>44529</v>
      </c>
    </row>
    <row r="50" spans="8:22" ht="20" customHeight="1" x14ac:dyDescent="0.25">
      <c r="H50" s="16">
        <v>91</v>
      </c>
      <c r="I50" s="16" t="s">
        <v>1115</v>
      </c>
      <c r="J50" s="16" t="s">
        <v>4335</v>
      </c>
      <c r="K50" s="16" t="s">
        <v>1100</v>
      </c>
      <c r="L50" s="16" t="s">
        <v>223</v>
      </c>
      <c r="M50" s="16">
        <v>2022</v>
      </c>
      <c r="N50" s="16" t="s">
        <v>1146</v>
      </c>
      <c r="O50" s="16" t="s">
        <v>4462</v>
      </c>
      <c r="P50" s="16" t="s">
        <v>4489</v>
      </c>
      <c r="Q50" s="16">
        <v>49</v>
      </c>
      <c r="R50" s="16">
        <v>92</v>
      </c>
      <c r="S50" s="16" t="s">
        <v>4493</v>
      </c>
      <c r="T50" s="16" t="s">
        <v>1519</v>
      </c>
      <c r="U50" s="39">
        <v>44515</v>
      </c>
      <c r="V50" s="39">
        <v>44529</v>
      </c>
    </row>
    <row r="51" spans="8:22" ht="20" customHeight="1" x14ac:dyDescent="0.25">
      <c r="H51" s="16">
        <v>89</v>
      </c>
      <c r="I51" s="16" t="s">
        <v>1115</v>
      </c>
      <c r="J51" s="16" t="s">
        <v>4335</v>
      </c>
      <c r="K51" s="16" t="s">
        <v>1100</v>
      </c>
      <c r="L51" s="16" t="s">
        <v>223</v>
      </c>
      <c r="M51" s="16">
        <v>2022</v>
      </c>
      <c r="N51" s="16" t="s">
        <v>1146</v>
      </c>
      <c r="O51" s="16" t="s">
        <v>4462</v>
      </c>
      <c r="P51" s="16" t="s">
        <v>4489</v>
      </c>
      <c r="Q51" s="16">
        <v>50</v>
      </c>
      <c r="R51" s="16">
        <v>84</v>
      </c>
      <c r="S51" s="16" t="s">
        <v>4493</v>
      </c>
      <c r="T51" s="16" t="s">
        <v>1519</v>
      </c>
      <c r="U51" s="39">
        <v>44515</v>
      </c>
      <c r="V51" s="39">
        <v>44529</v>
      </c>
    </row>
    <row r="52" spans="8:22" ht="20" customHeight="1" x14ac:dyDescent="0.25">
      <c r="H52" s="16">
        <v>87</v>
      </c>
      <c r="I52" s="16" t="s">
        <v>1115</v>
      </c>
      <c r="J52" s="16" t="s">
        <v>4335</v>
      </c>
      <c r="K52" s="16" t="s">
        <v>1100</v>
      </c>
      <c r="L52" s="16" t="s">
        <v>223</v>
      </c>
      <c r="M52" s="16">
        <v>2022</v>
      </c>
      <c r="N52" s="16" t="s">
        <v>1146</v>
      </c>
      <c r="O52" s="16" t="s">
        <v>4462</v>
      </c>
      <c r="P52" s="16" t="s">
        <v>4489</v>
      </c>
      <c r="Q52" s="16">
        <v>51</v>
      </c>
      <c r="R52" s="16">
        <v>94</v>
      </c>
      <c r="S52" s="16" t="s">
        <v>4493</v>
      </c>
      <c r="T52" s="16" t="s">
        <v>1519</v>
      </c>
      <c r="U52" s="39">
        <v>44515</v>
      </c>
      <c r="V52" s="39">
        <v>44529</v>
      </c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67" t="s">
        <v>4492</v>
      </c>
      <c r="U53" s="167"/>
      <c r="V53" s="68"/>
    </row>
  </sheetData>
  <autoFilter ref="H2:V2" xr:uid="{C375A1B3-ACA5-4964-BA45-D0BD3AD39008}"/>
  <mergeCells count="18">
    <mergeCell ref="B15:C15"/>
    <mergeCell ref="B16:C16"/>
    <mergeCell ref="B18:C18"/>
    <mergeCell ref="T53:U53"/>
    <mergeCell ref="B9:C9"/>
    <mergeCell ref="B12:C12"/>
    <mergeCell ref="B13:C13"/>
    <mergeCell ref="B14:C14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52">
    <cfRule type="cellIs" dxfId="54" priority="115" operator="equal">
      <formula>"DELETED"</formula>
    </cfRule>
    <cfRule type="cellIs" dxfId="53" priority="116" operator="equal">
      <formula>"삭제"</formula>
    </cfRule>
    <cfRule type="cellIs" dxfId="52" priority="117" operator="equal">
      <formula>"수정"</formula>
    </cfRule>
    <cfRule type="cellIs" dxfId="51" priority="118" operator="equal">
      <formula>"UPDATED"</formula>
    </cfRule>
  </conditionalFormatting>
  <conditionalFormatting sqref="J3:M52">
    <cfRule type="cellIs" dxfId="50" priority="63" operator="equal">
      <formula>"UPDATED"</formula>
    </cfRule>
    <cfRule type="cellIs" dxfId="49" priority="64" operator="equal">
      <formula>"선택"</formula>
    </cfRule>
    <cfRule type="cellIs" dxfId="48" priority="111" operator="equal">
      <formula>"DELETED"</formula>
    </cfRule>
    <cfRule type="cellIs" dxfId="47" priority="112" operator="equal">
      <formula>"삭제"</formula>
    </cfRule>
    <cfRule type="cellIs" dxfId="46" priority="113" operator="equal">
      <formula>"수정"</formula>
    </cfRule>
    <cfRule type="cellIs" dxfId="45" priority="114" operator="equal">
      <formula>"UPDATED"</formula>
    </cfRule>
  </conditionalFormatting>
  <conditionalFormatting sqref="P3:P52">
    <cfRule type="cellIs" dxfId="44" priority="107" operator="equal">
      <formula>"DELETED"</formula>
    </cfRule>
    <cfRule type="cellIs" dxfId="43" priority="108" operator="equal">
      <formula>"삭제"</formula>
    </cfRule>
    <cfRule type="cellIs" dxfId="42" priority="109" operator="equal">
      <formula>"수정"</formula>
    </cfRule>
    <cfRule type="cellIs" dxfId="41" priority="110" operator="equal">
      <formula>"UPDATED"</formula>
    </cfRule>
  </conditionalFormatting>
  <conditionalFormatting sqref="O3:O52">
    <cfRule type="cellIs" dxfId="40" priority="103" operator="equal">
      <formula>"DELETED"</formula>
    </cfRule>
    <cfRule type="cellIs" dxfId="39" priority="104" operator="equal">
      <formula>"삭제"</formula>
    </cfRule>
    <cfRule type="cellIs" dxfId="38" priority="105" operator="equal">
      <formula>"수정"</formula>
    </cfRule>
    <cfRule type="cellIs" dxfId="37" priority="106" operator="equal">
      <formula>"UPDATED"</formula>
    </cfRule>
  </conditionalFormatting>
  <conditionalFormatting sqref="E7">
    <cfRule type="containsBlanks" dxfId="36" priority="53">
      <formula>LEN(TRIM(E7))=0</formula>
    </cfRule>
  </conditionalFormatting>
  <conditionalFormatting sqref="E7">
    <cfRule type="notContainsBlanks" dxfId="35" priority="52">
      <formula>LEN(TRIM(E7))&gt;0</formula>
    </cfRule>
  </conditionalFormatting>
  <conditionalFormatting sqref="I3:I52">
    <cfRule type="cellIs" dxfId="34" priority="45" operator="equal">
      <formula>"DELETED"</formula>
    </cfRule>
    <cfRule type="cellIs" dxfId="33" priority="46" operator="equal">
      <formula>"UPDATED"</formula>
    </cfRule>
    <cfRule type="cellIs" dxfId="32" priority="47" operator="equal">
      <formula>"선택"</formula>
    </cfRule>
    <cfRule type="cellIs" dxfId="31" priority="48" operator="equal">
      <formula>"DELETED"</formula>
    </cfRule>
    <cfRule type="cellIs" dxfId="30" priority="49" operator="equal">
      <formula>"삭제"</formula>
    </cfRule>
    <cfRule type="cellIs" dxfId="29" priority="50" operator="equal">
      <formula>"수정"</formula>
    </cfRule>
    <cfRule type="cellIs" dxfId="28" priority="51" operator="equal">
      <formula>"UPDATED"</formula>
    </cfRule>
  </conditionalFormatting>
  <conditionalFormatting sqref="S3:S52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U28:U52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T28:T52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V28:V52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U3:U27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T3:T27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27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18:C18" r:id="rId1" display="대시보드" xr:uid="{B74E4FB3-326C-41E9-8675-D4E1CADF8F56}"/>
    <hyperlink ref="B3:C3" location="인덴트관리!A1" display="1. 인덴트 관리" xr:uid="{45240E64-93D7-4CE5-B490-8505001579BA}"/>
    <hyperlink ref="B4:C4" location="PO관리!A1" display="2. PO 관리" xr:uid="{FF13C28C-492B-454D-AF59-600658813D61}"/>
    <hyperlink ref="B6:C6" location="지출계획!A1" display="3. 지출계획" xr:uid="{FFB4EB57-4107-4099-90D4-39797A59B27C}"/>
    <hyperlink ref="B7:C7" location="매출채권!A1" display="4. 매출채권" xr:uid="{9731BCFC-9228-4D6A-9454-32531F31D2B8}"/>
    <hyperlink ref="B8:C8" location="체크리스트!A1" display="5. 체크리스트" xr:uid="{073DA870-4681-4BBB-B110-FC0C3CABD4E0}"/>
    <hyperlink ref="B9:C9" location="발주서!A1" display="6. 발주서" xr:uid="{762BF22F-A3B9-4BF2-B52A-096B347BCDD0}"/>
    <hyperlink ref="B12:C12" location="Tracking!A1" display="Tracking" xr:uid="{D62166D4-FC71-4DDA-857B-8D7188E9455F}"/>
    <hyperlink ref="B5:C5" location="PO관리툴!A1" display="PO 관리" xr:uid="{7E4E8C32-4FD4-4C79-B929-9DD803B20826}"/>
    <hyperlink ref="B11:C11" location="선적수량!A1" display="선적수량" xr:uid="{B7F6EFDB-9896-475D-931C-EE3E2C45C4FD}"/>
    <hyperlink ref="B10:C10" location="견적서!A1" display="견적서" xr:uid="{638CA02D-0905-4DC6-A8C3-1B026C6EA69C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CC647C8B-632C-4980-A7E5-2859FE2A5988}">
          <x14:formula1>
            <xm:f>validation!$R$2:$R$29</xm:f>
          </x14:formula1>
          <xm:sqref>E7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1495</v>
      </c>
      <c r="B1" t="s">
        <v>1496</v>
      </c>
      <c r="D1" t="s">
        <v>1497</v>
      </c>
      <c r="E1" t="s">
        <v>1495</v>
      </c>
      <c r="F1" t="s">
        <v>1496</v>
      </c>
    </row>
    <row r="2" spans="1:6" x14ac:dyDescent="0.25">
      <c r="A2" t="s">
        <v>1456</v>
      </c>
      <c r="B2" t="s">
        <v>1492</v>
      </c>
      <c r="D2">
        <v>1</v>
      </c>
      <c r="E2" t="s">
        <v>1456</v>
      </c>
      <c r="F2" t="s">
        <v>1492</v>
      </c>
    </row>
    <row r="3" spans="1:6" x14ac:dyDescent="0.25">
      <c r="A3" t="s">
        <v>1456</v>
      </c>
      <c r="B3" t="s">
        <v>1494</v>
      </c>
      <c r="D3">
        <v>2</v>
      </c>
      <c r="E3" t="s">
        <v>1456</v>
      </c>
      <c r="F3" t="s">
        <v>1492</v>
      </c>
    </row>
    <row r="4" spans="1:6" x14ac:dyDescent="0.25">
      <c r="D4">
        <v>3</v>
      </c>
      <c r="E4" t="s">
        <v>1456</v>
      </c>
      <c r="F4" t="s">
        <v>1492</v>
      </c>
    </row>
    <row r="5" spans="1:6" x14ac:dyDescent="0.25">
      <c r="D5">
        <v>4</v>
      </c>
      <c r="E5" t="s">
        <v>1456</v>
      </c>
      <c r="F5" t="s">
        <v>1492</v>
      </c>
    </row>
    <row r="6" spans="1:6" x14ac:dyDescent="0.25">
      <c r="D6">
        <v>5</v>
      </c>
      <c r="E6" t="s">
        <v>1456</v>
      </c>
      <c r="F6" t="s">
        <v>1492</v>
      </c>
    </row>
    <row r="7" spans="1:6" x14ac:dyDescent="0.25">
      <c r="D7">
        <v>6</v>
      </c>
      <c r="E7" t="s">
        <v>1456</v>
      </c>
      <c r="F7" t="s">
        <v>1492</v>
      </c>
    </row>
    <row r="8" spans="1:6" x14ac:dyDescent="0.25">
      <c r="D8">
        <v>7</v>
      </c>
      <c r="E8" t="s">
        <v>1456</v>
      </c>
      <c r="F8" t="s">
        <v>1492</v>
      </c>
    </row>
    <row r="9" spans="1:6" x14ac:dyDescent="0.25">
      <c r="D9">
        <v>8</v>
      </c>
      <c r="E9" t="s">
        <v>1456</v>
      </c>
      <c r="F9" t="s">
        <v>1492</v>
      </c>
    </row>
    <row r="10" spans="1:6" x14ac:dyDescent="0.25">
      <c r="D10">
        <v>9</v>
      </c>
      <c r="E10" t="s">
        <v>1456</v>
      </c>
      <c r="F10" t="s">
        <v>1492</v>
      </c>
    </row>
    <row r="11" spans="1:6" x14ac:dyDescent="0.25">
      <c r="D11">
        <v>10</v>
      </c>
      <c r="E11" t="s">
        <v>1456</v>
      </c>
      <c r="F11" t="s">
        <v>1492</v>
      </c>
    </row>
    <row r="12" spans="1:6" x14ac:dyDescent="0.25">
      <c r="D12">
        <v>11</v>
      </c>
      <c r="E12" t="s">
        <v>1456</v>
      </c>
      <c r="F12" t="s">
        <v>1492</v>
      </c>
    </row>
    <row r="13" spans="1:6" x14ac:dyDescent="0.25">
      <c r="D13">
        <v>12</v>
      </c>
      <c r="E13" t="s">
        <v>1456</v>
      </c>
      <c r="F13" t="s">
        <v>1492</v>
      </c>
    </row>
    <row r="14" spans="1:6" x14ac:dyDescent="0.25">
      <c r="D14">
        <v>13</v>
      </c>
      <c r="E14" t="s">
        <v>1456</v>
      </c>
      <c r="F14" t="s">
        <v>1492</v>
      </c>
    </row>
    <row r="15" spans="1:6" x14ac:dyDescent="0.25">
      <c r="D15">
        <v>14</v>
      </c>
      <c r="E15" t="s">
        <v>1456</v>
      </c>
      <c r="F15" t="s">
        <v>1492</v>
      </c>
    </row>
    <row r="16" spans="1:6" x14ac:dyDescent="0.25">
      <c r="D16">
        <v>15</v>
      </c>
      <c r="E16" t="s">
        <v>1456</v>
      </c>
      <c r="F16" t="s">
        <v>1492</v>
      </c>
    </row>
    <row r="17" spans="4:6" x14ac:dyDescent="0.25">
      <c r="D17">
        <v>16</v>
      </c>
      <c r="E17" t="s">
        <v>1456</v>
      </c>
      <c r="F17" t="s">
        <v>1492</v>
      </c>
    </row>
    <row r="18" spans="4:6" x14ac:dyDescent="0.25">
      <c r="D18">
        <v>17</v>
      </c>
      <c r="E18" t="s">
        <v>1456</v>
      </c>
      <c r="F18" t="s">
        <v>1492</v>
      </c>
    </row>
    <row r="19" spans="4:6" x14ac:dyDescent="0.25">
      <c r="D19">
        <v>18</v>
      </c>
      <c r="E19" t="s">
        <v>1456</v>
      </c>
      <c r="F19" t="s">
        <v>1492</v>
      </c>
    </row>
    <row r="20" spans="4:6" x14ac:dyDescent="0.25">
      <c r="D20">
        <v>19</v>
      </c>
      <c r="E20" t="s">
        <v>1456</v>
      </c>
      <c r="F20" t="s">
        <v>1492</v>
      </c>
    </row>
    <row r="21" spans="4:6" x14ac:dyDescent="0.25">
      <c r="D21">
        <v>20</v>
      </c>
      <c r="E21" t="s">
        <v>1456</v>
      </c>
      <c r="F21" t="s">
        <v>1492</v>
      </c>
    </row>
    <row r="22" spans="4:6" x14ac:dyDescent="0.25">
      <c r="D22">
        <v>21</v>
      </c>
      <c r="E22" t="s">
        <v>1456</v>
      </c>
      <c r="F22" t="s">
        <v>1492</v>
      </c>
    </row>
    <row r="23" spans="4:6" x14ac:dyDescent="0.25">
      <c r="D23">
        <v>22</v>
      </c>
      <c r="E23" t="s">
        <v>1456</v>
      </c>
      <c r="F23" t="s">
        <v>1492</v>
      </c>
    </row>
    <row r="24" spans="4:6" x14ac:dyDescent="0.25">
      <c r="D24">
        <v>23</v>
      </c>
      <c r="E24" t="s">
        <v>1456</v>
      </c>
      <c r="F24" t="s">
        <v>1492</v>
      </c>
    </row>
    <row r="25" spans="4:6" x14ac:dyDescent="0.25">
      <c r="D25">
        <v>24</v>
      </c>
      <c r="E25" t="s">
        <v>1456</v>
      </c>
      <c r="F25" t="s">
        <v>1492</v>
      </c>
    </row>
    <row r="26" spans="4:6" x14ac:dyDescent="0.25">
      <c r="D26">
        <v>25</v>
      </c>
      <c r="E26" t="s">
        <v>1456</v>
      </c>
      <c r="F26" t="s">
        <v>1492</v>
      </c>
    </row>
    <row r="27" spans="4:6" x14ac:dyDescent="0.25">
      <c r="D27">
        <v>26</v>
      </c>
      <c r="E27" t="s">
        <v>1456</v>
      </c>
      <c r="F27" t="s">
        <v>1492</v>
      </c>
    </row>
    <row r="28" spans="4:6" x14ac:dyDescent="0.25">
      <c r="D28">
        <v>27</v>
      </c>
      <c r="E28" t="s">
        <v>1456</v>
      </c>
      <c r="F28" t="s">
        <v>1492</v>
      </c>
    </row>
    <row r="29" spans="4:6" x14ac:dyDescent="0.25">
      <c r="D29">
        <v>28</v>
      </c>
      <c r="E29" t="s">
        <v>1456</v>
      </c>
      <c r="F29" t="s">
        <v>1492</v>
      </c>
    </row>
    <row r="30" spans="4:6" x14ac:dyDescent="0.25">
      <c r="D30">
        <v>29</v>
      </c>
      <c r="E30" t="s">
        <v>1456</v>
      </c>
      <c r="F30" t="s">
        <v>1492</v>
      </c>
    </row>
    <row r="31" spans="4:6" x14ac:dyDescent="0.25">
      <c r="D31">
        <v>30</v>
      </c>
      <c r="E31" t="s">
        <v>1456</v>
      </c>
      <c r="F31" t="s">
        <v>1492</v>
      </c>
    </row>
    <row r="32" spans="4:6" x14ac:dyDescent="0.25">
      <c r="D32">
        <v>31</v>
      </c>
      <c r="E32" t="s">
        <v>1456</v>
      </c>
      <c r="F32" t="s">
        <v>1492</v>
      </c>
    </row>
    <row r="33" spans="4:6" x14ac:dyDescent="0.25">
      <c r="D33">
        <v>32</v>
      </c>
      <c r="E33" t="s">
        <v>1456</v>
      </c>
      <c r="F33" t="s">
        <v>1492</v>
      </c>
    </row>
    <row r="34" spans="4:6" x14ac:dyDescent="0.25">
      <c r="D34">
        <v>49</v>
      </c>
      <c r="E34" t="s">
        <v>1456</v>
      </c>
      <c r="F34" t="s">
        <v>1494</v>
      </c>
    </row>
    <row r="35" spans="4:6" x14ac:dyDescent="0.25">
      <c r="D35">
        <v>50</v>
      </c>
      <c r="E35" t="s">
        <v>1456</v>
      </c>
      <c r="F35" t="s">
        <v>1494</v>
      </c>
    </row>
    <row r="36" spans="4:6" x14ac:dyDescent="0.25">
      <c r="D36">
        <v>51</v>
      </c>
      <c r="E36" t="s">
        <v>1456</v>
      </c>
      <c r="F36" t="s">
        <v>1494</v>
      </c>
    </row>
    <row r="37" spans="4:6" x14ac:dyDescent="0.25">
      <c r="D37">
        <v>52</v>
      </c>
      <c r="E37" t="s">
        <v>1456</v>
      </c>
      <c r="F37" t="s">
        <v>1494</v>
      </c>
    </row>
    <row r="38" spans="4:6" x14ac:dyDescent="0.25">
      <c r="D38">
        <v>53</v>
      </c>
      <c r="E38" t="s">
        <v>1456</v>
      </c>
      <c r="F38" t="s">
        <v>1494</v>
      </c>
    </row>
    <row r="39" spans="4:6" x14ac:dyDescent="0.25">
      <c r="D39">
        <v>54</v>
      </c>
      <c r="E39" t="s">
        <v>1456</v>
      </c>
      <c r="F39" t="s">
        <v>1494</v>
      </c>
    </row>
    <row r="40" spans="4:6" x14ac:dyDescent="0.25">
      <c r="D40">
        <v>55</v>
      </c>
      <c r="E40" t="s">
        <v>1456</v>
      </c>
      <c r="F40" t="s">
        <v>1494</v>
      </c>
    </row>
    <row r="41" spans="4:6" x14ac:dyDescent="0.25">
      <c r="D41">
        <v>56</v>
      </c>
      <c r="E41" t="s">
        <v>1456</v>
      </c>
      <c r="F41" t="s">
        <v>1494</v>
      </c>
    </row>
    <row r="42" spans="4:6" x14ac:dyDescent="0.25">
      <c r="D42">
        <v>57</v>
      </c>
      <c r="E42" t="s">
        <v>1456</v>
      </c>
      <c r="F42" t="s">
        <v>1494</v>
      </c>
    </row>
    <row r="43" spans="4:6" x14ac:dyDescent="0.25">
      <c r="D43">
        <v>58</v>
      </c>
      <c r="E43" t="s">
        <v>1456</v>
      </c>
      <c r="F43" t="s">
        <v>1494</v>
      </c>
    </row>
    <row r="44" spans="4:6" x14ac:dyDescent="0.25">
      <c r="D44">
        <v>59</v>
      </c>
      <c r="E44" t="s">
        <v>1456</v>
      </c>
      <c r="F44" t="s">
        <v>1494</v>
      </c>
    </row>
    <row r="45" spans="4:6" x14ac:dyDescent="0.25">
      <c r="D45">
        <v>60</v>
      </c>
      <c r="E45" t="s">
        <v>1456</v>
      </c>
      <c r="F45" t="s">
        <v>1494</v>
      </c>
    </row>
    <row r="46" spans="4:6" x14ac:dyDescent="0.25">
      <c r="D46">
        <v>61</v>
      </c>
      <c r="E46" t="s">
        <v>1456</v>
      </c>
      <c r="F46" t="s">
        <v>1494</v>
      </c>
    </row>
    <row r="47" spans="4:6" x14ac:dyDescent="0.25">
      <c r="D47">
        <v>62</v>
      </c>
      <c r="E47" t="s">
        <v>1456</v>
      </c>
      <c r="F47" t="s">
        <v>1494</v>
      </c>
    </row>
    <row r="48" spans="4:6" x14ac:dyDescent="0.25">
      <c r="D48">
        <v>63</v>
      </c>
      <c r="E48" t="s">
        <v>1456</v>
      </c>
      <c r="F48" t="s">
        <v>1494</v>
      </c>
    </row>
    <row r="49" spans="4:6" x14ac:dyDescent="0.25">
      <c r="D49">
        <v>64</v>
      </c>
      <c r="E49" t="s">
        <v>1456</v>
      </c>
      <c r="F49" t="s">
        <v>1494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F1" workbookViewId="0">
      <pane ySplit="1" topLeftCell="A2" activePane="bottomLeft" state="frozen"/>
      <selection pane="bottomLeft" activeCell="O8" sqref="O8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18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1149</v>
      </c>
      <c r="O1" s="37" t="s">
        <v>1150</v>
      </c>
      <c r="P1" s="37" t="s">
        <v>1179</v>
      </c>
      <c r="Q1" s="37" t="s">
        <v>1414</v>
      </c>
      <c r="R1" s="37" t="s">
        <v>1464</v>
      </c>
    </row>
    <row r="2" spans="1:18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1151</v>
      </c>
      <c r="O2" s="37" t="s">
        <v>1180</v>
      </c>
      <c r="P2" s="37" t="s">
        <v>4388</v>
      </c>
      <c r="Q2" s="37" t="s">
        <v>4438</v>
      </c>
    </row>
    <row r="3" spans="1:18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560</v>
      </c>
      <c r="N3" s="37" t="s">
        <v>1152</v>
      </c>
      <c r="O3" s="37" t="s">
        <v>1181</v>
      </c>
      <c r="P3" s="37" t="s">
        <v>1415</v>
      </c>
      <c r="Q3" s="37" t="s">
        <v>4439</v>
      </c>
      <c r="R3" s="37" t="s">
        <v>4350</v>
      </c>
    </row>
    <row r="4" spans="1:18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561</v>
      </c>
      <c r="N4" s="37" t="s">
        <v>1153</v>
      </c>
      <c r="O4" s="37" t="s">
        <v>1182</v>
      </c>
      <c r="P4" s="37" t="s">
        <v>1416</v>
      </c>
      <c r="Q4" s="37" t="s">
        <v>4440</v>
      </c>
      <c r="R4" s="37" t="s">
        <v>1452</v>
      </c>
    </row>
    <row r="5" spans="1:18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562</v>
      </c>
      <c r="N5" s="37" t="s">
        <v>1154</v>
      </c>
      <c r="O5" s="37" t="s">
        <v>4383</v>
      </c>
      <c r="P5" s="37" t="s">
        <v>1417</v>
      </c>
      <c r="Q5" s="37" t="s">
        <v>1435</v>
      </c>
      <c r="R5" s="37" t="s">
        <v>4351</v>
      </c>
    </row>
    <row r="6" spans="1:18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563</v>
      </c>
      <c r="N6" s="37" t="s">
        <v>4360</v>
      </c>
      <c r="O6" s="37" t="s">
        <v>1183</v>
      </c>
      <c r="P6" s="37" t="s">
        <v>4389</v>
      </c>
      <c r="Q6" s="37" t="s">
        <v>4403</v>
      </c>
      <c r="R6" s="37" t="s">
        <v>4352</v>
      </c>
    </row>
    <row r="7" spans="1:18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564</v>
      </c>
      <c r="N7" s="37" t="s">
        <v>1155</v>
      </c>
      <c r="O7" s="37" t="s">
        <v>1184</v>
      </c>
      <c r="P7" s="37" t="s">
        <v>1418</v>
      </c>
      <c r="Q7" s="37" t="s">
        <v>4441</v>
      </c>
      <c r="R7" s="37" t="s">
        <v>4340</v>
      </c>
    </row>
    <row r="8" spans="1:18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565</v>
      </c>
      <c r="N8" s="37" t="s">
        <v>1156</v>
      </c>
      <c r="O8" s="37" t="s">
        <v>1185</v>
      </c>
      <c r="P8" s="37" t="s">
        <v>4390</v>
      </c>
      <c r="Q8" s="37" t="s">
        <v>4442</v>
      </c>
      <c r="R8" s="37" t="s">
        <v>1453</v>
      </c>
    </row>
    <row r="9" spans="1:18" x14ac:dyDescent="0.25">
      <c r="A9" s="37" t="s">
        <v>41</v>
      </c>
      <c r="B9" s="37" t="s">
        <v>4321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566</v>
      </c>
      <c r="N9" s="37" t="s">
        <v>1157</v>
      </c>
      <c r="O9" s="37" t="s">
        <v>1186</v>
      </c>
      <c r="P9" s="37" t="s">
        <v>4391</v>
      </c>
      <c r="Q9" s="37" t="s">
        <v>4443</v>
      </c>
      <c r="R9" s="37" t="s">
        <v>1144</v>
      </c>
    </row>
    <row r="10" spans="1:18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567</v>
      </c>
      <c r="N10" s="37" t="s">
        <v>1158</v>
      </c>
      <c r="O10" s="37" t="s">
        <v>1187</v>
      </c>
      <c r="P10" s="37" t="s">
        <v>1419</v>
      </c>
      <c r="Q10" s="37" t="s">
        <v>1436</v>
      </c>
      <c r="R10" s="37" t="s">
        <v>4341</v>
      </c>
    </row>
    <row r="11" spans="1:18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568</v>
      </c>
      <c r="N11" s="37" t="s">
        <v>1159</v>
      </c>
      <c r="O11" s="37" t="s">
        <v>1188</v>
      </c>
      <c r="P11" s="37" t="s">
        <v>4392</v>
      </c>
      <c r="Q11" s="37" t="s">
        <v>4404</v>
      </c>
      <c r="R11" s="37" t="s">
        <v>4353</v>
      </c>
    </row>
    <row r="12" spans="1:18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569</v>
      </c>
      <c r="N12" s="37" t="s">
        <v>4361</v>
      </c>
      <c r="O12" s="37" t="s">
        <v>1189</v>
      </c>
      <c r="P12" s="37" t="s">
        <v>4393</v>
      </c>
      <c r="Q12" s="37" t="s">
        <v>4405</v>
      </c>
      <c r="R12" s="37" t="s">
        <v>1147</v>
      </c>
    </row>
    <row r="13" spans="1:18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570</v>
      </c>
      <c r="N13" s="37" t="s">
        <v>4362</v>
      </c>
      <c r="O13" s="37" t="s">
        <v>1190</v>
      </c>
      <c r="P13" s="37" t="s">
        <v>4394</v>
      </c>
      <c r="Q13" s="37" t="s">
        <v>4347</v>
      </c>
      <c r="R13" s="37" t="s">
        <v>1471</v>
      </c>
    </row>
    <row r="14" spans="1:18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571</v>
      </c>
      <c r="N14" s="37" t="s">
        <v>4363</v>
      </c>
      <c r="O14" s="37" t="s">
        <v>1191</v>
      </c>
      <c r="P14" s="37" t="s">
        <v>4395</v>
      </c>
      <c r="Q14" s="37" t="s">
        <v>4406</v>
      </c>
      <c r="R14" s="37" t="s">
        <v>1454</v>
      </c>
    </row>
    <row r="15" spans="1:18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572</v>
      </c>
      <c r="N15" s="37" t="s">
        <v>4364</v>
      </c>
      <c r="O15" s="37" t="s">
        <v>1192</v>
      </c>
      <c r="P15" s="37" t="s">
        <v>4396</v>
      </c>
      <c r="Q15" s="37" t="s">
        <v>4407</v>
      </c>
      <c r="R15" s="37" t="s">
        <v>4342</v>
      </c>
    </row>
    <row r="16" spans="1:18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573</v>
      </c>
      <c r="N16" s="37" t="s">
        <v>4365</v>
      </c>
      <c r="O16" s="37" t="s">
        <v>1193</v>
      </c>
      <c r="P16" s="37" t="s">
        <v>1420</v>
      </c>
      <c r="Q16" s="37" t="s">
        <v>4408</v>
      </c>
      <c r="R16" s="37" t="s">
        <v>1455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574</v>
      </c>
      <c r="N17" s="37" t="s">
        <v>1160</v>
      </c>
      <c r="O17" s="37" t="s">
        <v>1194</v>
      </c>
      <c r="P17" s="37" t="s">
        <v>1421</v>
      </c>
      <c r="Q17" s="37" t="s">
        <v>4409</v>
      </c>
      <c r="R17" s="37" t="s">
        <v>1456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575</v>
      </c>
      <c r="N18" s="37" t="s">
        <v>1161</v>
      </c>
      <c r="O18" s="37" t="s">
        <v>1195</v>
      </c>
      <c r="P18" s="37" t="s">
        <v>4397</v>
      </c>
      <c r="Q18" s="37" t="s">
        <v>4410</v>
      </c>
      <c r="R18" s="37" t="s">
        <v>1148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576</v>
      </c>
      <c r="N19" s="37" t="s">
        <v>4366</v>
      </c>
      <c r="O19" s="37" t="s">
        <v>4384</v>
      </c>
      <c r="P19" s="37" t="s">
        <v>1422</v>
      </c>
      <c r="Q19" s="37" t="s">
        <v>4411</v>
      </c>
      <c r="R19" s="37" t="s">
        <v>1459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577</v>
      </c>
      <c r="N20" s="37" t="s">
        <v>4367</v>
      </c>
      <c r="O20" s="37" t="s">
        <v>1196</v>
      </c>
      <c r="P20" s="37" t="s">
        <v>4398</v>
      </c>
      <c r="Q20" s="37" t="s">
        <v>4412</v>
      </c>
      <c r="R20" s="37" t="s">
        <v>1457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1501</v>
      </c>
      <c r="M21" s="37" t="s">
        <v>578</v>
      </c>
      <c r="N21" s="37" t="s">
        <v>1162</v>
      </c>
      <c r="O21" s="37" t="s">
        <v>1197</v>
      </c>
      <c r="P21" s="37" t="s">
        <v>4399</v>
      </c>
      <c r="Q21" s="37" t="s">
        <v>4413</v>
      </c>
      <c r="R21" s="37" t="s">
        <v>1116</v>
      </c>
    </row>
    <row r="22" spans="1:18" x14ac:dyDescent="0.25">
      <c r="A22" s="37" t="s">
        <v>4320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579</v>
      </c>
      <c r="N22" s="37" t="s">
        <v>1163</v>
      </c>
      <c r="O22" s="37" t="s">
        <v>1198</v>
      </c>
      <c r="P22" s="37" t="s">
        <v>4400</v>
      </c>
      <c r="Q22" s="37" t="s">
        <v>4414</v>
      </c>
      <c r="R22" s="37" t="s">
        <v>1145</v>
      </c>
    </row>
    <row r="23" spans="1:18" x14ac:dyDescent="0.25">
      <c r="A23" s="37" t="s">
        <v>54</v>
      </c>
      <c r="F23" s="37" t="s">
        <v>140</v>
      </c>
      <c r="I23" s="37" t="s">
        <v>4322</v>
      </c>
      <c r="J23" s="37" t="s">
        <v>292</v>
      </c>
      <c r="K23" s="37" t="s">
        <v>321</v>
      </c>
      <c r="L23" s="37" t="s">
        <v>345</v>
      </c>
      <c r="M23" s="37" t="s">
        <v>580</v>
      </c>
      <c r="N23" s="37" t="s">
        <v>1164</v>
      </c>
      <c r="O23" s="37" t="s">
        <v>1199</v>
      </c>
      <c r="P23" s="37" t="s">
        <v>1423</v>
      </c>
      <c r="Q23" s="37" t="s">
        <v>4415</v>
      </c>
      <c r="R23" s="37" t="s">
        <v>1472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1502</v>
      </c>
      <c r="M24" s="37" t="s">
        <v>581</v>
      </c>
      <c r="N24" s="37" t="s">
        <v>4368</v>
      </c>
      <c r="O24" s="37" t="s">
        <v>1200</v>
      </c>
      <c r="P24" s="37" t="s">
        <v>1424</v>
      </c>
      <c r="Q24" s="37" t="s">
        <v>4416</v>
      </c>
      <c r="R24" s="37" t="s">
        <v>4354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346</v>
      </c>
      <c r="M25" s="37" t="s">
        <v>582</v>
      </c>
      <c r="N25" s="37" t="s">
        <v>4369</v>
      </c>
      <c r="O25" s="37" t="s">
        <v>1201</v>
      </c>
      <c r="P25" s="37" t="s">
        <v>1425</v>
      </c>
      <c r="Q25" s="37" t="s">
        <v>4348</v>
      </c>
      <c r="R25" s="37" t="s">
        <v>4343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347</v>
      </c>
      <c r="M26" s="37" t="s">
        <v>583</v>
      </c>
      <c r="N26" s="37" t="s">
        <v>4370</v>
      </c>
      <c r="O26" s="37" t="s">
        <v>4385</v>
      </c>
      <c r="P26" s="37" t="s">
        <v>4401</v>
      </c>
      <c r="Q26" s="37" t="s">
        <v>1437</v>
      </c>
      <c r="R26" s="37" t="s">
        <v>4344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348</v>
      </c>
      <c r="M27" s="37" t="s">
        <v>584</v>
      </c>
      <c r="N27" s="37" t="s">
        <v>1165</v>
      </c>
      <c r="O27" s="37" t="s">
        <v>1202</v>
      </c>
      <c r="P27" s="37" t="s">
        <v>4402</v>
      </c>
      <c r="Q27" s="37" t="s">
        <v>4444</v>
      </c>
      <c r="R27" s="37" t="s">
        <v>4345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349</v>
      </c>
      <c r="M28" s="37" t="s">
        <v>585</v>
      </c>
      <c r="N28" s="37" t="s">
        <v>1166</v>
      </c>
      <c r="O28" s="37" t="s">
        <v>1203</v>
      </c>
      <c r="P28" s="37" t="s">
        <v>1426</v>
      </c>
      <c r="Q28" s="37" t="s">
        <v>4445</v>
      </c>
      <c r="R28" s="37" t="s">
        <v>1458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350</v>
      </c>
      <c r="M29" s="37" t="s">
        <v>586</v>
      </c>
      <c r="N29" s="37" t="s">
        <v>4371</v>
      </c>
      <c r="O29" s="37" t="s">
        <v>1204</v>
      </c>
      <c r="P29" s="37" t="s">
        <v>1427</v>
      </c>
      <c r="Q29" s="37" t="s">
        <v>1438</v>
      </c>
      <c r="R29" s="37" t="s">
        <v>4346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351</v>
      </c>
      <c r="M30" s="37" t="s">
        <v>587</v>
      </c>
      <c r="N30" s="37" t="s">
        <v>4372</v>
      </c>
      <c r="O30" s="37" t="s">
        <v>1205</v>
      </c>
      <c r="P30" s="37" t="s">
        <v>1126</v>
      </c>
      <c r="Q30" s="37" t="s">
        <v>4446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352</v>
      </c>
      <c r="M31" s="37" t="s">
        <v>588</v>
      </c>
      <c r="N31" s="37" t="s">
        <v>1167</v>
      </c>
      <c r="O31" s="37" t="s">
        <v>1206</v>
      </c>
      <c r="P31" s="37" t="s">
        <v>1428</v>
      </c>
      <c r="Q31" s="37" t="s">
        <v>4447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353</v>
      </c>
      <c r="M32" s="37" t="s">
        <v>589</v>
      </c>
      <c r="N32" s="37" t="s">
        <v>1168</v>
      </c>
      <c r="O32" s="37" t="s">
        <v>1207</v>
      </c>
      <c r="P32" s="37" t="s">
        <v>1429</v>
      </c>
      <c r="Q32" s="37" t="s">
        <v>4448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354</v>
      </c>
      <c r="M33" s="37" t="s">
        <v>590</v>
      </c>
      <c r="N33" s="37" t="s">
        <v>4373</v>
      </c>
      <c r="O33" s="37" t="s">
        <v>1208</v>
      </c>
      <c r="P33" s="37" t="s">
        <v>1430</v>
      </c>
      <c r="Q33" s="37" t="s">
        <v>1439</v>
      </c>
    </row>
    <row r="34" spans="1:17" x14ac:dyDescent="0.25">
      <c r="A34" s="37" t="s">
        <v>64</v>
      </c>
      <c r="F34" s="37" t="s">
        <v>151</v>
      </c>
      <c r="L34" s="37" t="s">
        <v>355</v>
      </c>
      <c r="M34" s="37" t="s">
        <v>591</v>
      </c>
      <c r="N34" s="37" t="s">
        <v>4374</v>
      </c>
      <c r="O34" s="37" t="s">
        <v>1209</v>
      </c>
      <c r="P34" s="37" t="s">
        <v>1127</v>
      </c>
      <c r="Q34" s="37" t="s">
        <v>1440</v>
      </c>
    </row>
    <row r="35" spans="1:17" x14ac:dyDescent="0.25">
      <c r="A35" s="37" t="s">
        <v>65</v>
      </c>
      <c r="F35" s="37" t="s">
        <v>152</v>
      </c>
      <c r="L35" s="37" t="s">
        <v>356</v>
      </c>
      <c r="M35" s="37" t="s">
        <v>592</v>
      </c>
      <c r="N35" s="37" t="s">
        <v>1169</v>
      </c>
      <c r="O35" s="37" t="s">
        <v>1210</v>
      </c>
      <c r="P35" s="37" t="s">
        <v>1431</v>
      </c>
      <c r="Q35" s="37" t="s">
        <v>1441</v>
      </c>
    </row>
    <row r="36" spans="1:17" x14ac:dyDescent="0.25">
      <c r="A36" s="37" t="s">
        <v>66</v>
      </c>
      <c r="F36" s="37" t="s">
        <v>153</v>
      </c>
      <c r="L36" s="37" t="s">
        <v>4312</v>
      </c>
      <c r="M36" s="37" t="s">
        <v>593</v>
      </c>
      <c r="N36" s="37" t="s">
        <v>4375</v>
      </c>
      <c r="O36" s="37" t="s">
        <v>1211</v>
      </c>
      <c r="P36" s="37" t="s">
        <v>1432</v>
      </c>
      <c r="Q36" s="37" t="s">
        <v>4449</v>
      </c>
    </row>
    <row r="37" spans="1:17" x14ac:dyDescent="0.25">
      <c r="A37" s="37" t="s">
        <v>67</v>
      </c>
      <c r="F37" s="37" t="s">
        <v>154</v>
      </c>
      <c r="L37" s="38" t="s">
        <v>357</v>
      </c>
      <c r="M37" s="37" t="s">
        <v>594</v>
      </c>
      <c r="N37" s="37" t="s">
        <v>4376</v>
      </c>
      <c r="O37" s="37" t="s">
        <v>1212</v>
      </c>
      <c r="P37" s="37" t="s">
        <v>1433</v>
      </c>
      <c r="Q37" s="37" t="s">
        <v>1442</v>
      </c>
    </row>
    <row r="38" spans="1:17" x14ac:dyDescent="0.25">
      <c r="A38" s="37" t="s">
        <v>68</v>
      </c>
      <c r="F38" s="37" t="s">
        <v>155</v>
      </c>
      <c r="L38" s="37" t="s">
        <v>358</v>
      </c>
      <c r="M38" s="37" t="s">
        <v>595</v>
      </c>
      <c r="N38" s="37" t="s">
        <v>1170</v>
      </c>
      <c r="O38" s="37" t="s">
        <v>1213</v>
      </c>
      <c r="P38" s="37" t="s">
        <v>1434</v>
      </c>
      <c r="Q38" s="37" t="s">
        <v>4450</v>
      </c>
    </row>
    <row r="39" spans="1:17" ht="26" x14ac:dyDescent="0.25">
      <c r="A39" s="37" t="s">
        <v>69</v>
      </c>
      <c r="F39" s="37" t="s">
        <v>156</v>
      </c>
      <c r="L39" s="38" t="s">
        <v>359</v>
      </c>
      <c r="M39" s="37" t="s">
        <v>596</v>
      </c>
      <c r="N39" s="37" t="s">
        <v>1171</v>
      </c>
      <c r="O39" s="37" t="s">
        <v>1214</v>
      </c>
      <c r="Q39" s="37" t="s">
        <v>4451</v>
      </c>
    </row>
    <row r="40" spans="1:17" ht="26" x14ac:dyDescent="0.25">
      <c r="A40" s="37" t="s">
        <v>70</v>
      </c>
      <c r="F40" s="37" t="s">
        <v>157</v>
      </c>
      <c r="L40" s="38" t="s">
        <v>360</v>
      </c>
      <c r="M40" s="37" t="s">
        <v>597</v>
      </c>
      <c r="N40" s="37" t="s">
        <v>4377</v>
      </c>
      <c r="O40" s="37" t="s">
        <v>1215</v>
      </c>
      <c r="Q40" s="37" t="s">
        <v>4452</v>
      </c>
    </row>
    <row r="41" spans="1:17" x14ac:dyDescent="0.25">
      <c r="A41" s="37" t="s">
        <v>71</v>
      </c>
      <c r="F41" s="37" t="s">
        <v>158</v>
      </c>
      <c r="L41" s="37" t="s">
        <v>361</v>
      </c>
      <c r="M41" s="37" t="s">
        <v>598</v>
      </c>
      <c r="N41" s="37" t="s">
        <v>1172</v>
      </c>
      <c r="O41" s="37" t="s">
        <v>1216</v>
      </c>
      <c r="Q41" s="37" t="s">
        <v>4453</v>
      </c>
    </row>
    <row r="42" spans="1:17" x14ac:dyDescent="0.25">
      <c r="A42" s="37" t="s">
        <v>72</v>
      </c>
      <c r="F42" s="37" t="s">
        <v>159</v>
      </c>
      <c r="L42" s="37" t="s">
        <v>362</v>
      </c>
      <c r="M42" s="37" t="s">
        <v>599</v>
      </c>
      <c r="N42" s="37" t="s">
        <v>1173</v>
      </c>
      <c r="O42" s="37" t="s">
        <v>1217</v>
      </c>
      <c r="Q42" s="37" t="s">
        <v>1443</v>
      </c>
    </row>
    <row r="43" spans="1:17" x14ac:dyDescent="0.25">
      <c r="A43" s="37" t="s">
        <v>1128</v>
      </c>
      <c r="F43" s="37" t="s">
        <v>160</v>
      </c>
      <c r="L43" s="37" t="s">
        <v>363</v>
      </c>
      <c r="M43" s="37" t="s">
        <v>600</v>
      </c>
      <c r="N43" s="37" t="s">
        <v>4378</v>
      </c>
      <c r="O43" s="37" t="s">
        <v>1218</v>
      </c>
      <c r="Q43" s="37" t="s">
        <v>4454</v>
      </c>
    </row>
    <row r="44" spans="1:17" x14ac:dyDescent="0.25">
      <c r="A44" s="37" t="s">
        <v>73</v>
      </c>
      <c r="F44" s="37" t="s">
        <v>161</v>
      </c>
      <c r="L44" s="37" t="s">
        <v>1503</v>
      </c>
      <c r="M44" s="37" t="s">
        <v>1513</v>
      </c>
      <c r="N44" s="37" t="s">
        <v>1174</v>
      </c>
      <c r="O44" s="37" t="s">
        <v>1219</v>
      </c>
      <c r="Q44" s="37" t="s">
        <v>906</v>
      </c>
    </row>
    <row r="45" spans="1:17" x14ac:dyDescent="0.25">
      <c r="A45" s="37" t="s">
        <v>74</v>
      </c>
      <c r="F45" s="37" t="s">
        <v>162</v>
      </c>
      <c r="L45" s="37" t="s">
        <v>364</v>
      </c>
      <c r="M45" s="37" t="s">
        <v>601</v>
      </c>
      <c r="N45" s="37" t="s">
        <v>4379</v>
      </c>
      <c r="O45" s="37" t="s">
        <v>1220</v>
      </c>
      <c r="Q45" s="37" t="s">
        <v>910</v>
      </c>
    </row>
    <row r="46" spans="1:17" x14ac:dyDescent="0.25">
      <c r="A46" s="37" t="s">
        <v>75</v>
      </c>
      <c r="F46" s="37" t="s">
        <v>163</v>
      </c>
      <c r="L46" s="37" t="s">
        <v>365</v>
      </c>
      <c r="M46" s="37" t="s">
        <v>602</v>
      </c>
      <c r="N46" s="37" t="s">
        <v>4380</v>
      </c>
      <c r="O46" s="37" t="s">
        <v>1221</v>
      </c>
      <c r="Q46" s="37" t="s">
        <v>1444</v>
      </c>
    </row>
    <row r="47" spans="1:17" x14ac:dyDescent="0.25">
      <c r="A47" s="37" t="s">
        <v>76</v>
      </c>
      <c r="F47" s="37" t="s">
        <v>164</v>
      </c>
      <c r="L47" s="37" t="s">
        <v>366</v>
      </c>
      <c r="M47" s="37" t="s">
        <v>603</v>
      </c>
      <c r="N47" s="37" t="s">
        <v>1175</v>
      </c>
      <c r="O47" s="37" t="s">
        <v>1222</v>
      </c>
      <c r="Q47" s="37" t="s">
        <v>1445</v>
      </c>
    </row>
    <row r="48" spans="1:17" x14ac:dyDescent="0.25">
      <c r="A48" s="37" t="s">
        <v>77</v>
      </c>
      <c r="F48" s="37" t="s">
        <v>165</v>
      </c>
      <c r="L48" s="37" t="s">
        <v>367</v>
      </c>
      <c r="M48" s="37" t="s">
        <v>604</v>
      </c>
      <c r="N48" s="37" t="s">
        <v>1176</v>
      </c>
      <c r="O48" s="37" t="s">
        <v>1223</v>
      </c>
      <c r="Q48" s="37" t="s">
        <v>1446</v>
      </c>
    </row>
    <row r="49" spans="1:17" x14ac:dyDescent="0.25">
      <c r="A49" s="37" t="s">
        <v>78</v>
      </c>
      <c r="F49" s="37" t="s">
        <v>166</v>
      </c>
      <c r="L49" s="37" t="s">
        <v>368</v>
      </c>
      <c r="M49" s="37" t="s">
        <v>605</v>
      </c>
      <c r="N49" s="37" t="s">
        <v>4381</v>
      </c>
      <c r="O49" s="37" t="s">
        <v>1224</v>
      </c>
      <c r="Q49" s="37" t="s">
        <v>4455</v>
      </c>
    </row>
    <row r="50" spans="1:17" x14ac:dyDescent="0.25">
      <c r="A50" s="37" t="s">
        <v>79</v>
      </c>
      <c r="F50" s="37" t="s">
        <v>113</v>
      </c>
      <c r="L50" s="37" t="s">
        <v>369</v>
      </c>
      <c r="M50" s="37" t="s">
        <v>606</v>
      </c>
      <c r="N50" s="37" t="s">
        <v>1177</v>
      </c>
      <c r="O50" s="37" t="s">
        <v>1225</v>
      </c>
      <c r="Q50" s="37" t="s">
        <v>1447</v>
      </c>
    </row>
    <row r="51" spans="1:17" x14ac:dyDescent="0.25">
      <c r="A51" s="37" t="s">
        <v>80</v>
      </c>
      <c r="F51" s="37" t="s">
        <v>167</v>
      </c>
      <c r="L51" s="37" t="s">
        <v>370</v>
      </c>
      <c r="M51" s="37" t="s">
        <v>607</v>
      </c>
      <c r="N51" s="37" t="s">
        <v>4382</v>
      </c>
      <c r="O51" s="37" t="s">
        <v>1226</v>
      </c>
      <c r="Q51" s="37" t="s">
        <v>1448</v>
      </c>
    </row>
    <row r="52" spans="1:17" x14ac:dyDescent="0.25">
      <c r="A52" s="37" t="s">
        <v>81</v>
      </c>
      <c r="F52" s="37" t="s">
        <v>168</v>
      </c>
      <c r="L52" s="37" t="s">
        <v>371</v>
      </c>
      <c r="M52" s="37" t="s">
        <v>608</v>
      </c>
      <c r="N52" s="37" t="s">
        <v>1178</v>
      </c>
      <c r="O52" s="37" t="s">
        <v>1227</v>
      </c>
      <c r="Q52" s="37" t="s">
        <v>4417</v>
      </c>
    </row>
    <row r="53" spans="1:17" x14ac:dyDescent="0.25">
      <c r="A53" s="37" t="s">
        <v>82</v>
      </c>
      <c r="L53" s="37" t="s">
        <v>372</v>
      </c>
      <c r="M53" s="37" t="s">
        <v>609</v>
      </c>
      <c r="O53" s="37" t="s">
        <v>1228</v>
      </c>
      <c r="Q53" s="37" t="s">
        <v>4456</v>
      </c>
    </row>
    <row r="54" spans="1:17" x14ac:dyDescent="0.25">
      <c r="A54" s="37" t="s">
        <v>83</v>
      </c>
      <c r="L54" s="37" t="s">
        <v>373</v>
      </c>
      <c r="M54" s="37" t="s">
        <v>609</v>
      </c>
      <c r="O54" s="37" t="s">
        <v>1229</v>
      </c>
      <c r="Q54" s="37" t="s">
        <v>1449</v>
      </c>
    </row>
    <row r="55" spans="1:17" x14ac:dyDescent="0.25">
      <c r="A55" s="37" t="s">
        <v>84</v>
      </c>
      <c r="L55" s="37" t="s">
        <v>374</v>
      </c>
      <c r="M55" s="37" t="s">
        <v>609</v>
      </c>
      <c r="O55" s="37" t="s">
        <v>1230</v>
      </c>
      <c r="Q55" s="37" t="s">
        <v>4418</v>
      </c>
    </row>
    <row r="56" spans="1:17" x14ac:dyDescent="0.25">
      <c r="A56" s="37" t="s">
        <v>85</v>
      </c>
      <c r="L56" s="37" t="s">
        <v>375</v>
      </c>
      <c r="M56" s="37" t="s">
        <v>609</v>
      </c>
      <c r="O56" s="37" t="s">
        <v>1231</v>
      </c>
      <c r="Q56" s="37" t="s">
        <v>4419</v>
      </c>
    </row>
    <row r="57" spans="1:17" x14ac:dyDescent="0.25">
      <c r="A57" s="37" t="s">
        <v>86</v>
      </c>
      <c r="L57" s="37" t="s">
        <v>376</v>
      </c>
      <c r="M57" s="37" t="s">
        <v>610</v>
      </c>
      <c r="O57" s="37" t="s">
        <v>1232</v>
      </c>
      <c r="Q57" s="37" t="s">
        <v>4420</v>
      </c>
    </row>
    <row r="58" spans="1:17" x14ac:dyDescent="0.25">
      <c r="A58" s="37" t="s">
        <v>87</v>
      </c>
      <c r="L58" s="37" t="s">
        <v>377</v>
      </c>
      <c r="M58" s="37" t="s">
        <v>611</v>
      </c>
      <c r="O58" s="37" t="s">
        <v>1233</v>
      </c>
      <c r="Q58" s="37" t="s">
        <v>4457</v>
      </c>
    </row>
    <row r="59" spans="1:17" x14ac:dyDescent="0.25">
      <c r="A59" s="37" t="s">
        <v>88</v>
      </c>
      <c r="L59" s="37" t="s">
        <v>378</v>
      </c>
      <c r="M59" s="37" t="s">
        <v>612</v>
      </c>
      <c r="O59" s="37" t="s">
        <v>1234</v>
      </c>
      <c r="Q59" s="37" t="s">
        <v>4421</v>
      </c>
    </row>
    <row r="60" spans="1:17" x14ac:dyDescent="0.25">
      <c r="A60" s="37" t="s">
        <v>89</v>
      </c>
      <c r="L60" s="37" t="s">
        <v>379</v>
      </c>
      <c r="M60" s="37" t="s">
        <v>613</v>
      </c>
      <c r="O60" s="37" t="s">
        <v>1235</v>
      </c>
      <c r="Q60" s="37" t="s">
        <v>4422</v>
      </c>
    </row>
    <row r="61" spans="1:17" x14ac:dyDescent="0.25">
      <c r="A61" s="37" t="s">
        <v>90</v>
      </c>
      <c r="L61" s="37" t="s">
        <v>380</v>
      </c>
      <c r="M61" s="37" t="s">
        <v>614</v>
      </c>
      <c r="O61" s="37" t="s">
        <v>4386</v>
      </c>
      <c r="Q61" s="37" t="s">
        <v>4458</v>
      </c>
    </row>
    <row r="62" spans="1:17" x14ac:dyDescent="0.25">
      <c r="L62" s="37" t="s">
        <v>381</v>
      </c>
      <c r="M62" s="37" t="s">
        <v>615</v>
      </c>
      <c r="O62" s="37" t="s">
        <v>1236</v>
      </c>
      <c r="Q62" s="37" t="s">
        <v>962</v>
      </c>
    </row>
    <row r="63" spans="1:17" x14ac:dyDescent="0.25">
      <c r="L63" s="37" t="s">
        <v>382</v>
      </c>
      <c r="M63" s="37" t="s">
        <v>1514</v>
      </c>
      <c r="O63" s="37" t="s">
        <v>1237</v>
      </c>
      <c r="Q63" s="37" t="s">
        <v>1450</v>
      </c>
    </row>
    <row r="64" spans="1:17" x14ac:dyDescent="0.25">
      <c r="L64" s="37" t="s">
        <v>383</v>
      </c>
      <c r="M64" s="37" t="s">
        <v>616</v>
      </c>
      <c r="O64" s="37" t="s">
        <v>1238</v>
      </c>
      <c r="Q64" s="37" t="s">
        <v>4423</v>
      </c>
    </row>
    <row r="65" spans="12:17" x14ac:dyDescent="0.25">
      <c r="L65" s="37" t="s">
        <v>384</v>
      </c>
      <c r="M65" s="37" t="s">
        <v>617</v>
      </c>
      <c r="O65" s="37" t="s">
        <v>1239</v>
      </c>
      <c r="Q65" s="37" t="s">
        <v>4349</v>
      </c>
    </row>
    <row r="66" spans="12:17" x14ac:dyDescent="0.25">
      <c r="L66" s="37" t="s">
        <v>1118</v>
      </c>
      <c r="M66" s="37" t="s">
        <v>618</v>
      </c>
      <c r="O66" s="37" t="s">
        <v>1240</v>
      </c>
      <c r="Q66" s="37" t="s">
        <v>1451</v>
      </c>
    </row>
    <row r="67" spans="12:17" x14ac:dyDescent="0.25">
      <c r="L67" s="37" t="s">
        <v>1119</v>
      </c>
      <c r="M67" s="37" t="s">
        <v>619</v>
      </c>
      <c r="O67" s="37" t="s">
        <v>1241</v>
      </c>
      <c r="Q67" s="37" t="s">
        <v>4424</v>
      </c>
    </row>
    <row r="68" spans="12:17" x14ac:dyDescent="0.25">
      <c r="L68" s="37" t="s">
        <v>385</v>
      </c>
      <c r="M68" s="37" t="s">
        <v>620</v>
      </c>
      <c r="O68" s="37" t="s">
        <v>1242</v>
      </c>
      <c r="Q68" s="37" t="s">
        <v>4425</v>
      </c>
    </row>
    <row r="69" spans="12:17" x14ac:dyDescent="0.25">
      <c r="L69" s="37" t="s">
        <v>4301</v>
      </c>
      <c r="M69" s="37" t="s">
        <v>621</v>
      </c>
      <c r="O69" s="37" t="s">
        <v>1243</v>
      </c>
      <c r="Q69" s="37" t="s">
        <v>4426</v>
      </c>
    </row>
    <row r="70" spans="12:17" x14ac:dyDescent="0.25">
      <c r="L70" s="37" t="s">
        <v>386</v>
      </c>
      <c r="M70" s="37" t="s">
        <v>622</v>
      </c>
      <c r="O70" s="37" t="s">
        <v>1244</v>
      </c>
      <c r="Q70" s="37" t="s">
        <v>4427</v>
      </c>
    </row>
    <row r="71" spans="12:17" x14ac:dyDescent="0.25">
      <c r="L71" s="37" t="s">
        <v>387</v>
      </c>
      <c r="M71" s="37" t="s">
        <v>623</v>
      </c>
      <c r="O71" s="37" t="s">
        <v>1245</v>
      </c>
      <c r="Q71" s="37" t="s">
        <v>1002</v>
      </c>
    </row>
    <row r="72" spans="12:17" x14ac:dyDescent="0.25">
      <c r="L72" s="37" t="s">
        <v>388</v>
      </c>
      <c r="M72" s="37" t="s">
        <v>624</v>
      </c>
      <c r="O72" s="37" t="s">
        <v>1246</v>
      </c>
      <c r="Q72" s="37" t="s">
        <v>1016</v>
      </c>
    </row>
    <row r="73" spans="12:17" x14ac:dyDescent="0.25">
      <c r="L73" s="37" t="s">
        <v>389</v>
      </c>
      <c r="M73" s="37" t="s">
        <v>625</v>
      </c>
      <c r="O73" s="37" t="s">
        <v>1247</v>
      </c>
      <c r="Q73" s="37" t="s">
        <v>1027</v>
      </c>
    </row>
    <row r="74" spans="12:17" x14ac:dyDescent="0.25">
      <c r="L74" s="37" t="s">
        <v>390</v>
      </c>
      <c r="M74" s="37" t="s">
        <v>626</v>
      </c>
      <c r="O74" s="37" t="s">
        <v>1248</v>
      </c>
      <c r="Q74" s="37" t="s">
        <v>1044</v>
      </c>
    </row>
    <row r="75" spans="12:17" x14ac:dyDescent="0.25">
      <c r="L75" s="37" t="s">
        <v>391</v>
      </c>
      <c r="M75" s="37" t="s">
        <v>627</v>
      </c>
      <c r="O75" s="37" t="s">
        <v>1249</v>
      </c>
      <c r="Q75" s="37" t="s">
        <v>1054</v>
      </c>
    </row>
    <row r="76" spans="12:17" x14ac:dyDescent="0.25">
      <c r="L76" s="37" t="s">
        <v>4277</v>
      </c>
      <c r="M76" s="37" t="s">
        <v>628</v>
      </c>
      <c r="O76" s="37" t="s">
        <v>1250</v>
      </c>
      <c r="Q76" s="37" t="s">
        <v>1065</v>
      </c>
    </row>
    <row r="77" spans="12:17" x14ac:dyDescent="0.25">
      <c r="L77" s="37" t="s">
        <v>4299</v>
      </c>
      <c r="M77" s="37" t="s">
        <v>629</v>
      </c>
      <c r="O77" s="37" t="s">
        <v>1251</v>
      </c>
    </row>
    <row r="78" spans="12:17" x14ac:dyDescent="0.25">
      <c r="L78" s="37" t="s">
        <v>4297</v>
      </c>
      <c r="M78" s="37" t="s">
        <v>1515</v>
      </c>
      <c r="O78" s="37" t="s">
        <v>1252</v>
      </c>
    </row>
    <row r="79" spans="12:17" x14ac:dyDescent="0.25">
      <c r="L79" s="37" t="s">
        <v>392</v>
      </c>
      <c r="M79" s="37" t="s">
        <v>630</v>
      </c>
      <c r="O79" s="37" t="s">
        <v>1253</v>
      </c>
    </row>
    <row r="80" spans="12:17" x14ac:dyDescent="0.25">
      <c r="L80" s="37" t="s">
        <v>1120</v>
      </c>
      <c r="M80" s="37" t="s">
        <v>631</v>
      </c>
      <c r="O80" s="37" t="s">
        <v>1254</v>
      </c>
    </row>
    <row r="81" spans="12:15" x14ac:dyDescent="0.25">
      <c r="L81" s="37" t="s">
        <v>393</v>
      </c>
      <c r="M81" s="37" t="s">
        <v>632</v>
      </c>
      <c r="O81" s="37" t="s">
        <v>1255</v>
      </c>
    </row>
    <row r="82" spans="12:15" x14ac:dyDescent="0.25">
      <c r="L82" s="37" t="s">
        <v>394</v>
      </c>
      <c r="M82" s="37" t="s">
        <v>633</v>
      </c>
      <c r="O82" s="37" t="s">
        <v>1256</v>
      </c>
    </row>
    <row r="83" spans="12:15" x14ac:dyDescent="0.25">
      <c r="L83" s="37" t="s">
        <v>395</v>
      </c>
      <c r="M83" s="37" t="s">
        <v>634</v>
      </c>
      <c r="O83" s="37" t="s">
        <v>1257</v>
      </c>
    </row>
    <row r="84" spans="12:15" x14ac:dyDescent="0.25">
      <c r="L84" s="37" t="s">
        <v>396</v>
      </c>
      <c r="M84" s="37" t="s">
        <v>635</v>
      </c>
      <c r="O84" s="37" t="s">
        <v>1258</v>
      </c>
    </row>
    <row r="85" spans="12:15" x14ac:dyDescent="0.25">
      <c r="L85" s="37" t="s">
        <v>4289</v>
      </c>
      <c r="M85" s="37" t="s">
        <v>636</v>
      </c>
      <c r="O85" s="37" t="s">
        <v>1259</v>
      </c>
    </row>
    <row r="86" spans="12:15" x14ac:dyDescent="0.25">
      <c r="L86" s="37" t="s">
        <v>397</v>
      </c>
      <c r="M86" s="37" t="s">
        <v>637</v>
      </c>
      <c r="O86" s="37" t="s">
        <v>1260</v>
      </c>
    </row>
    <row r="87" spans="12:15" x14ac:dyDescent="0.25">
      <c r="L87" s="37" t="s">
        <v>398</v>
      </c>
      <c r="M87" s="37" t="s">
        <v>638</v>
      </c>
      <c r="O87" s="37" t="s">
        <v>1261</v>
      </c>
    </row>
    <row r="88" spans="12:15" x14ac:dyDescent="0.25">
      <c r="L88" s="37" t="s">
        <v>399</v>
      </c>
      <c r="M88" s="37" t="s">
        <v>639</v>
      </c>
      <c r="O88" s="37" t="s">
        <v>1262</v>
      </c>
    </row>
    <row r="89" spans="12:15" x14ac:dyDescent="0.25">
      <c r="L89" s="37" t="s">
        <v>400</v>
      </c>
      <c r="M89" s="37" t="s">
        <v>640</v>
      </c>
      <c r="O89" s="37" t="s">
        <v>1263</v>
      </c>
    </row>
    <row r="90" spans="12:15" x14ac:dyDescent="0.25">
      <c r="L90" s="37" t="s">
        <v>401</v>
      </c>
      <c r="M90" s="37" t="s">
        <v>641</v>
      </c>
      <c r="O90" s="37" t="s">
        <v>1264</v>
      </c>
    </row>
    <row r="91" spans="12:15" x14ac:dyDescent="0.25">
      <c r="L91" s="37" t="s">
        <v>1504</v>
      </c>
      <c r="M91" s="37" t="s">
        <v>642</v>
      </c>
      <c r="O91" s="37" t="s">
        <v>1265</v>
      </c>
    </row>
    <row r="92" spans="12:15" x14ac:dyDescent="0.25">
      <c r="L92" s="37" t="s">
        <v>402</v>
      </c>
      <c r="M92" s="37" t="s">
        <v>643</v>
      </c>
      <c r="O92" s="37" t="s">
        <v>1266</v>
      </c>
    </row>
    <row r="93" spans="12:15" x14ac:dyDescent="0.25">
      <c r="L93" s="37" t="s">
        <v>403</v>
      </c>
      <c r="M93" s="37" t="s">
        <v>644</v>
      </c>
      <c r="O93" s="37" t="s">
        <v>1267</v>
      </c>
    </row>
    <row r="94" spans="12:15" x14ac:dyDescent="0.25">
      <c r="L94" s="37" t="s">
        <v>404</v>
      </c>
      <c r="M94" s="37" t="s">
        <v>645</v>
      </c>
      <c r="O94" s="37" t="s">
        <v>1268</v>
      </c>
    </row>
    <row r="95" spans="12:15" x14ac:dyDescent="0.25">
      <c r="L95" s="37" t="s">
        <v>405</v>
      </c>
      <c r="M95" s="37" t="s">
        <v>646</v>
      </c>
      <c r="O95" s="37" t="s">
        <v>1269</v>
      </c>
    </row>
    <row r="96" spans="12:15" x14ac:dyDescent="0.25">
      <c r="L96" s="37" t="s">
        <v>406</v>
      </c>
      <c r="M96" s="37" t="s">
        <v>647</v>
      </c>
      <c r="O96" s="37" t="s">
        <v>1270</v>
      </c>
    </row>
    <row r="97" spans="12:15" x14ac:dyDescent="0.25">
      <c r="L97" s="37" t="s">
        <v>407</v>
      </c>
      <c r="M97" s="37" t="s">
        <v>648</v>
      </c>
      <c r="O97" s="37" t="s">
        <v>1271</v>
      </c>
    </row>
    <row r="98" spans="12:15" x14ac:dyDescent="0.25">
      <c r="L98" s="37" t="s">
        <v>408</v>
      </c>
      <c r="M98" s="37" t="s">
        <v>649</v>
      </c>
      <c r="O98" s="37" t="s">
        <v>1272</v>
      </c>
    </row>
    <row r="99" spans="12:15" x14ac:dyDescent="0.25">
      <c r="L99" s="37" t="s">
        <v>409</v>
      </c>
      <c r="M99" s="37" t="s">
        <v>650</v>
      </c>
      <c r="O99" s="37" t="s">
        <v>1273</v>
      </c>
    </row>
    <row r="100" spans="12:15" x14ac:dyDescent="0.25">
      <c r="L100" s="37" t="s">
        <v>410</v>
      </c>
      <c r="M100" s="37" t="s">
        <v>651</v>
      </c>
      <c r="O100" s="37" t="s">
        <v>1274</v>
      </c>
    </row>
    <row r="101" spans="12:15" x14ac:dyDescent="0.25">
      <c r="L101" s="37" t="s">
        <v>411</v>
      </c>
      <c r="M101" s="37" t="s">
        <v>652</v>
      </c>
      <c r="O101" s="37" t="s">
        <v>1275</v>
      </c>
    </row>
    <row r="102" spans="12:15" x14ac:dyDescent="0.25">
      <c r="L102" s="37" t="s">
        <v>412</v>
      </c>
      <c r="M102" s="37" t="s">
        <v>653</v>
      </c>
      <c r="O102" s="37" t="s">
        <v>1276</v>
      </c>
    </row>
    <row r="103" spans="12:15" x14ac:dyDescent="0.25">
      <c r="L103" s="37" t="s">
        <v>413</v>
      </c>
      <c r="M103" s="37" t="s">
        <v>654</v>
      </c>
      <c r="O103" s="37" t="s">
        <v>1277</v>
      </c>
    </row>
    <row r="104" spans="12:15" x14ac:dyDescent="0.25">
      <c r="L104" s="37" t="s">
        <v>414</v>
      </c>
      <c r="M104" s="37" t="s">
        <v>655</v>
      </c>
      <c r="O104" s="37" t="s">
        <v>1278</v>
      </c>
    </row>
    <row r="105" spans="12:15" x14ac:dyDescent="0.25">
      <c r="L105" s="37" t="s">
        <v>415</v>
      </c>
      <c r="M105" s="37" t="s">
        <v>656</v>
      </c>
      <c r="O105" s="37" t="s">
        <v>1279</v>
      </c>
    </row>
    <row r="106" spans="12:15" x14ac:dyDescent="0.25">
      <c r="L106" s="37" t="s">
        <v>416</v>
      </c>
      <c r="M106" s="37" t="s">
        <v>657</v>
      </c>
      <c r="O106" s="37" t="s">
        <v>1280</v>
      </c>
    </row>
    <row r="107" spans="12:15" x14ac:dyDescent="0.25">
      <c r="L107" s="37" t="s">
        <v>417</v>
      </c>
      <c r="M107" s="37" t="s">
        <v>658</v>
      </c>
      <c r="O107" s="37" t="s">
        <v>1281</v>
      </c>
    </row>
    <row r="108" spans="12:15" x14ac:dyDescent="0.25">
      <c r="L108" s="37" t="s">
        <v>4428</v>
      </c>
      <c r="M108" s="37" t="s">
        <v>659</v>
      </c>
      <c r="O108" s="37" t="s">
        <v>1282</v>
      </c>
    </row>
    <row r="109" spans="12:15" x14ac:dyDescent="0.25">
      <c r="L109" s="37" t="s">
        <v>4429</v>
      </c>
      <c r="M109" s="37" t="s">
        <v>660</v>
      </c>
      <c r="O109" s="37" t="s">
        <v>1283</v>
      </c>
    </row>
    <row r="110" spans="12:15" x14ac:dyDescent="0.25">
      <c r="L110" s="37" t="s">
        <v>418</v>
      </c>
      <c r="M110" s="37" t="s">
        <v>661</v>
      </c>
      <c r="O110" s="37" t="s">
        <v>1284</v>
      </c>
    </row>
    <row r="111" spans="12:15" x14ac:dyDescent="0.25">
      <c r="L111" s="37" t="s">
        <v>419</v>
      </c>
      <c r="M111" s="37" t="s">
        <v>662</v>
      </c>
      <c r="O111" s="37" t="s">
        <v>1285</v>
      </c>
    </row>
    <row r="112" spans="12:15" x14ac:dyDescent="0.25">
      <c r="L112" s="37" t="s">
        <v>420</v>
      </c>
      <c r="M112" s="37" t="s">
        <v>663</v>
      </c>
      <c r="O112" s="37" t="s">
        <v>1286</v>
      </c>
    </row>
    <row r="113" spans="12:15" x14ac:dyDescent="0.25">
      <c r="L113" s="37" t="s">
        <v>421</v>
      </c>
      <c r="M113" s="37" t="s">
        <v>664</v>
      </c>
      <c r="O113" s="37" t="s">
        <v>1287</v>
      </c>
    </row>
    <row r="114" spans="12:15" x14ac:dyDescent="0.25">
      <c r="L114" s="37" t="s">
        <v>422</v>
      </c>
      <c r="M114" s="37" t="s">
        <v>665</v>
      </c>
      <c r="O114" s="37" t="s">
        <v>1288</v>
      </c>
    </row>
    <row r="115" spans="12:15" x14ac:dyDescent="0.25">
      <c r="L115" s="37" t="s">
        <v>423</v>
      </c>
      <c r="M115" s="37" t="s">
        <v>666</v>
      </c>
      <c r="O115" s="37" t="s">
        <v>1289</v>
      </c>
    </row>
    <row r="116" spans="12:15" x14ac:dyDescent="0.25">
      <c r="L116" s="37" t="s">
        <v>424</v>
      </c>
      <c r="M116" s="37" t="s">
        <v>667</v>
      </c>
      <c r="O116" s="37" t="s">
        <v>1290</v>
      </c>
    </row>
    <row r="117" spans="12:15" x14ac:dyDescent="0.25">
      <c r="L117" s="37" t="s">
        <v>425</v>
      </c>
      <c r="M117" s="37" t="s">
        <v>668</v>
      </c>
      <c r="O117" s="37" t="s">
        <v>1291</v>
      </c>
    </row>
    <row r="118" spans="12:15" x14ac:dyDescent="0.25">
      <c r="L118" s="37" t="s">
        <v>426</v>
      </c>
      <c r="M118" s="37" t="s">
        <v>669</v>
      </c>
      <c r="O118" s="37" t="s">
        <v>1292</v>
      </c>
    </row>
    <row r="119" spans="12:15" x14ac:dyDescent="0.25">
      <c r="L119" s="37" t="s">
        <v>427</v>
      </c>
      <c r="M119" s="37" t="s">
        <v>670</v>
      </c>
      <c r="O119" s="37" t="s">
        <v>1293</v>
      </c>
    </row>
    <row r="120" spans="12:15" x14ac:dyDescent="0.25">
      <c r="L120" s="37" t="s">
        <v>428</v>
      </c>
      <c r="M120" s="37" t="s">
        <v>671</v>
      </c>
      <c r="O120" s="37" t="s">
        <v>1294</v>
      </c>
    </row>
    <row r="121" spans="12:15" x14ac:dyDescent="0.25">
      <c r="L121" s="37" t="s">
        <v>429</v>
      </c>
      <c r="M121" s="37" t="s">
        <v>672</v>
      </c>
      <c r="O121" s="37" t="s">
        <v>1295</v>
      </c>
    </row>
    <row r="122" spans="12:15" x14ac:dyDescent="0.25">
      <c r="L122" s="37" t="s">
        <v>430</v>
      </c>
      <c r="M122" s="37" t="s">
        <v>673</v>
      </c>
      <c r="O122" s="37" t="s">
        <v>1296</v>
      </c>
    </row>
    <row r="123" spans="12:15" x14ac:dyDescent="0.25">
      <c r="L123" s="37" t="s">
        <v>431</v>
      </c>
      <c r="M123" s="37" t="s">
        <v>674</v>
      </c>
      <c r="O123" s="37" t="s">
        <v>1297</v>
      </c>
    </row>
    <row r="124" spans="12:15" x14ac:dyDescent="0.25">
      <c r="L124" s="37" t="s">
        <v>4430</v>
      </c>
      <c r="M124" s="37" t="s">
        <v>675</v>
      </c>
      <c r="O124" s="37" t="s">
        <v>1298</v>
      </c>
    </row>
    <row r="125" spans="12:15" x14ac:dyDescent="0.25">
      <c r="L125" s="37" t="s">
        <v>432</v>
      </c>
      <c r="M125" s="37" t="s">
        <v>676</v>
      </c>
      <c r="O125" s="37" t="s">
        <v>1299</v>
      </c>
    </row>
    <row r="126" spans="12:15" x14ac:dyDescent="0.25">
      <c r="L126" s="37" t="s">
        <v>433</v>
      </c>
      <c r="M126" s="37" t="s">
        <v>677</v>
      </c>
      <c r="O126" s="37" t="s">
        <v>1300</v>
      </c>
    </row>
    <row r="127" spans="12:15" x14ac:dyDescent="0.25">
      <c r="L127" s="37" t="s">
        <v>434</v>
      </c>
      <c r="M127" s="37" t="s">
        <v>678</v>
      </c>
      <c r="O127" s="37" t="s">
        <v>1301</v>
      </c>
    </row>
    <row r="128" spans="12:15" x14ac:dyDescent="0.25">
      <c r="L128" s="37" t="s">
        <v>435</v>
      </c>
      <c r="M128" s="37" t="s">
        <v>679</v>
      </c>
      <c r="O128" s="37" t="s">
        <v>1302</v>
      </c>
    </row>
    <row r="129" spans="12:15" x14ac:dyDescent="0.25">
      <c r="L129" s="37" t="s">
        <v>436</v>
      </c>
      <c r="M129" s="37" t="s">
        <v>680</v>
      </c>
      <c r="O129" s="37" t="s">
        <v>1303</v>
      </c>
    </row>
    <row r="130" spans="12:15" x14ac:dyDescent="0.25">
      <c r="L130" s="37" t="s">
        <v>437</v>
      </c>
      <c r="M130" s="37" t="s">
        <v>681</v>
      </c>
      <c r="O130" s="37" t="s">
        <v>1304</v>
      </c>
    </row>
    <row r="131" spans="12:15" x14ac:dyDescent="0.25">
      <c r="L131" s="37" t="s">
        <v>438</v>
      </c>
      <c r="M131" s="37" t="s">
        <v>682</v>
      </c>
      <c r="O131" s="37" t="s">
        <v>1305</v>
      </c>
    </row>
    <row r="132" spans="12:15" x14ac:dyDescent="0.25">
      <c r="L132" s="37" t="s">
        <v>439</v>
      </c>
      <c r="M132" s="37" t="s">
        <v>683</v>
      </c>
      <c r="O132" s="37" t="s">
        <v>1306</v>
      </c>
    </row>
    <row r="133" spans="12:15" x14ac:dyDescent="0.25">
      <c r="L133" s="37" t="s">
        <v>440</v>
      </c>
      <c r="M133" s="37" t="s">
        <v>684</v>
      </c>
      <c r="O133" s="37" t="s">
        <v>1307</v>
      </c>
    </row>
    <row r="134" spans="12:15" x14ac:dyDescent="0.25">
      <c r="L134" s="37" t="s">
        <v>441</v>
      </c>
      <c r="M134" s="37" t="s">
        <v>685</v>
      </c>
      <c r="O134" s="37" t="s">
        <v>1308</v>
      </c>
    </row>
    <row r="135" spans="12:15" x14ac:dyDescent="0.25">
      <c r="L135" s="37" t="s">
        <v>442</v>
      </c>
      <c r="M135" s="37" t="s">
        <v>686</v>
      </c>
      <c r="O135" s="37" t="s">
        <v>1309</v>
      </c>
    </row>
    <row r="136" spans="12:15" x14ac:dyDescent="0.25">
      <c r="L136" s="37" t="s">
        <v>443</v>
      </c>
      <c r="M136" s="37" t="s">
        <v>687</v>
      </c>
      <c r="O136" s="37" t="s">
        <v>1310</v>
      </c>
    </row>
    <row r="137" spans="12:15" x14ac:dyDescent="0.25">
      <c r="L137" s="37" t="s">
        <v>444</v>
      </c>
      <c r="M137" s="37" t="s">
        <v>688</v>
      </c>
      <c r="O137" s="37" t="s">
        <v>1311</v>
      </c>
    </row>
    <row r="138" spans="12:15" x14ac:dyDescent="0.25">
      <c r="L138" s="37" t="s">
        <v>445</v>
      </c>
      <c r="M138" s="37" t="s">
        <v>689</v>
      </c>
      <c r="O138" s="37" t="s">
        <v>1312</v>
      </c>
    </row>
    <row r="139" spans="12:15" x14ac:dyDescent="0.25">
      <c r="L139" s="37" t="s">
        <v>446</v>
      </c>
      <c r="M139" s="37" t="s">
        <v>690</v>
      </c>
      <c r="O139" s="37" t="s">
        <v>1313</v>
      </c>
    </row>
    <row r="140" spans="12:15" x14ac:dyDescent="0.25">
      <c r="L140" s="37" t="s">
        <v>447</v>
      </c>
      <c r="M140" s="37" t="s">
        <v>691</v>
      </c>
      <c r="O140" s="37" t="s">
        <v>1314</v>
      </c>
    </row>
    <row r="141" spans="12:15" x14ac:dyDescent="0.25">
      <c r="L141" s="37" t="s">
        <v>448</v>
      </c>
      <c r="M141" s="37" t="s">
        <v>692</v>
      </c>
      <c r="O141" s="37" t="s">
        <v>1054</v>
      </c>
    </row>
    <row r="142" spans="12:15" x14ac:dyDescent="0.25">
      <c r="L142" s="37" t="s">
        <v>449</v>
      </c>
      <c r="M142" s="37" t="s">
        <v>693</v>
      </c>
      <c r="O142" s="37" t="s">
        <v>1315</v>
      </c>
    </row>
    <row r="143" spans="12:15" x14ac:dyDescent="0.25">
      <c r="L143" s="37" t="s">
        <v>450</v>
      </c>
      <c r="M143" s="37" t="s">
        <v>694</v>
      </c>
      <c r="O143" s="37" t="s">
        <v>1316</v>
      </c>
    </row>
    <row r="144" spans="12:15" x14ac:dyDescent="0.25">
      <c r="L144" s="37" t="s">
        <v>451</v>
      </c>
      <c r="M144" s="37" t="s">
        <v>695</v>
      </c>
      <c r="O144" s="37" t="s">
        <v>1317</v>
      </c>
    </row>
    <row r="145" spans="12:15" x14ac:dyDescent="0.25">
      <c r="L145" s="37" t="s">
        <v>452</v>
      </c>
      <c r="M145" s="37" t="s">
        <v>696</v>
      </c>
      <c r="O145" s="37" t="s">
        <v>1318</v>
      </c>
    </row>
    <row r="146" spans="12:15" x14ac:dyDescent="0.25">
      <c r="L146" s="37" t="s">
        <v>453</v>
      </c>
      <c r="M146" s="37" t="s">
        <v>697</v>
      </c>
      <c r="O146" s="37" t="s">
        <v>1319</v>
      </c>
    </row>
    <row r="147" spans="12:15" x14ac:dyDescent="0.25">
      <c r="L147" s="37" t="s">
        <v>454</v>
      </c>
      <c r="M147" s="37" t="s">
        <v>698</v>
      </c>
      <c r="O147" s="37" t="s">
        <v>1320</v>
      </c>
    </row>
    <row r="148" spans="12:15" x14ac:dyDescent="0.25">
      <c r="L148" s="37" t="s">
        <v>455</v>
      </c>
      <c r="M148" s="37" t="s">
        <v>699</v>
      </c>
      <c r="O148" s="37" t="s">
        <v>1321</v>
      </c>
    </row>
    <row r="149" spans="12:15" x14ac:dyDescent="0.25">
      <c r="L149" s="37" t="s">
        <v>456</v>
      </c>
      <c r="M149" s="37" t="s">
        <v>700</v>
      </c>
      <c r="O149" s="37" t="s">
        <v>1322</v>
      </c>
    </row>
    <row r="150" spans="12:15" x14ac:dyDescent="0.25">
      <c r="L150" s="37" t="s">
        <v>457</v>
      </c>
      <c r="M150" s="37" t="s">
        <v>701</v>
      </c>
      <c r="O150" s="37" t="s">
        <v>4387</v>
      </c>
    </row>
    <row r="151" spans="12:15" x14ac:dyDescent="0.25">
      <c r="L151" s="37" t="s">
        <v>458</v>
      </c>
      <c r="M151" s="37" t="s">
        <v>702</v>
      </c>
      <c r="O151" s="37" t="s">
        <v>1323</v>
      </c>
    </row>
    <row r="152" spans="12:15" x14ac:dyDescent="0.25">
      <c r="L152" s="37" t="s">
        <v>459</v>
      </c>
      <c r="M152" s="37" t="s">
        <v>703</v>
      </c>
      <c r="O152" s="37" t="s">
        <v>1324</v>
      </c>
    </row>
    <row r="153" spans="12:15" x14ac:dyDescent="0.25">
      <c r="L153" s="37" t="s">
        <v>460</v>
      </c>
      <c r="M153" s="37" t="s">
        <v>704</v>
      </c>
      <c r="O153" s="37" t="s">
        <v>1325</v>
      </c>
    </row>
    <row r="154" spans="12:15" x14ac:dyDescent="0.25">
      <c r="L154" s="37" t="s">
        <v>461</v>
      </c>
      <c r="M154" s="37" t="s">
        <v>705</v>
      </c>
      <c r="O154" s="37" t="s">
        <v>1326</v>
      </c>
    </row>
    <row r="155" spans="12:15" x14ac:dyDescent="0.25">
      <c r="L155" s="37" t="s">
        <v>462</v>
      </c>
      <c r="M155" s="37" t="s">
        <v>706</v>
      </c>
      <c r="O155" s="37" t="s">
        <v>1327</v>
      </c>
    </row>
    <row r="156" spans="12:15" x14ac:dyDescent="0.25">
      <c r="L156" s="37" t="s">
        <v>463</v>
      </c>
      <c r="M156" s="37" t="s">
        <v>707</v>
      </c>
      <c r="O156" s="37" t="s">
        <v>1328</v>
      </c>
    </row>
    <row r="157" spans="12:15" x14ac:dyDescent="0.25">
      <c r="L157" s="37" t="s">
        <v>464</v>
      </c>
      <c r="M157" s="37" t="s">
        <v>708</v>
      </c>
      <c r="O157" s="37" t="s">
        <v>1329</v>
      </c>
    </row>
    <row r="158" spans="12:15" x14ac:dyDescent="0.25">
      <c r="L158" s="37" t="s">
        <v>465</v>
      </c>
      <c r="M158" s="37" t="s">
        <v>709</v>
      </c>
      <c r="O158" s="37" t="s">
        <v>1330</v>
      </c>
    </row>
    <row r="159" spans="12:15" x14ac:dyDescent="0.25">
      <c r="L159" s="37" t="s">
        <v>466</v>
      </c>
      <c r="M159" s="37" t="s">
        <v>710</v>
      </c>
      <c r="O159" s="37" t="s">
        <v>1331</v>
      </c>
    </row>
    <row r="160" spans="12:15" x14ac:dyDescent="0.25">
      <c r="L160" s="37" t="s">
        <v>467</v>
      </c>
      <c r="M160" s="37" t="s">
        <v>711</v>
      </c>
      <c r="O160" s="37" t="s">
        <v>1332</v>
      </c>
    </row>
    <row r="161" spans="12:15" x14ac:dyDescent="0.25">
      <c r="L161" s="37" t="s">
        <v>468</v>
      </c>
      <c r="M161" s="37" t="s">
        <v>712</v>
      </c>
      <c r="O161" s="37" t="s">
        <v>1333</v>
      </c>
    </row>
    <row r="162" spans="12:15" ht="26" x14ac:dyDescent="0.25">
      <c r="L162" s="38" t="s">
        <v>469</v>
      </c>
      <c r="M162" s="37" t="s">
        <v>713</v>
      </c>
      <c r="O162" s="37" t="s">
        <v>1334</v>
      </c>
    </row>
    <row r="163" spans="12:15" x14ac:dyDescent="0.25">
      <c r="L163" s="37" t="s">
        <v>470</v>
      </c>
      <c r="M163" s="37" t="s">
        <v>714</v>
      </c>
      <c r="O163" s="37" t="s">
        <v>1335</v>
      </c>
    </row>
    <row r="164" spans="12:15" x14ac:dyDescent="0.25">
      <c r="L164" s="37" t="s">
        <v>471</v>
      </c>
      <c r="M164" s="37" t="s">
        <v>715</v>
      </c>
      <c r="O164" s="37" t="s">
        <v>1336</v>
      </c>
    </row>
    <row r="165" spans="12:15" x14ac:dyDescent="0.25">
      <c r="L165" s="38" t="s">
        <v>472</v>
      </c>
      <c r="M165" s="37" t="s">
        <v>716</v>
      </c>
      <c r="O165" s="37" t="s">
        <v>1337</v>
      </c>
    </row>
    <row r="166" spans="12:15" x14ac:dyDescent="0.25">
      <c r="L166" s="37" t="s">
        <v>473</v>
      </c>
      <c r="M166" s="37" t="s">
        <v>717</v>
      </c>
      <c r="O166" s="37" t="s">
        <v>1338</v>
      </c>
    </row>
    <row r="167" spans="12:15" x14ac:dyDescent="0.25">
      <c r="L167" s="37" t="s">
        <v>474</v>
      </c>
      <c r="M167" s="37" t="s">
        <v>718</v>
      </c>
      <c r="O167" s="37" t="s">
        <v>1339</v>
      </c>
    </row>
    <row r="168" spans="12:15" x14ac:dyDescent="0.25">
      <c r="L168" s="37" t="s">
        <v>475</v>
      </c>
      <c r="M168" s="37" t="s">
        <v>718</v>
      </c>
      <c r="O168" s="37" t="s">
        <v>1340</v>
      </c>
    </row>
    <row r="169" spans="12:15" ht="39" x14ac:dyDescent="0.25">
      <c r="L169" s="38" t="s">
        <v>476</v>
      </c>
      <c r="M169" s="37" t="s">
        <v>718</v>
      </c>
      <c r="O169" s="37" t="s">
        <v>1341</v>
      </c>
    </row>
    <row r="170" spans="12:15" x14ac:dyDescent="0.25">
      <c r="L170" s="38" t="s">
        <v>477</v>
      </c>
      <c r="M170" s="37" t="s">
        <v>719</v>
      </c>
      <c r="O170" s="37" t="s">
        <v>1342</v>
      </c>
    </row>
    <row r="171" spans="12:15" x14ac:dyDescent="0.25">
      <c r="L171" s="37" t="s">
        <v>4287</v>
      </c>
      <c r="M171" s="37" t="s">
        <v>720</v>
      </c>
      <c r="O171" s="37" t="s">
        <v>1343</v>
      </c>
    </row>
    <row r="172" spans="12:15" ht="39" x14ac:dyDescent="0.25">
      <c r="L172" s="38" t="s">
        <v>478</v>
      </c>
      <c r="M172" s="37" t="s">
        <v>721</v>
      </c>
      <c r="O172" s="37" t="s">
        <v>1344</v>
      </c>
    </row>
    <row r="173" spans="12:15" x14ac:dyDescent="0.25">
      <c r="L173" s="38" t="s">
        <v>479</v>
      </c>
      <c r="M173" s="37" t="s">
        <v>722</v>
      </c>
      <c r="O173" s="37" t="s">
        <v>1345</v>
      </c>
    </row>
    <row r="174" spans="12:15" x14ac:dyDescent="0.25">
      <c r="L174" s="38" t="s">
        <v>480</v>
      </c>
      <c r="M174" s="37" t="s">
        <v>723</v>
      </c>
      <c r="O174" s="37" t="s">
        <v>1346</v>
      </c>
    </row>
    <row r="175" spans="12:15" ht="39" x14ac:dyDescent="0.25">
      <c r="L175" s="38" t="s">
        <v>481</v>
      </c>
      <c r="M175" s="37" t="s">
        <v>724</v>
      </c>
      <c r="O175" s="37" t="s">
        <v>1347</v>
      </c>
    </row>
    <row r="176" spans="12:15" ht="26" x14ac:dyDescent="0.25">
      <c r="L176" s="38" t="s">
        <v>482</v>
      </c>
      <c r="M176" s="37" t="s">
        <v>725</v>
      </c>
      <c r="O176" s="37" t="s">
        <v>1348</v>
      </c>
    </row>
    <row r="177" spans="12:15" x14ac:dyDescent="0.25">
      <c r="L177" s="37" t="s">
        <v>483</v>
      </c>
      <c r="M177" s="37" t="s">
        <v>726</v>
      </c>
      <c r="O177" s="37" t="s">
        <v>1349</v>
      </c>
    </row>
    <row r="178" spans="12:15" x14ac:dyDescent="0.25">
      <c r="L178" s="37" t="s">
        <v>484</v>
      </c>
      <c r="M178" s="37" t="s">
        <v>727</v>
      </c>
      <c r="O178" s="37" t="s">
        <v>1350</v>
      </c>
    </row>
    <row r="179" spans="12:15" ht="26" x14ac:dyDescent="0.25">
      <c r="L179" s="38" t="s">
        <v>485</v>
      </c>
      <c r="M179" s="37" t="s">
        <v>728</v>
      </c>
      <c r="O179" s="37" t="s">
        <v>1351</v>
      </c>
    </row>
    <row r="180" spans="12:15" x14ac:dyDescent="0.25">
      <c r="L180" s="38" t="s">
        <v>486</v>
      </c>
      <c r="M180" s="37" t="s">
        <v>729</v>
      </c>
      <c r="O180" s="37" t="s">
        <v>1352</v>
      </c>
    </row>
    <row r="181" spans="12:15" x14ac:dyDescent="0.25">
      <c r="L181" s="38" t="s">
        <v>1505</v>
      </c>
      <c r="M181" s="37" t="s">
        <v>730</v>
      </c>
      <c r="O181" s="37" t="s">
        <v>1353</v>
      </c>
    </row>
    <row r="182" spans="12:15" x14ac:dyDescent="0.25">
      <c r="L182" s="37" t="s">
        <v>487</v>
      </c>
      <c r="M182" s="37" t="s">
        <v>731</v>
      </c>
      <c r="O182" s="37" t="s">
        <v>1354</v>
      </c>
    </row>
    <row r="183" spans="12:15" x14ac:dyDescent="0.25">
      <c r="L183" s="37" t="s">
        <v>488</v>
      </c>
      <c r="M183" s="37" t="s">
        <v>732</v>
      </c>
      <c r="O183" s="37" t="s">
        <v>1355</v>
      </c>
    </row>
    <row r="184" spans="12:15" x14ac:dyDescent="0.25">
      <c r="L184" s="38" t="s">
        <v>489</v>
      </c>
      <c r="M184" s="37" t="s">
        <v>733</v>
      </c>
      <c r="O184" s="37" t="s">
        <v>1356</v>
      </c>
    </row>
    <row r="185" spans="12:15" x14ac:dyDescent="0.25">
      <c r="L185" s="38" t="s">
        <v>490</v>
      </c>
      <c r="M185" s="37" t="s">
        <v>734</v>
      </c>
      <c r="O185" s="37" t="s">
        <v>1357</v>
      </c>
    </row>
    <row r="186" spans="12:15" x14ac:dyDescent="0.25">
      <c r="L186" s="37" t="s">
        <v>491</v>
      </c>
      <c r="M186" s="37" t="s">
        <v>735</v>
      </c>
      <c r="O186" s="37" t="s">
        <v>1358</v>
      </c>
    </row>
    <row r="187" spans="12:15" x14ac:dyDescent="0.25">
      <c r="L187" s="38" t="s">
        <v>492</v>
      </c>
      <c r="M187" s="37" t="s">
        <v>736</v>
      </c>
      <c r="O187" s="37" t="s">
        <v>1359</v>
      </c>
    </row>
    <row r="188" spans="12:15" x14ac:dyDescent="0.25">
      <c r="L188" s="37" t="s">
        <v>493</v>
      </c>
      <c r="M188" s="37" t="s">
        <v>737</v>
      </c>
      <c r="O188" s="37" t="s">
        <v>1360</v>
      </c>
    </row>
    <row r="189" spans="12:15" x14ac:dyDescent="0.25">
      <c r="L189" s="37" t="s">
        <v>494</v>
      </c>
      <c r="M189" s="37" t="s">
        <v>737</v>
      </c>
      <c r="O189" s="37" t="s">
        <v>1361</v>
      </c>
    </row>
    <row r="190" spans="12:15" ht="39" x14ac:dyDescent="0.25">
      <c r="L190" s="38" t="s">
        <v>495</v>
      </c>
      <c r="M190" s="37" t="s">
        <v>737</v>
      </c>
      <c r="O190" s="37" t="s">
        <v>1362</v>
      </c>
    </row>
    <row r="191" spans="12:15" x14ac:dyDescent="0.25">
      <c r="L191" s="37" t="s">
        <v>496</v>
      </c>
      <c r="M191" s="37" t="s">
        <v>738</v>
      </c>
      <c r="O191" s="37" t="s">
        <v>1363</v>
      </c>
    </row>
    <row r="192" spans="12:15" x14ac:dyDescent="0.25">
      <c r="L192" s="37" t="s">
        <v>497</v>
      </c>
      <c r="M192" s="37" t="s">
        <v>739</v>
      </c>
      <c r="O192" s="37" t="s">
        <v>1364</v>
      </c>
    </row>
    <row r="193" spans="12:15" x14ac:dyDescent="0.25">
      <c r="L193" s="37" t="s">
        <v>498</v>
      </c>
      <c r="M193" s="37" t="s">
        <v>740</v>
      </c>
      <c r="O193" s="37" t="s">
        <v>1365</v>
      </c>
    </row>
    <row r="194" spans="12:15" x14ac:dyDescent="0.25">
      <c r="L194" s="37" t="s">
        <v>499</v>
      </c>
      <c r="M194" s="37" t="s">
        <v>741</v>
      </c>
      <c r="O194" s="37" t="s">
        <v>1366</v>
      </c>
    </row>
    <row r="195" spans="12:15" x14ac:dyDescent="0.25">
      <c r="L195" s="37" t="s">
        <v>500</v>
      </c>
      <c r="M195" s="37" t="s">
        <v>742</v>
      </c>
      <c r="O195" s="37" t="s">
        <v>1367</v>
      </c>
    </row>
    <row r="196" spans="12:15" x14ac:dyDescent="0.25">
      <c r="L196" s="37" t="s">
        <v>501</v>
      </c>
      <c r="M196" s="37" t="s">
        <v>743</v>
      </c>
      <c r="O196" s="37" t="s">
        <v>1368</v>
      </c>
    </row>
    <row r="197" spans="12:15" x14ac:dyDescent="0.25">
      <c r="L197" s="37" t="s">
        <v>502</v>
      </c>
      <c r="M197" s="37" t="s">
        <v>744</v>
      </c>
      <c r="O197" s="37" t="s">
        <v>1369</v>
      </c>
    </row>
    <row r="198" spans="12:15" x14ac:dyDescent="0.25">
      <c r="L198" s="37" t="s">
        <v>503</v>
      </c>
      <c r="M198" s="37" t="s">
        <v>745</v>
      </c>
      <c r="O198" s="37" t="s">
        <v>1370</v>
      </c>
    </row>
    <row r="199" spans="12:15" x14ac:dyDescent="0.25">
      <c r="L199" s="37" t="s">
        <v>504</v>
      </c>
      <c r="M199" s="37" t="s">
        <v>746</v>
      </c>
      <c r="O199" s="37" t="s">
        <v>1371</v>
      </c>
    </row>
    <row r="200" spans="12:15" x14ac:dyDescent="0.25">
      <c r="L200" s="37" t="s">
        <v>505</v>
      </c>
      <c r="M200" s="37" t="s">
        <v>747</v>
      </c>
      <c r="O200" s="37" t="s">
        <v>1372</v>
      </c>
    </row>
    <row r="201" spans="12:15" x14ac:dyDescent="0.25">
      <c r="L201" s="37" t="s">
        <v>1117</v>
      </c>
      <c r="M201" s="37" t="s">
        <v>748</v>
      </c>
      <c r="O201" s="37" t="s">
        <v>1373</v>
      </c>
    </row>
    <row r="202" spans="12:15" x14ac:dyDescent="0.25">
      <c r="L202" s="37" t="s">
        <v>506</v>
      </c>
      <c r="M202" s="37" t="s">
        <v>749</v>
      </c>
      <c r="O202" s="37" t="s">
        <v>1374</v>
      </c>
    </row>
    <row r="203" spans="12:15" x14ac:dyDescent="0.25">
      <c r="L203" s="37" t="s">
        <v>507</v>
      </c>
      <c r="M203" s="37" t="s">
        <v>749</v>
      </c>
      <c r="O203" s="37" t="s">
        <v>1375</v>
      </c>
    </row>
    <row r="204" spans="12:15" x14ac:dyDescent="0.25">
      <c r="L204" s="37" t="s">
        <v>508</v>
      </c>
      <c r="M204" s="37" t="s">
        <v>749</v>
      </c>
      <c r="O204" s="37" t="s">
        <v>1376</v>
      </c>
    </row>
    <row r="205" spans="12:15" x14ac:dyDescent="0.25">
      <c r="L205" s="37" t="s">
        <v>509</v>
      </c>
      <c r="M205" s="37" t="s">
        <v>750</v>
      </c>
      <c r="O205" s="37" t="s">
        <v>1377</v>
      </c>
    </row>
    <row r="206" spans="12:15" x14ac:dyDescent="0.25">
      <c r="L206" s="37" t="s">
        <v>510</v>
      </c>
      <c r="M206" s="37" t="s">
        <v>751</v>
      </c>
      <c r="O206" s="37" t="s">
        <v>1378</v>
      </c>
    </row>
    <row r="207" spans="12:15" x14ac:dyDescent="0.25">
      <c r="L207" s="37" t="s">
        <v>1506</v>
      </c>
      <c r="M207" s="37" t="s">
        <v>752</v>
      </c>
      <c r="O207" s="37" t="s">
        <v>1379</v>
      </c>
    </row>
    <row r="208" spans="12:15" x14ac:dyDescent="0.25">
      <c r="L208" s="37" t="s">
        <v>511</v>
      </c>
      <c r="M208" s="37" t="s">
        <v>753</v>
      </c>
      <c r="O208" s="37" t="s">
        <v>1380</v>
      </c>
    </row>
    <row r="209" spans="12:15" x14ac:dyDescent="0.25">
      <c r="L209" s="37" t="s">
        <v>512</v>
      </c>
      <c r="M209" s="37" t="s">
        <v>754</v>
      </c>
      <c r="O209" s="37" t="s">
        <v>1381</v>
      </c>
    </row>
    <row r="210" spans="12:15" x14ac:dyDescent="0.25">
      <c r="L210" s="37" t="s">
        <v>513</v>
      </c>
      <c r="M210" s="37" t="s">
        <v>755</v>
      </c>
      <c r="O210" s="37" t="s">
        <v>1382</v>
      </c>
    </row>
    <row r="211" spans="12:15" x14ac:dyDescent="0.25">
      <c r="L211" s="37" t="s">
        <v>514</v>
      </c>
      <c r="M211" s="37" t="s">
        <v>756</v>
      </c>
      <c r="O211" s="37" t="s">
        <v>1383</v>
      </c>
    </row>
    <row r="212" spans="12:15" x14ac:dyDescent="0.25">
      <c r="L212" s="37" t="s">
        <v>515</v>
      </c>
      <c r="M212" s="37" t="s">
        <v>757</v>
      </c>
      <c r="O212" s="37" t="s">
        <v>1384</v>
      </c>
    </row>
    <row r="213" spans="12:15" x14ac:dyDescent="0.25">
      <c r="L213" s="37" t="s">
        <v>516</v>
      </c>
      <c r="M213" s="37" t="s">
        <v>758</v>
      </c>
      <c r="O213" s="37" t="s">
        <v>1385</v>
      </c>
    </row>
    <row r="214" spans="12:15" x14ac:dyDescent="0.25">
      <c r="L214" s="37" t="s">
        <v>517</v>
      </c>
      <c r="M214" s="37" t="s">
        <v>759</v>
      </c>
      <c r="O214" s="37" t="s">
        <v>1386</v>
      </c>
    </row>
    <row r="215" spans="12:15" x14ac:dyDescent="0.25">
      <c r="L215" s="37" t="s">
        <v>518</v>
      </c>
      <c r="M215" s="37" t="s">
        <v>760</v>
      </c>
      <c r="O215" s="37" t="s">
        <v>1387</v>
      </c>
    </row>
    <row r="216" spans="12:15" x14ac:dyDescent="0.25">
      <c r="L216" s="37" t="s">
        <v>519</v>
      </c>
      <c r="M216" s="37" t="s">
        <v>761</v>
      </c>
      <c r="O216" s="37" t="s">
        <v>1388</v>
      </c>
    </row>
    <row r="217" spans="12:15" x14ac:dyDescent="0.25">
      <c r="L217" s="37" t="s">
        <v>520</v>
      </c>
      <c r="M217" s="37" t="s">
        <v>762</v>
      </c>
      <c r="O217" s="37" t="s">
        <v>1389</v>
      </c>
    </row>
    <row r="218" spans="12:15" x14ac:dyDescent="0.25">
      <c r="L218" s="37" t="s">
        <v>521</v>
      </c>
      <c r="M218" s="37" t="s">
        <v>763</v>
      </c>
      <c r="O218" s="37" t="s">
        <v>1390</v>
      </c>
    </row>
    <row r="219" spans="12:15" x14ac:dyDescent="0.25">
      <c r="L219" s="37" t="s">
        <v>522</v>
      </c>
      <c r="M219" s="37" t="s">
        <v>764</v>
      </c>
      <c r="O219" s="37" t="s">
        <v>1391</v>
      </c>
    </row>
    <row r="220" spans="12:15" x14ac:dyDescent="0.25">
      <c r="L220" s="37" t="s">
        <v>523</v>
      </c>
      <c r="M220" s="37" t="s">
        <v>765</v>
      </c>
      <c r="O220" s="37" t="s">
        <v>1392</v>
      </c>
    </row>
    <row r="221" spans="12:15" x14ac:dyDescent="0.25">
      <c r="L221" s="37" t="s">
        <v>524</v>
      </c>
      <c r="M221" s="37" t="s">
        <v>766</v>
      </c>
      <c r="O221" s="37" t="s">
        <v>1393</v>
      </c>
    </row>
    <row r="222" spans="12:15" x14ac:dyDescent="0.25">
      <c r="L222" s="37" t="s">
        <v>525</v>
      </c>
      <c r="M222" s="37" t="s">
        <v>767</v>
      </c>
      <c r="O222" s="37" t="s">
        <v>1394</v>
      </c>
    </row>
    <row r="223" spans="12:15" x14ac:dyDescent="0.25">
      <c r="L223" s="37" t="s">
        <v>526</v>
      </c>
      <c r="M223" s="37" t="s">
        <v>768</v>
      </c>
      <c r="O223" s="37" t="s">
        <v>1395</v>
      </c>
    </row>
    <row r="224" spans="12:15" x14ac:dyDescent="0.25">
      <c r="L224" s="37" t="s">
        <v>527</v>
      </c>
      <c r="M224" s="37" t="s">
        <v>769</v>
      </c>
      <c r="O224" s="37" t="s">
        <v>1396</v>
      </c>
    </row>
    <row r="225" spans="12:15" x14ac:dyDescent="0.25">
      <c r="L225" s="37" t="s">
        <v>528</v>
      </c>
      <c r="M225" s="37" t="s">
        <v>770</v>
      </c>
      <c r="O225" s="37" t="s">
        <v>1397</v>
      </c>
    </row>
    <row r="226" spans="12:15" x14ac:dyDescent="0.25">
      <c r="L226" s="37" t="s">
        <v>529</v>
      </c>
      <c r="M226" s="37" t="s">
        <v>771</v>
      </c>
      <c r="O226" s="37" t="s">
        <v>1398</v>
      </c>
    </row>
    <row r="227" spans="12:15" x14ac:dyDescent="0.25">
      <c r="L227" s="37" t="s">
        <v>530</v>
      </c>
      <c r="M227" s="37" t="s">
        <v>772</v>
      </c>
      <c r="O227" s="37" t="s">
        <v>1399</v>
      </c>
    </row>
    <row r="228" spans="12:15" x14ac:dyDescent="0.25">
      <c r="L228" s="37" t="s">
        <v>531</v>
      </c>
      <c r="M228" s="37" t="s">
        <v>773</v>
      </c>
      <c r="O228" s="37" t="s">
        <v>1400</v>
      </c>
    </row>
    <row r="229" spans="12:15" x14ac:dyDescent="0.25">
      <c r="L229" s="37" t="s">
        <v>532</v>
      </c>
      <c r="M229" s="37" t="s">
        <v>774</v>
      </c>
      <c r="O229" s="37" t="s">
        <v>1401</v>
      </c>
    </row>
    <row r="230" spans="12:15" x14ac:dyDescent="0.25">
      <c r="L230" s="37" t="s">
        <v>533</v>
      </c>
      <c r="M230" s="37" t="s">
        <v>775</v>
      </c>
      <c r="O230" s="37" t="s">
        <v>1402</v>
      </c>
    </row>
    <row r="231" spans="12:15" x14ac:dyDescent="0.25">
      <c r="L231" s="37" t="s">
        <v>534</v>
      </c>
      <c r="M231" s="37" t="s">
        <v>776</v>
      </c>
      <c r="O231" s="37" t="s">
        <v>1403</v>
      </c>
    </row>
    <row r="232" spans="12:15" x14ac:dyDescent="0.25">
      <c r="L232" s="37" t="s">
        <v>535</v>
      </c>
      <c r="M232" s="37" t="s">
        <v>777</v>
      </c>
      <c r="O232" s="37" t="s">
        <v>1404</v>
      </c>
    </row>
    <row r="233" spans="12:15" x14ac:dyDescent="0.25">
      <c r="L233" s="37" t="s">
        <v>536</v>
      </c>
      <c r="M233" s="37" t="s">
        <v>777</v>
      </c>
      <c r="O233" s="37" t="s">
        <v>1405</v>
      </c>
    </row>
    <row r="234" spans="12:15" x14ac:dyDescent="0.25">
      <c r="L234" s="37" t="s">
        <v>537</v>
      </c>
      <c r="M234" s="37" t="s">
        <v>777</v>
      </c>
      <c r="O234" s="37" t="s">
        <v>1406</v>
      </c>
    </row>
    <row r="235" spans="12:15" x14ac:dyDescent="0.25">
      <c r="L235" s="37" t="s">
        <v>538</v>
      </c>
      <c r="M235" s="37" t="s">
        <v>778</v>
      </c>
      <c r="O235" s="37" t="s">
        <v>1407</v>
      </c>
    </row>
    <row r="236" spans="12:15" x14ac:dyDescent="0.25">
      <c r="L236" s="37" t="s">
        <v>539</v>
      </c>
      <c r="M236" s="37" t="s">
        <v>779</v>
      </c>
      <c r="O236" s="37" t="s">
        <v>1408</v>
      </c>
    </row>
    <row r="237" spans="12:15" x14ac:dyDescent="0.25">
      <c r="L237" s="37" t="s">
        <v>540</v>
      </c>
      <c r="M237" s="37" t="s">
        <v>780</v>
      </c>
      <c r="O237" s="37" t="s">
        <v>1409</v>
      </c>
    </row>
    <row r="238" spans="12:15" x14ac:dyDescent="0.25">
      <c r="L238" s="37" t="s">
        <v>541</v>
      </c>
      <c r="M238" s="37" t="s">
        <v>781</v>
      </c>
      <c r="O238" s="37" t="s">
        <v>1410</v>
      </c>
    </row>
    <row r="239" spans="12:15" x14ac:dyDescent="0.25">
      <c r="L239" s="37" t="s">
        <v>542</v>
      </c>
      <c r="M239" s="37" t="s">
        <v>782</v>
      </c>
      <c r="O239" s="37" t="s">
        <v>1411</v>
      </c>
    </row>
    <row r="240" spans="12:15" x14ac:dyDescent="0.25">
      <c r="L240" s="37" t="s">
        <v>543</v>
      </c>
      <c r="M240" s="37" t="s">
        <v>783</v>
      </c>
      <c r="O240" s="37" t="s">
        <v>1412</v>
      </c>
    </row>
    <row r="241" spans="12:15" x14ac:dyDescent="0.25">
      <c r="L241" s="37" t="s">
        <v>544</v>
      </c>
      <c r="M241" s="37" t="s">
        <v>784</v>
      </c>
      <c r="O241" s="37" t="s">
        <v>1413</v>
      </c>
    </row>
    <row r="242" spans="12:15" x14ac:dyDescent="0.25">
      <c r="L242" s="37" t="s">
        <v>545</v>
      </c>
      <c r="M242" s="37" t="s">
        <v>785</v>
      </c>
    </row>
    <row r="243" spans="12:15" x14ac:dyDescent="0.25">
      <c r="L243" s="37" t="s">
        <v>546</v>
      </c>
      <c r="M243" s="37" t="s">
        <v>786</v>
      </c>
    </row>
    <row r="244" spans="12:15" x14ac:dyDescent="0.25">
      <c r="L244" s="37" t="s">
        <v>547</v>
      </c>
      <c r="M244" s="37" t="s">
        <v>787</v>
      </c>
    </row>
    <row r="245" spans="12:15" x14ac:dyDescent="0.25">
      <c r="L245" s="37" t="s">
        <v>548</v>
      </c>
      <c r="M245" s="37" t="s">
        <v>788</v>
      </c>
    </row>
    <row r="246" spans="12:15" x14ac:dyDescent="0.25">
      <c r="L246" s="37" t="s">
        <v>549</v>
      </c>
      <c r="M246" s="37" t="s">
        <v>789</v>
      </c>
    </row>
    <row r="247" spans="12:15" x14ac:dyDescent="0.25">
      <c r="L247" s="37" t="s">
        <v>550</v>
      </c>
      <c r="M247" s="37" t="s">
        <v>789</v>
      </c>
    </row>
    <row r="248" spans="12:15" x14ac:dyDescent="0.25">
      <c r="L248" s="37" t="s">
        <v>551</v>
      </c>
      <c r="M248" s="37" t="s">
        <v>789</v>
      </c>
    </row>
    <row r="249" spans="12:15" x14ac:dyDescent="0.25">
      <c r="L249" s="37" t="s">
        <v>552</v>
      </c>
      <c r="M249" s="37" t="s">
        <v>790</v>
      </c>
    </row>
    <row r="250" spans="12:15" x14ac:dyDescent="0.25">
      <c r="L250" s="37" t="s">
        <v>553</v>
      </c>
      <c r="M250" s="37" t="s">
        <v>791</v>
      </c>
    </row>
    <row r="251" spans="12:15" x14ac:dyDescent="0.25">
      <c r="L251" s="37" t="s">
        <v>554</v>
      </c>
      <c r="M251" s="37" t="s">
        <v>792</v>
      </c>
    </row>
    <row r="252" spans="12:15" x14ac:dyDescent="0.25">
      <c r="L252" s="37" t="s">
        <v>555</v>
      </c>
      <c r="M252" s="37" t="s">
        <v>793</v>
      </c>
    </row>
    <row r="253" spans="12:15" x14ac:dyDescent="0.25">
      <c r="L253" s="37" t="s">
        <v>4286</v>
      </c>
      <c r="M253" s="37" t="s">
        <v>794</v>
      </c>
    </row>
    <row r="254" spans="12:15" x14ac:dyDescent="0.25">
      <c r="L254" s="37" t="s">
        <v>556</v>
      </c>
      <c r="M254" s="37" t="s">
        <v>795</v>
      </c>
    </row>
    <row r="255" spans="12:15" x14ac:dyDescent="0.25">
      <c r="L255" s="37" t="s">
        <v>557</v>
      </c>
      <c r="M255" s="37" t="s">
        <v>796</v>
      </c>
    </row>
    <row r="256" spans="12:15" x14ac:dyDescent="0.25">
      <c r="L256" s="37" t="s">
        <v>558</v>
      </c>
      <c r="M256" s="37" t="s">
        <v>797</v>
      </c>
    </row>
    <row r="257" spans="12:13" x14ac:dyDescent="0.25">
      <c r="L257" s="37" t="s">
        <v>559</v>
      </c>
      <c r="M257" s="37" t="s">
        <v>798</v>
      </c>
    </row>
    <row r="258" spans="12:13" x14ac:dyDescent="0.25">
      <c r="L258" s="37" t="s">
        <v>4431</v>
      </c>
      <c r="M258" s="37" t="s">
        <v>1516</v>
      </c>
    </row>
    <row r="259" spans="12:13" x14ac:dyDescent="0.25">
      <c r="L259" s="37" t="s">
        <v>4432</v>
      </c>
      <c r="M259" s="37" t="s">
        <v>839</v>
      </c>
    </row>
    <row r="260" spans="12:13" x14ac:dyDescent="0.25">
      <c r="L260" s="37" t="s">
        <v>4433</v>
      </c>
      <c r="M260" s="37" t="s">
        <v>839</v>
      </c>
    </row>
    <row r="261" spans="12:13" x14ac:dyDescent="0.25">
      <c r="L261" s="37" t="s">
        <v>1426</v>
      </c>
      <c r="M261" s="37" t="s">
        <v>839</v>
      </c>
    </row>
    <row r="262" spans="12:13" x14ac:dyDescent="0.25">
      <c r="L262" s="37" t="s">
        <v>4333</v>
      </c>
      <c r="M262" s="37" t="s">
        <v>840</v>
      </c>
    </row>
    <row r="263" spans="12:13" x14ac:dyDescent="0.25">
      <c r="L263" s="37" t="s">
        <v>4331</v>
      </c>
      <c r="M263" s="37" t="s">
        <v>841</v>
      </c>
    </row>
    <row r="264" spans="12:13" x14ac:dyDescent="0.25">
      <c r="L264" s="37" t="s">
        <v>4332</v>
      </c>
      <c r="M264" s="37" t="s">
        <v>842</v>
      </c>
    </row>
    <row r="265" spans="12:13" x14ac:dyDescent="0.25">
      <c r="L265" s="37" t="s">
        <v>4326</v>
      </c>
      <c r="M265" s="37" t="s">
        <v>843</v>
      </c>
    </row>
    <row r="266" spans="12:13" x14ac:dyDescent="0.25">
      <c r="L266" s="37" t="s">
        <v>4327</v>
      </c>
      <c r="M266" s="37" t="s">
        <v>844</v>
      </c>
    </row>
    <row r="267" spans="12:13" x14ac:dyDescent="0.25">
      <c r="L267" s="37" t="s">
        <v>4328</v>
      </c>
      <c r="M267" s="37" t="s">
        <v>845</v>
      </c>
    </row>
    <row r="268" spans="12:13" x14ac:dyDescent="0.25">
      <c r="L268" s="37" t="s">
        <v>4323</v>
      </c>
      <c r="M268" s="37" t="s">
        <v>846</v>
      </c>
    </row>
    <row r="269" spans="12:13" x14ac:dyDescent="0.25">
      <c r="L269" s="37" t="s">
        <v>4324</v>
      </c>
      <c r="M269" s="37" t="s">
        <v>847</v>
      </c>
    </row>
    <row r="270" spans="12:13" x14ac:dyDescent="0.25">
      <c r="L270" s="37" t="s">
        <v>4325</v>
      </c>
      <c r="M270" s="37" t="s">
        <v>848</v>
      </c>
    </row>
    <row r="271" spans="12:13" x14ac:dyDescent="0.25">
      <c r="L271" s="37" t="s">
        <v>1507</v>
      </c>
      <c r="M271" s="37" t="s">
        <v>849</v>
      </c>
    </row>
    <row r="272" spans="12:13" x14ac:dyDescent="0.25">
      <c r="L272" s="37" t="s">
        <v>4329</v>
      </c>
      <c r="M272" s="37" t="s">
        <v>850</v>
      </c>
    </row>
    <row r="273" spans="12:13" x14ac:dyDescent="0.25">
      <c r="L273" s="37" t="s">
        <v>1508</v>
      </c>
      <c r="M273" s="37" t="s">
        <v>851</v>
      </c>
    </row>
    <row r="274" spans="12:13" x14ac:dyDescent="0.25">
      <c r="L274" s="37" t="s">
        <v>1509</v>
      </c>
      <c r="M274" s="37" t="s">
        <v>852</v>
      </c>
    </row>
    <row r="275" spans="12:13" x14ac:dyDescent="0.25">
      <c r="L275" s="37" t="s">
        <v>1510</v>
      </c>
      <c r="M275" s="37" t="s">
        <v>853</v>
      </c>
    </row>
    <row r="276" spans="12:13" x14ac:dyDescent="0.25">
      <c r="L276" s="37" t="s">
        <v>1511</v>
      </c>
      <c r="M276" s="37" t="s">
        <v>853</v>
      </c>
    </row>
    <row r="277" spans="12:13" x14ac:dyDescent="0.25">
      <c r="L277" s="37" t="s">
        <v>1512</v>
      </c>
      <c r="M277" s="37" t="s">
        <v>854</v>
      </c>
    </row>
    <row r="278" spans="12:13" x14ac:dyDescent="0.25">
      <c r="L278" s="37" t="s">
        <v>1121</v>
      </c>
      <c r="M278" s="37" t="s">
        <v>855</v>
      </c>
    </row>
    <row r="279" spans="12:13" x14ac:dyDescent="0.25">
      <c r="L279" s="37" t="s">
        <v>1122</v>
      </c>
      <c r="M279" s="37" t="s">
        <v>856</v>
      </c>
    </row>
    <row r="280" spans="12:13" x14ac:dyDescent="0.25">
      <c r="L280" s="37" t="s">
        <v>1123</v>
      </c>
      <c r="M280" s="37" t="s">
        <v>857</v>
      </c>
    </row>
    <row r="281" spans="12:13" x14ac:dyDescent="0.25">
      <c r="L281" s="37" t="s">
        <v>1124</v>
      </c>
      <c r="M281" s="37" t="s">
        <v>858</v>
      </c>
    </row>
    <row r="282" spans="12:13" x14ac:dyDescent="0.25">
      <c r="L282" s="37" t="s">
        <v>1125</v>
      </c>
      <c r="M282" s="37" t="s">
        <v>859</v>
      </c>
    </row>
    <row r="283" spans="12:13" x14ac:dyDescent="0.25">
      <c r="L283" s="37" t="s">
        <v>799</v>
      </c>
      <c r="M283" s="37" t="s">
        <v>860</v>
      </c>
    </row>
    <row r="284" spans="12:13" x14ac:dyDescent="0.25">
      <c r="L284" s="37" t="s">
        <v>1126</v>
      </c>
      <c r="M284" s="37" t="s">
        <v>861</v>
      </c>
    </row>
    <row r="285" spans="12:13" x14ac:dyDescent="0.25">
      <c r="L285" s="37" t="s">
        <v>4334</v>
      </c>
      <c r="M285" s="37" t="s">
        <v>862</v>
      </c>
    </row>
    <row r="286" spans="12:13" x14ac:dyDescent="0.25">
      <c r="L286" s="37" t="s">
        <v>800</v>
      </c>
      <c r="M286" s="37" t="s">
        <v>863</v>
      </c>
    </row>
    <row r="287" spans="12:13" x14ac:dyDescent="0.25">
      <c r="L287" s="37" t="s">
        <v>801</v>
      </c>
      <c r="M287" s="37" t="s">
        <v>864</v>
      </c>
    </row>
    <row r="288" spans="12:13" x14ac:dyDescent="0.25">
      <c r="L288" s="37" t="s">
        <v>802</v>
      </c>
      <c r="M288" s="37" t="s">
        <v>865</v>
      </c>
    </row>
    <row r="289" spans="12:13" x14ac:dyDescent="0.25">
      <c r="L289" s="37" t="s">
        <v>803</v>
      </c>
      <c r="M289" s="37" t="s">
        <v>865</v>
      </c>
    </row>
    <row r="290" spans="12:13" x14ac:dyDescent="0.25">
      <c r="L290" s="37" t="s">
        <v>1127</v>
      </c>
      <c r="M290" s="37" t="s">
        <v>866</v>
      </c>
    </row>
    <row r="291" spans="12:13" x14ac:dyDescent="0.25">
      <c r="L291" s="37" t="s">
        <v>804</v>
      </c>
      <c r="M291" s="37" t="s">
        <v>867</v>
      </c>
    </row>
    <row r="292" spans="12:13" x14ac:dyDescent="0.25">
      <c r="L292" s="37" t="s">
        <v>805</v>
      </c>
      <c r="M292" s="37" t="s">
        <v>868</v>
      </c>
    </row>
    <row r="293" spans="12:13" x14ac:dyDescent="0.25">
      <c r="L293" s="37" t="s">
        <v>806</v>
      </c>
      <c r="M293" s="37" t="s">
        <v>869</v>
      </c>
    </row>
    <row r="294" spans="12:13" x14ac:dyDescent="0.25">
      <c r="L294" s="37" t="s">
        <v>807</v>
      </c>
      <c r="M294" s="37" t="s">
        <v>870</v>
      </c>
    </row>
    <row r="295" spans="12:13" x14ac:dyDescent="0.25">
      <c r="L295" s="37" t="s">
        <v>808</v>
      </c>
      <c r="M295" s="37" t="s">
        <v>871</v>
      </c>
    </row>
    <row r="296" spans="12:13" x14ac:dyDescent="0.25">
      <c r="L296" s="37" t="s">
        <v>809</v>
      </c>
      <c r="M296" s="37" t="s">
        <v>872</v>
      </c>
    </row>
    <row r="297" spans="12:13" x14ac:dyDescent="0.25">
      <c r="L297" s="37" t="s">
        <v>810</v>
      </c>
      <c r="M297" s="37" t="s">
        <v>873</v>
      </c>
    </row>
    <row r="298" spans="12:13" x14ac:dyDescent="0.25">
      <c r="L298" s="37" t="s">
        <v>811</v>
      </c>
      <c r="M298" s="37" t="s">
        <v>874</v>
      </c>
    </row>
    <row r="299" spans="12:13" x14ac:dyDescent="0.25">
      <c r="L299" s="37" t="s">
        <v>812</v>
      </c>
      <c r="M299" s="37" t="s">
        <v>875</v>
      </c>
    </row>
    <row r="300" spans="12:13" x14ac:dyDescent="0.25">
      <c r="L300" s="37" t="s">
        <v>813</v>
      </c>
      <c r="M300" s="37" t="s">
        <v>876</v>
      </c>
    </row>
    <row r="301" spans="12:13" x14ac:dyDescent="0.25">
      <c r="L301" s="37" t="s">
        <v>814</v>
      </c>
      <c r="M301" s="37" t="s">
        <v>877</v>
      </c>
    </row>
    <row r="302" spans="12:13" x14ac:dyDescent="0.25">
      <c r="L302" s="37" t="s">
        <v>815</v>
      </c>
      <c r="M302" s="37" t="s">
        <v>878</v>
      </c>
    </row>
    <row r="303" spans="12:13" x14ac:dyDescent="0.25">
      <c r="L303" s="37" t="s">
        <v>816</v>
      </c>
      <c r="M303" s="37" t="s">
        <v>879</v>
      </c>
    </row>
    <row r="304" spans="12:13" x14ac:dyDescent="0.25">
      <c r="L304" s="37" t="s">
        <v>817</v>
      </c>
      <c r="M304" s="37" t="s">
        <v>880</v>
      </c>
    </row>
    <row r="305" spans="12:13" x14ac:dyDescent="0.25">
      <c r="L305" s="37" t="s">
        <v>818</v>
      </c>
      <c r="M305" s="37" t="s">
        <v>881</v>
      </c>
    </row>
    <row r="306" spans="12:13" x14ac:dyDescent="0.25">
      <c r="L306" s="37" t="s">
        <v>819</v>
      </c>
      <c r="M306" s="37" t="s">
        <v>882</v>
      </c>
    </row>
    <row r="307" spans="12:13" x14ac:dyDescent="0.25">
      <c r="L307" s="37" t="s">
        <v>820</v>
      </c>
      <c r="M307" s="37" t="s">
        <v>883</v>
      </c>
    </row>
    <row r="308" spans="12:13" x14ac:dyDescent="0.25">
      <c r="L308" s="37" t="s">
        <v>821</v>
      </c>
      <c r="M308" s="37" t="s">
        <v>884</v>
      </c>
    </row>
    <row r="309" spans="12:13" x14ac:dyDescent="0.25">
      <c r="L309" s="37" t="s">
        <v>822</v>
      </c>
      <c r="M309" s="37" t="s">
        <v>885</v>
      </c>
    </row>
    <row r="310" spans="12:13" x14ac:dyDescent="0.25">
      <c r="L310" s="37" t="s">
        <v>823</v>
      </c>
      <c r="M310" s="37" t="s">
        <v>886</v>
      </c>
    </row>
    <row r="311" spans="12:13" x14ac:dyDescent="0.25">
      <c r="L311" s="37" t="s">
        <v>824</v>
      </c>
      <c r="M311" s="37" t="s">
        <v>887</v>
      </c>
    </row>
    <row r="312" spans="12:13" x14ac:dyDescent="0.25">
      <c r="L312" s="37" t="s">
        <v>825</v>
      </c>
      <c r="M312" s="37" t="s">
        <v>888</v>
      </c>
    </row>
    <row r="313" spans="12:13" x14ac:dyDescent="0.25">
      <c r="L313" s="37" t="s">
        <v>826</v>
      </c>
      <c r="M313" s="37" t="s">
        <v>889</v>
      </c>
    </row>
    <row r="314" spans="12:13" x14ac:dyDescent="0.25">
      <c r="L314" s="37" t="s">
        <v>827</v>
      </c>
      <c r="M314" s="37" t="s">
        <v>890</v>
      </c>
    </row>
    <row r="315" spans="12:13" x14ac:dyDescent="0.25">
      <c r="L315" s="37" t="s">
        <v>828</v>
      </c>
      <c r="M315" s="37" t="s">
        <v>891</v>
      </c>
    </row>
    <row r="316" spans="12:13" x14ac:dyDescent="0.25">
      <c r="L316" s="37" t="s">
        <v>829</v>
      </c>
      <c r="M316" s="37" t="s">
        <v>891</v>
      </c>
    </row>
    <row r="317" spans="12:13" x14ac:dyDescent="0.25">
      <c r="L317" s="37" t="s">
        <v>830</v>
      </c>
      <c r="M317" s="37" t="s">
        <v>892</v>
      </c>
    </row>
    <row r="318" spans="12:13" x14ac:dyDescent="0.25">
      <c r="L318" s="37" t="s">
        <v>831</v>
      </c>
      <c r="M318" s="37" t="s">
        <v>893</v>
      </c>
    </row>
    <row r="319" spans="12:13" x14ac:dyDescent="0.25">
      <c r="L319" s="37" t="s">
        <v>832</v>
      </c>
      <c r="M319" s="37" t="s">
        <v>894</v>
      </c>
    </row>
    <row r="320" spans="12:13" x14ac:dyDescent="0.25">
      <c r="L320" s="37" t="s">
        <v>833</v>
      </c>
      <c r="M320" s="37" t="s">
        <v>895</v>
      </c>
    </row>
    <row r="321" spans="12:13" x14ac:dyDescent="0.25">
      <c r="L321" s="37" t="s">
        <v>4330</v>
      </c>
      <c r="M321" s="37" t="s">
        <v>896</v>
      </c>
    </row>
    <row r="322" spans="12:13" x14ac:dyDescent="0.25">
      <c r="L322" s="37" t="s">
        <v>834</v>
      </c>
      <c r="M322" s="37" t="s">
        <v>897</v>
      </c>
    </row>
    <row r="323" spans="12:13" x14ac:dyDescent="0.25">
      <c r="L323" s="37" t="s">
        <v>835</v>
      </c>
      <c r="M323" s="37" t="s">
        <v>898</v>
      </c>
    </row>
    <row r="324" spans="12:13" x14ac:dyDescent="0.25">
      <c r="L324" s="37" t="s">
        <v>836</v>
      </c>
      <c r="M324" s="37" t="s">
        <v>898</v>
      </c>
    </row>
    <row r="325" spans="12:13" x14ac:dyDescent="0.25">
      <c r="L325" s="37" t="s">
        <v>837</v>
      </c>
      <c r="M325" s="37" t="s">
        <v>899</v>
      </c>
    </row>
    <row r="326" spans="12:13" x14ac:dyDescent="0.25">
      <c r="L326" s="37" t="s">
        <v>838</v>
      </c>
      <c r="M326" s="37" t="s">
        <v>900</v>
      </c>
    </row>
    <row r="327" spans="12:13" x14ac:dyDescent="0.25">
      <c r="M327" s="37" t="s">
        <v>901</v>
      </c>
    </row>
    <row r="328" spans="12:13" x14ac:dyDescent="0.25">
      <c r="M328" s="37" t="s">
        <v>902</v>
      </c>
    </row>
    <row r="329" spans="12:13" x14ac:dyDescent="0.25">
      <c r="M329" s="37" t="s">
        <v>903</v>
      </c>
    </row>
    <row r="330" spans="12:13" x14ac:dyDescent="0.25">
      <c r="M330" s="37" t="s">
        <v>904</v>
      </c>
    </row>
    <row r="331" spans="12:13" x14ac:dyDescent="0.25">
      <c r="M331" s="37" t="s">
        <v>905</v>
      </c>
    </row>
    <row r="332" spans="12:13" x14ac:dyDescent="0.25">
      <c r="M332" s="37" t="s">
        <v>906</v>
      </c>
    </row>
    <row r="333" spans="12:13" x14ac:dyDescent="0.25">
      <c r="M333" s="37" t="s">
        <v>907</v>
      </c>
    </row>
    <row r="334" spans="12:13" x14ac:dyDescent="0.25">
      <c r="M334" s="37" t="s">
        <v>908</v>
      </c>
    </row>
    <row r="335" spans="12:13" x14ac:dyDescent="0.25">
      <c r="M335" s="37" t="s">
        <v>909</v>
      </c>
    </row>
    <row r="336" spans="12:13" x14ac:dyDescent="0.25">
      <c r="M336" s="37" t="s">
        <v>910</v>
      </c>
    </row>
    <row r="337" spans="13:13" x14ac:dyDescent="0.25">
      <c r="M337" s="37" t="s">
        <v>911</v>
      </c>
    </row>
    <row r="338" spans="13:13" x14ac:dyDescent="0.25">
      <c r="M338" s="37" t="s">
        <v>912</v>
      </c>
    </row>
    <row r="339" spans="13:13" x14ac:dyDescent="0.25">
      <c r="M339" s="37" t="s">
        <v>913</v>
      </c>
    </row>
    <row r="340" spans="13:13" x14ac:dyDescent="0.25">
      <c r="M340" s="37" t="s">
        <v>914</v>
      </c>
    </row>
    <row r="341" spans="13:13" x14ac:dyDescent="0.25">
      <c r="M341" s="37" t="s">
        <v>915</v>
      </c>
    </row>
    <row r="342" spans="13:13" x14ac:dyDescent="0.25">
      <c r="M342" s="37" t="s">
        <v>916</v>
      </c>
    </row>
    <row r="343" spans="13:13" x14ac:dyDescent="0.25">
      <c r="M343" s="37" t="s">
        <v>917</v>
      </c>
    </row>
    <row r="344" spans="13:13" x14ac:dyDescent="0.25">
      <c r="M344" s="37" t="s">
        <v>918</v>
      </c>
    </row>
    <row r="345" spans="13:13" x14ac:dyDescent="0.25">
      <c r="M345" s="37" t="s">
        <v>919</v>
      </c>
    </row>
    <row r="346" spans="13:13" x14ac:dyDescent="0.25">
      <c r="M346" s="37" t="s">
        <v>920</v>
      </c>
    </row>
    <row r="347" spans="13:13" x14ac:dyDescent="0.25">
      <c r="M347" s="37" t="s">
        <v>921</v>
      </c>
    </row>
    <row r="348" spans="13:13" x14ac:dyDescent="0.25">
      <c r="M348" s="37" t="s">
        <v>922</v>
      </c>
    </row>
    <row r="349" spans="13:13" x14ac:dyDescent="0.25">
      <c r="M349" s="37" t="s">
        <v>923</v>
      </c>
    </row>
    <row r="350" spans="13:13" x14ac:dyDescent="0.25">
      <c r="M350" s="37" t="s">
        <v>924</v>
      </c>
    </row>
    <row r="351" spans="13:13" x14ac:dyDescent="0.25">
      <c r="M351" s="37" t="s">
        <v>925</v>
      </c>
    </row>
    <row r="352" spans="13:13" x14ac:dyDescent="0.25">
      <c r="M352" s="37" t="s">
        <v>926</v>
      </c>
    </row>
    <row r="353" spans="13:13" x14ac:dyDescent="0.25">
      <c r="M353" s="37" t="s">
        <v>927</v>
      </c>
    </row>
    <row r="354" spans="13:13" x14ac:dyDescent="0.25">
      <c r="M354" s="37" t="s">
        <v>928</v>
      </c>
    </row>
    <row r="355" spans="13:13" x14ac:dyDescent="0.25">
      <c r="M355" s="37" t="s">
        <v>929</v>
      </c>
    </row>
    <row r="356" spans="13:13" x14ac:dyDescent="0.25">
      <c r="M356" s="37" t="s">
        <v>930</v>
      </c>
    </row>
    <row r="357" spans="13:13" x14ac:dyDescent="0.25">
      <c r="M357" s="37" t="s">
        <v>931</v>
      </c>
    </row>
    <row r="358" spans="13:13" x14ac:dyDescent="0.25">
      <c r="M358" s="37" t="s">
        <v>932</v>
      </c>
    </row>
    <row r="359" spans="13:13" x14ac:dyDescent="0.25">
      <c r="M359" s="37" t="s">
        <v>933</v>
      </c>
    </row>
    <row r="360" spans="13:13" x14ac:dyDescent="0.25">
      <c r="M360" s="37" t="s">
        <v>934</v>
      </c>
    </row>
    <row r="361" spans="13:13" x14ac:dyDescent="0.25">
      <c r="M361" s="37" t="s">
        <v>935</v>
      </c>
    </row>
    <row r="362" spans="13:13" x14ac:dyDescent="0.25">
      <c r="M362" s="37" t="s">
        <v>936</v>
      </c>
    </row>
    <row r="363" spans="13:13" x14ac:dyDescent="0.25">
      <c r="M363" s="37" t="s">
        <v>937</v>
      </c>
    </row>
    <row r="364" spans="13:13" x14ac:dyDescent="0.25">
      <c r="M364" s="37" t="s">
        <v>938</v>
      </c>
    </row>
    <row r="365" spans="13:13" x14ac:dyDescent="0.25">
      <c r="M365" s="37" t="s">
        <v>939</v>
      </c>
    </row>
    <row r="366" spans="13:13" x14ac:dyDescent="0.25">
      <c r="M366" s="37" t="s">
        <v>940</v>
      </c>
    </row>
    <row r="367" spans="13:13" x14ac:dyDescent="0.25">
      <c r="M367" s="37" t="s">
        <v>941</v>
      </c>
    </row>
    <row r="368" spans="13:13" x14ac:dyDescent="0.25">
      <c r="M368" s="37" t="s">
        <v>942</v>
      </c>
    </row>
    <row r="369" spans="13:13" x14ac:dyDescent="0.25">
      <c r="M369" s="37" t="s">
        <v>943</v>
      </c>
    </row>
    <row r="370" spans="13:13" x14ac:dyDescent="0.25">
      <c r="M370" s="37" t="s">
        <v>944</v>
      </c>
    </row>
    <row r="371" spans="13:13" x14ac:dyDescent="0.25">
      <c r="M371" s="37" t="s">
        <v>945</v>
      </c>
    </row>
    <row r="372" spans="13:13" x14ac:dyDescent="0.25">
      <c r="M372" s="37" t="s">
        <v>946</v>
      </c>
    </row>
    <row r="373" spans="13:13" x14ac:dyDescent="0.25">
      <c r="M373" s="37" t="s">
        <v>947</v>
      </c>
    </row>
    <row r="374" spans="13:13" x14ac:dyDescent="0.25">
      <c r="M374" s="37" t="s">
        <v>948</v>
      </c>
    </row>
    <row r="375" spans="13:13" x14ac:dyDescent="0.25">
      <c r="M375" s="37" t="s">
        <v>949</v>
      </c>
    </row>
    <row r="376" spans="13:13" x14ac:dyDescent="0.25">
      <c r="M376" s="37" t="s">
        <v>950</v>
      </c>
    </row>
    <row r="377" spans="13:13" x14ac:dyDescent="0.25">
      <c r="M377" s="37" t="s">
        <v>951</v>
      </c>
    </row>
    <row r="378" spans="13:13" x14ac:dyDescent="0.25">
      <c r="M378" s="37" t="s">
        <v>952</v>
      </c>
    </row>
    <row r="379" spans="13:13" x14ac:dyDescent="0.25">
      <c r="M379" s="37" t="s">
        <v>953</v>
      </c>
    </row>
    <row r="380" spans="13:13" x14ac:dyDescent="0.25">
      <c r="M380" s="37" t="s">
        <v>954</v>
      </c>
    </row>
    <row r="381" spans="13:13" x14ac:dyDescent="0.25">
      <c r="M381" s="37" t="s">
        <v>955</v>
      </c>
    </row>
    <row r="382" spans="13:13" x14ac:dyDescent="0.25">
      <c r="M382" s="37" t="s">
        <v>956</v>
      </c>
    </row>
    <row r="383" spans="13:13" x14ac:dyDescent="0.25">
      <c r="M383" s="37" t="s">
        <v>957</v>
      </c>
    </row>
    <row r="384" spans="13:13" x14ac:dyDescent="0.25">
      <c r="M384" s="37" t="s">
        <v>958</v>
      </c>
    </row>
    <row r="385" spans="13:13" x14ac:dyDescent="0.25">
      <c r="M385" s="37" t="s">
        <v>958</v>
      </c>
    </row>
    <row r="386" spans="13:13" x14ac:dyDescent="0.25">
      <c r="M386" s="37" t="s">
        <v>958</v>
      </c>
    </row>
    <row r="387" spans="13:13" x14ac:dyDescent="0.25">
      <c r="M387" s="37" t="s">
        <v>958</v>
      </c>
    </row>
    <row r="388" spans="13:13" x14ac:dyDescent="0.25">
      <c r="M388" s="37" t="s">
        <v>959</v>
      </c>
    </row>
    <row r="389" spans="13:13" x14ac:dyDescent="0.25">
      <c r="M389" s="37" t="s">
        <v>960</v>
      </c>
    </row>
    <row r="390" spans="13:13" x14ac:dyDescent="0.25">
      <c r="M390" s="37" t="s">
        <v>961</v>
      </c>
    </row>
    <row r="391" spans="13:13" x14ac:dyDescent="0.25">
      <c r="M391" s="37" t="s">
        <v>962</v>
      </c>
    </row>
    <row r="392" spans="13:13" x14ac:dyDescent="0.25">
      <c r="M392" s="37" t="s">
        <v>963</v>
      </c>
    </row>
    <row r="393" spans="13:13" x14ac:dyDescent="0.25">
      <c r="M393" s="37" t="s">
        <v>964</v>
      </c>
    </row>
    <row r="394" spans="13:13" x14ac:dyDescent="0.25">
      <c r="M394" s="37" t="s">
        <v>965</v>
      </c>
    </row>
    <row r="395" spans="13:13" x14ac:dyDescent="0.25">
      <c r="M395" s="37" t="s">
        <v>966</v>
      </c>
    </row>
    <row r="396" spans="13:13" x14ac:dyDescent="0.25">
      <c r="M396" s="37" t="s">
        <v>967</v>
      </c>
    </row>
    <row r="397" spans="13:13" x14ac:dyDescent="0.25">
      <c r="M397" s="37" t="s">
        <v>968</v>
      </c>
    </row>
    <row r="398" spans="13:13" x14ac:dyDescent="0.25">
      <c r="M398" s="37" t="s">
        <v>969</v>
      </c>
    </row>
    <row r="399" spans="13:13" x14ac:dyDescent="0.25">
      <c r="M399" s="37" t="s">
        <v>970</v>
      </c>
    </row>
    <row r="400" spans="13:13" x14ac:dyDescent="0.25">
      <c r="M400" s="37" t="s">
        <v>1517</v>
      </c>
    </row>
    <row r="401" spans="13:13" x14ac:dyDescent="0.25">
      <c r="M401" s="37" t="s">
        <v>971</v>
      </c>
    </row>
    <row r="402" spans="13:13" x14ac:dyDescent="0.25">
      <c r="M402" s="37" t="s">
        <v>972</v>
      </c>
    </row>
    <row r="403" spans="13:13" x14ac:dyDescent="0.25">
      <c r="M403" s="37" t="s">
        <v>973</v>
      </c>
    </row>
    <row r="404" spans="13:13" x14ac:dyDescent="0.25">
      <c r="M404" s="37" t="s">
        <v>974</v>
      </c>
    </row>
    <row r="405" spans="13:13" x14ac:dyDescent="0.25">
      <c r="M405" s="37" t="s">
        <v>975</v>
      </c>
    </row>
    <row r="406" spans="13:13" x14ac:dyDescent="0.25">
      <c r="M406" s="37" t="s">
        <v>976</v>
      </c>
    </row>
    <row r="407" spans="13:13" x14ac:dyDescent="0.25">
      <c r="M407" s="37" t="s">
        <v>977</v>
      </c>
    </row>
    <row r="408" spans="13:13" x14ac:dyDescent="0.25">
      <c r="M408" s="37" t="s">
        <v>978</v>
      </c>
    </row>
    <row r="409" spans="13:13" x14ac:dyDescent="0.25">
      <c r="M409" s="37" t="s">
        <v>979</v>
      </c>
    </row>
    <row r="410" spans="13:13" x14ac:dyDescent="0.25">
      <c r="M410" s="37" t="s">
        <v>980</v>
      </c>
    </row>
    <row r="411" spans="13:13" x14ac:dyDescent="0.25">
      <c r="M411" s="37" t="s">
        <v>981</v>
      </c>
    </row>
    <row r="412" spans="13:13" x14ac:dyDescent="0.25">
      <c r="M412" s="37" t="s">
        <v>982</v>
      </c>
    </row>
    <row r="413" spans="13:13" x14ac:dyDescent="0.25">
      <c r="M413" s="37" t="s">
        <v>983</v>
      </c>
    </row>
    <row r="414" spans="13:13" x14ac:dyDescent="0.25">
      <c r="M414" s="37" t="s">
        <v>983</v>
      </c>
    </row>
    <row r="415" spans="13:13" x14ac:dyDescent="0.25">
      <c r="M415" s="37" t="s">
        <v>983</v>
      </c>
    </row>
    <row r="416" spans="13:13" x14ac:dyDescent="0.25">
      <c r="M416" s="37" t="s">
        <v>983</v>
      </c>
    </row>
    <row r="417" spans="13:13" x14ac:dyDescent="0.25">
      <c r="M417" s="37" t="s">
        <v>984</v>
      </c>
    </row>
    <row r="418" spans="13:13" x14ac:dyDescent="0.25">
      <c r="M418" s="37" t="s">
        <v>985</v>
      </c>
    </row>
    <row r="419" spans="13:13" x14ac:dyDescent="0.25">
      <c r="M419" s="37" t="s">
        <v>986</v>
      </c>
    </row>
    <row r="420" spans="13:13" x14ac:dyDescent="0.25">
      <c r="M420" s="37" t="s">
        <v>987</v>
      </c>
    </row>
    <row r="421" spans="13:13" x14ac:dyDescent="0.25">
      <c r="M421" s="37" t="s">
        <v>988</v>
      </c>
    </row>
    <row r="422" spans="13:13" x14ac:dyDescent="0.25">
      <c r="M422" s="37" t="s">
        <v>989</v>
      </c>
    </row>
    <row r="423" spans="13:13" x14ac:dyDescent="0.25">
      <c r="M423" s="37" t="s">
        <v>990</v>
      </c>
    </row>
    <row r="424" spans="13:13" x14ac:dyDescent="0.25">
      <c r="M424" s="37" t="s">
        <v>991</v>
      </c>
    </row>
    <row r="425" spans="13:13" x14ac:dyDescent="0.25">
      <c r="M425" s="37" t="s">
        <v>1518</v>
      </c>
    </row>
    <row r="426" spans="13:13" x14ac:dyDescent="0.25">
      <c r="M426" s="37" t="s">
        <v>992</v>
      </c>
    </row>
    <row r="427" spans="13:13" x14ac:dyDescent="0.25">
      <c r="M427" s="37" t="s">
        <v>993</v>
      </c>
    </row>
    <row r="428" spans="13:13" x14ac:dyDescent="0.25">
      <c r="M428" s="37" t="s">
        <v>994</v>
      </c>
    </row>
    <row r="429" spans="13:13" x14ac:dyDescent="0.25">
      <c r="M429" s="37" t="s">
        <v>995</v>
      </c>
    </row>
    <row r="430" spans="13:13" x14ac:dyDescent="0.25">
      <c r="M430" s="37" t="s">
        <v>996</v>
      </c>
    </row>
    <row r="431" spans="13:13" x14ac:dyDescent="0.25">
      <c r="M431" s="37" t="s">
        <v>997</v>
      </c>
    </row>
    <row r="432" spans="13:13" x14ac:dyDescent="0.25">
      <c r="M432" s="37" t="s">
        <v>998</v>
      </c>
    </row>
    <row r="433" spans="13:13" x14ac:dyDescent="0.25">
      <c r="M433" s="37" t="s">
        <v>999</v>
      </c>
    </row>
    <row r="434" spans="13:13" x14ac:dyDescent="0.25">
      <c r="M434" s="37" t="s">
        <v>1000</v>
      </c>
    </row>
    <row r="435" spans="13:13" x14ac:dyDescent="0.25">
      <c r="M435" s="37" t="s">
        <v>1001</v>
      </c>
    </row>
    <row r="436" spans="13:13" x14ac:dyDescent="0.25">
      <c r="M436" s="37" t="s">
        <v>1001</v>
      </c>
    </row>
    <row r="437" spans="13:13" x14ac:dyDescent="0.25">
      <c r="M437" s="37" t="s">
        <v>1001</v>
      </c>
    </row>
    <row r="438" spans="13:13" x14ac:dyDescent="0.25">
      <c r="M438" s="37" t="s">
        <v>1001</v>
      </c>
    </row>
    <row r="439" spans="13:13" x14ac:dyDescent="0.25">
      <c r="M439" s="37" t="s">
        <v>1528</v>
      </c>
    </row>
    <row r="440" spans="13:13" x14ac:dyDescent="0.25">
      <c r="M440" s="37" t="s">
        <v>1002</v>
      </c>
    </row>
    <row r="441" spans="13:13" x14ac:dyDescent="0.25">
      <c r="M441" s="37" t="s">
        <v>1003</v>
      </c>
    </row>
    <row r="442" spans="13:13" x14ac:dyDescent="0.25">
      <c r="M442" s="37" t="s">
        <v>1004</v>
      </c>
    </row>
    <row r="443" spans="13:13" x14ac:dyDescent="0.25">
      <c r="M443" s="37" t="s">
        <v>1005</v>
      </c>
    </row>
    <row r="444" spans="13:13" x14ac:dyDescent="0.25">
      <c r="M444" s="37" t="s">
        <v>1006</v>
      </c>
    </row>
    <row r="445" spans="13:13" x14ac:dyDescent="0.25">
      <c r="M445" s="37" t="s">
        <v>1007</v>
      </c>
    </row>
    <row r="446" spans="13:13" x14ac:dyDescent="0.25">
      <c r="M446" s="37" t="s">
        <v>1008</v>
      </c>
    </row>
    <row r="447" spans="13:13" x14ac:dyDescent="0.25">
      <c r="M447" s="37" t="s">
        <v>1009</v>
      </c>
    </row>
    <row r="448" spans="13:13" x14ac:dyDescent="0.25">
      <c r="M448" s="37" t="s">
        <v>1010</v>
      </c>
    </row>
    <row r="449" spans="13:13" x14ac:dyDescent="0.25">
      <c r="M449" s="37" t="s">
        <v>1011</v>
      </c>
    </row>
    <row r="450" spans="13:13" x14ac:dyDescent="0.25">
      <c r="M450" s="37" t="s">
        <v>1012</v>
      </c>
    </row>
    <row r="451" spans="13:13" x14ac:dyDescent="0.25">
      <c r="M451" s="37" t="s">
        <v>1013</v>
      </c>
    </row>
    <row r="452" spans="13:13" x14ac:dyDescent="0.25">
      <c r="M452" s="37" t="s">
        <v>1014</v>
      </c>
    </row>
    <row r="453" spans="13:13" x14ac:dyDescent="0.25">
      <c r="M453" s="37" t="s">
        <v>1015</v>
      </c>
    </row>
    <row r="454" spans="13:13" x14ac:dyDescent="0.25">
      <c r="M454" s="37" t="s">
        <v>1016</v>
      </c>
    </row>
    <row r="455" spans="13:13" x14ac:dyDescent="0.25">
      <c r="M455" s="37" t="s">
        <v>1017</v>
      </c>
    </row>
    <row r="456" spans="13:13" x14ac:dyDescent="0.25">
      <c r="M456" s="37" t="s">
        <v>1018</v>
      </c>
    </row>
    <row r="457" spans="13:13" x14ac:dyDescent="0.25">
      <c r="M457" s="37" t="s">
        <v>1019</v>
      </c>
    </row>
    <row r="458" spans="13:13" x14ac:dyDescent="0.25">
      <c r="M458" s="37" t="s">
        <v>1020</v>
      </c>
    </row>
    <row r="459" spans="13:13" x14ac:dyDescent="0.25">
      <c r="M459" s="37" t="s">
        <v>1021</v>
      </c>
    </row>
    <row r="460" spans="13:13" x14ac:dyDescent="0.25">
      <c r="M460" s="37" t="s">
        <v>1022</v>
      </c>
    </row>
    <row r="461" spans="13:13" x14ac:dyDescent="0.25">
      <c r="M461" s="37" t="s">
        <v>1023</v>
      </c>
    </row>
    <row r="462" spans="13:13" x14ac:dyDescent="0.25">
      <c r="M462" s="37" t="s">
        <v>1024</v>
      </c>
    </row>
    <row r="463" spans="13:13" x14ac:dyDescent="0.25">
      <c r="M463" s="37" t="s">
        <v>1025</v>
      </c>
    </row>
    <row r="464" spans="13:13" x14ac:dyDescent="0.25">
      <c r="M464" s="37" t="s">
        <v>1026</v>
      </c>
    </row>
    <row r="465" spans="13:13" x14ac:dyDescent="0.25">
      <c r="M465" s="37" t="s">
        <v>1027</v>
      </c>
    </row>
    <row r="466" spans="13:13" x14ac:dyDescent="0.25">
      <c r="M466" s="37" t="s">
        <v>1028</v>
      </c>
    </row>
    <row r="467" spans="13:13" x14ac:dyDescent="0.25">
      <c r="M467" s="37" t="s">
        <v>1029</v>
      </c>
    </row>
    <row r="468" spans="13:13" x14ac:dyDescent="0.25">
      <c r="M468" s="37" t="s">
        <v>1030</v>
      </c>
    </row>
    <row r="469" spans="13:13" x14ac:dyDescent="0.25">
      <c r="M469" s="37" t="s">
        <v>1031</v>
      </c>
    </row>
    <row r="470" spans="13:13" x14ac:dyDescent="0.25">
      <c r="M470" s="37" t="s">
        <v>1032</v>
      </c>
    </row>
    <row r="471" spans="13:13" x14ac:dyDescent="0.25">
      <c r="M471" s="37" t="s">
        <v>1033</v>
      </c>
    </row>
    <row r="472" spans="13:13" x14ac:dyDescent="0.25">
      <c r="M472" s="37" t="s">
        <v>1034</v>
      </c>
    </row>
    <row r="473" spans="13:13" x14ac:dyDescent="0.25">
      <c r="M473" s="37" t="s">
        <v>1035</v>
      </c>
    </row>
    <row r="474" spans="13:13" x14ac:dyDescent="0.25">
      <c r="M474" s="37" t="s">
        <v>1036</v>
      </c>
    </row>
    <row r="475" spans="13:13" x14ac:dyDescent="0.25">
      <c r="M475" s="37" t="s">
        <v>1037</v>
      </c>
    </row>
    <row r="476" spans="13:13" x14ac:dyDescent="0.25">
      <c r="M476" s="37" t="s">
        <v>1038</v>
      </c>
    </row>
    <row r="477" spans="13:13" x14ac:dyDescent="0.25">
      <c r="M477" s="37" t="s">
        <v>1039</v>
      </c>
    </row>
    <row r="478" spans="13:13" x14ac:dyDescent="0.25">
      <c r="M478" s="37" t="s">
        <v>1040</v>
      </c>
    </row>
    <row r="479" spans="13:13" x14ac:dyDescent="0.25">
      <c r="M479" s="37" t="s">
        <v>1041</v>
      </c>
    </row>
    <row r="480" spans="13:13" x14ac:dyDescent="0.25">
      <c r="M480" s="37" t="s">
        <v>1042</v>
      </c>
    </row>
    <row r="481" spans="13:13" x14ac:dyDescent="0.25">
      <c r="M481" s="37" t="s">
        <v>1043</v>
      </c>
    </row>
    <row r="482" spans="13:13" x14ac:dyDescent="0.25">
      <c r="M482" s="37" t="s">
        <v>1044</v>
      </c>
    </row>
    <row r="483" spans="13:13" x14ac:dyDescent="0.25">
      <c r="M483" s="37" t="s">
        <v>1045</v>
      </c>
    </row>
    <row r="484" spans="13:13" x14ac:dyDescent="0.25">
      <c r="M484" s="37" t="s">
        <v>1046</v>
      </c>
    </row>
    <row r="485" spans="13:13" x14ac:dyDescent="0.25">
      <c r="M485" s="37" t="s">
        <v>1047</v>
      </c>
    </row>
    <row r="486" spans="13:13" x14ac:dyDescent="0.25">
      <c r="M486" s="37" t="s">
        <v>1048</v>
      </c>
    </row>
    <row r="487" spans="13:13" x14ac:dyDescent="0.25">
      <c r="M487" s="37" t="s">
        <v>1049</v>
      </c>
    </row>
    <row r="488" spans="13:13" x14ac:dyDescent="0.25">
      <c r="M488" s="37" t="s">
        <v>1050</v>
      </c>
    </row>
    <row r="489" spans="13:13" x14ac:dyDescent="0.25">
      <c r="M489" s="37" t="s">
        <v>1051</v>
      </c>
    </row>
    <row r="490" spans="13:13" x14ac:dyDescent="0.25">
      <c r="M490" s="37" t="s">
        <v>1052</v>
      </c>
    </row>
    <row r="491" spans="13:13" x14ac:dyDescent="0.25">
      <c r="M491" s="37" t="s">
        <v>1053</v>
      </c>
    </row>
    <row r="492" spans="13:13" x14ac:dyDescent="0.25">
      <c r="M492" s="37" t="s">
        <v>1054</v>
      </c>
    </row>
    <row r="493" spans="13:13" x14ac:dyDescent="0.25">
      <c r="M493" s="37" t="s">
        <v>1055</v>
      </c>
    </row>
    <row r="494" spans="13:13" x14ac:dyDescent="0.25">
      <c r="M494" s="37" t="s">
        <v>1056</v>
      </c>
    </row>
    <row r="495" spans="13:13" x14ac:dyDescent="0.25">
      <c r="M495" s="37" t="s">
        <v>1057</v>
      </c>
    </row>
    <row r="496" spans="13:13" x14ac:dyDescent="0.25">
      <c r="M496" s="37" t="s">
        <v>1058</v>
      </c>
    </row>
    <row r="497" spans="13:13" x14ac:dyDescent="0.25">
      <c r="M497" s="37" t="s">
        <v>1059</v>
      </c>
    </row>
    <row r="498" spans="13:13" x14ac:dyDescent="0.25">
      <c r="M498" s="37" t="s">
        <v>1060</v>
      </c>
    </row>
    <row r="499" spans="13:13" x14ac:dyDescent="0.25">
      <c r="M499" s="37" t="s">
        <v>1061</v>
      </c>
    </row>
    <row r="500" spans="13:13" x14ac:dyDescent="0.25">
      <c r="M500" s="37" t="s">
        <v>1062</v>
      </c>
    </row>
    <row r="501" spans="13:13" x14ac:dyDescent="0.25">
      <c r="M501" s="37" t="s">
        <v>1063</v>
      </c>
    </row>
    <row r="502" spans="13:13" x14ac:dyDescent="0.25">
      <c r="M502" s="37" t="s">
        <v>1064</v>
      </c>
    </row>
    <row r="503" spans="13:13" x14ac:dyDescent="0.25">
      <c r="M503" s="37" t="s">
        <v>1065</v>
      </c>
    </row>
    <row r="504" spans="13:13" x14ac:dyDescent="0.25">
      <c r="M504" s="37" t="s">
        <v>1066</v>
      </c>
    </row>
    <row r="505" spans="13:13" x14ac:dyDescent="0.25">
      <c r="M505" s="37" t="s">
        <v>1067</v>
      </c>
    </row>
    <row r="506" spans="13:13" x14ac:dyDescent="0.25">
      <c r="M506" s="37" t="s">
        <v>1068</v>
      </c>
    </row>
    <row r="507" spans="13:13" x14ac:dyDescent="0.25">
      <c r="M507" s="37" t="s">
        <v>1069</v>
      </c>
    </row>
    <row r="508" spans="13:13" x14ac:dyDescent="0.25">
      <c r="M508" s="37" t="s">
        <v>1070</v>
      </c>
    </row>
    <row r="509" spans="13:13" x14ac:dyDescent="0.25">
      <c r="M509" s="37" t="s">
        <v>1071</v>
      </c>
    </row>
    <row r="510" spans="13:13" x14ac:dyDescent="0.25">
      <c r="M510" s="37" t="s">
        <v>1072</v>
      </c>
    </row>
    <row r="511" spans="13:13" x14ac:dyDescent="0.25">
      <c r="M511" s="37" t="s">
        <v>1073</v>
      </c>
    </row>
    <row r="512" spans="13:13" x14ac:dyDescent="0.25">
      <c r="M512" s="37" t="s">
        <v>1074</v>
      </c>
    </row>
    <row r="513" spans="13:13" x14ac:dyDescent="0.25">
      <c r="M513" s="37" t="s">
        <v>1075</v>
      </c>
    </row>
    <row r="514" spans="13:13" x14ac:dyDescent="0.25">
      <c r="M514" s="37" t="s">
        <v>1076</v>
      </c>
    </row>
    <row r="515" spans="13:13" x14ac:dyDescent="0.25">
      <c r="M515" s="37" t="s">
        <v>1077</v>
      </c>
    </row>
    <row r="516" spans="13:13" x14ac:dyDescent="0.25">
      <c r="M516" s="37" t="s">
        <v>1078</v>
      </c>
    </row>
    <row r="517" spans="13:13" x14ac:dyDescent="0.25">
      <c r="M517" s="37" t="s">
        <v>1079</v>
      </c>
    </row>
    <row r="518" spans="13:13" x14ac:dyDescent="0.25">
      <c r="M518" s="37" t="s">
        <v>1080</v>
      </c>
    </row>
    <row r="519" spans="13:13" x14ac:dyDescent="0.25">
      <c r="M519" s="37" t="s">
        <v>1081</v>
      </c>
    </row>
    <row r="520" spans="13:13" x14ac:dyDescent="0.25">
      <c r="M520" s="37" t="s">
        <v>1082</v>
      </c>
    </row>
    <row r="521" spans="13:13" x14ac:dyDescent="0.25">
      <c r="M521" s="37" t="s">
        <v>1083</v>
      </c>
    </row>
    <row r="522" spans="13:13" x14ac:dyDescent="0.25">
      <c r="M522" s="37" t="s">
        <v>1084</v>
      </c>
    </row>
    <row r="523" spans="13:13" x14ac:dyDescent="0.25">
      <c r="M523" s="37" t="s">
        <v>1085</v>
      </c>
    </row>
    <row r="524" spans="13:13" x14ac:dyDescent="0.25">
      <c r="M524" s="37" t="s">
        <v>1086</v>
      </c>
    </row>
    <row r="525" spans="13:13" x14ac:dyDescent="0.25">
      <c r="M525" s="37" t="s">
        <v>1087</v>
      </c>
    </row>
    <row r="526" spans="13:13" x14ac:dyDescent="0.25">
      <c r="M526" s="37" t="s">
        <v>1088</v>
      </c>
    </row>
    <row r="527" spans="13:13" x14ac:dyDescent="0.25">
      <c r="M527" s="37" t="s">
        <v>1089</v>
      </c>
    </row>
    <row r="528" spans="13:13" x14ac:dyDescent="0.25">
      <c r="M528" s="37" t="s">
        <v>1090</v>
      </c>
    </row>
    <row r="529" spans="13:13" x14ac:dyDescent="0.25">
      <c r="M529" s="37" t="s">
        <v>1091</v>
      </c>
    </row>
    <row r="530" spans="13:13" x14ac:dyDescent="0.25">
      <c r="M530" s="37" t="s">
        <v>1092</v>
      </c>
    </row>
    <row r="531" spans="13:13" x14ac:dyDescent="0.25">
      <c r="M531" s="37" t="s">
        <v>1093</v>
      </c>
    </row>
    <row r="532" spans="13:13" x14ac:dyDescent="0.25">
      <c r="M532" s="37" t="s">
        <v>1094</v>
      </c>
    </row>
    <row r="533" spans="13:13" x14ac:dyDescent="0.25">
      <c r="M533" s="37" t="s">
        <v>1095</v>
      </c>
    </row>
    <row r="534" spans="13:13" x14ac:dyDescent="0.25">
      <c r="M534" s="37" t="s">
        <v>1096</v>
      </c>
    </row>
    <row r="535" spans="13:13" x14ac:dyDescent="0.25">
      <c r="M535" s="37" t="s">
        <v>1097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인덴트관리</vt:lpstr>
      <vt:lpstr>인덴트_임시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2021-12-07T07:29:35Z</dcterms:modified>
</cp:coreProperties>
</file>