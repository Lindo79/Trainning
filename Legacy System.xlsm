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75641A66-058F-4334-A3BD-035642782875}" xr6:coauthVersionLast="47" xr6:coauthVersionMax="47" xr10:uidLastSave="{00000000-0000-0000-0000-000000000000}"/>
  <bookViews>
    <workbookView xWindow="38290" yWindow="-110" windowWidth="29020" windowHeight="15820" firstSheet="1" activeTab="2" xr2:uid="{76938E8D-66E0-49BD-A941-AB682D8F9E78}"/>
  </bookViews>
  <sheets>
    <sheet name="메인" sheetId="8" state="hidden" r:id="rId1"/>
    <sheet name="인덴트관리" sheetId="9" r:id="rId2"/>
    <sheet name="PO관리" sheetId="10" r:id="rId3"/>
    <sheet name="PO관리툴" sheetId="13" r:id="rId4"/>
    <sheet name="dupl_po" sheetId="12" state="hidden" r:id="rId5"/>
    <sheet name="code" sheetId="7" state="hidden" r:id="rId6"/>
    <sheet name="validation" sheetId="11" state="hidden" r:id="rId7"/>
    <sheet name="매출채권" sheetId="4" state="hidden" r:id="rId8"/>
  </sheets>
  <functionGroups builtInGroupCount="19"/>
  <definedNames>
    <definedName name="_xlnm._FilterDatabase" localSheetId="2" hidden="1">PO관리!$A$4:$M$59</definedName>
    <definedName name="_xlnm._FilterDatabase" localSheetId="1" hidden="1">인덴트관리!$A$4:$M$37</definedName>
    <definedName name="부서명">code!$B$2:$B$7</definedName>
    <definedName name="시즌년도">code!$H$2:$H$5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<sst xmlns="http://schemas.openxmlformats.org/spreadsheetml/2006/main" count="12438" uniqueCount="3315">
  <si>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</si>
  <si>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</si>
  <si>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</si>
  <si>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</si>
  <si>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</si>
  <si>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</si>
  <si>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</si>
  <si>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</si>
  <si>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</si>
  <si>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</si>
  <si>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</si>
  <si>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</si>
  <si>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</si>
  <si>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</si>
  <si>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</si>
  <si>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</si>
  <si>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</si>
  <si>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</si>
  <si>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</si>
  <si>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</si>
  <si>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</si>
  <si>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</si>
  <si>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</si>
  <si>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</si>
  <si>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</si>
  <si>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</si>
  <si>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</si>
  <si>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</si>
  <si>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</si>
  <si>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</si>
  <si>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</si>
  <si>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</si>
  <si>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</si>
  <si>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</si>
  <si>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</si>
  <si>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</si>
  <si>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</si>
  <si>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</si>
  <si>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</si>
  <si>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</si>
  <si>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</si>
  <si>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</si>
  <si>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</si>
  <si>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</si>
  <si>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</si>
  <si>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</si>
  <si>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</si>
  <si>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</si>
  <si>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</si>
  <si>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</si>
  <si>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</si>
  <si>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</si>
  <si>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</si>
  <si>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</si>
  <si>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</si>
  <si>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</si>
  <si>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</si>
  <si>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</si>
  <si>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</si>
  <si>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</si>
  <si>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</si>
  <si>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</si>
  <si>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</si>
  <si>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</si>
  <si>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</si>
  <si>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</si>
  <si>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</si>
  <si>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</si>
  <si>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</si>
  <si>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</si>
  <si>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</si>
  <si>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</si>
  <si>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</si>
  <si>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</si>
  <si>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</si>
  <si>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</si>
  <si>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</si>
  <si>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</si>
  <si>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</si>
  <si>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</si>
  <si>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</si>
  <si>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</si>
  <si>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</si>
  <si>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</si>
  <si>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</si>
  <si>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</si>
  <si>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</si>
  <si>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</si>
  <si>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</si>
  <si>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</si>
  <si>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</si>
  <si>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</si>
  <si>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</si>
  <si>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</si>
  <si>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</si>
  <si>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</si>
  <si>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</si>
  <si>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</si>
  <si>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</si>
  <si>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</si>
  <si>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</si>
  <si>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</si>
  <si>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</si>
  <si>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</si>
  <si>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</si>
  <si>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</si>
  <si>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</si>
  <si>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</si>
  <si>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</si>
  <si>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</si>
  <si>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</si>
  <si>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</si>
  <si>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</si>
  <si>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</si>
  <si>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</si>
  <si>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</si>
  <si>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</si>
  <si>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</si>
  <si>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</si>
  <si>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</si>
  <si>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</si>
  <si>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</si>
  <si>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</si>
  <si>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</si>
  <si>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</si>
  <si>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</si>
  <si>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</si>
  <si>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</si>
  <si>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</si>
  <si>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</si>
  <si>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</si>
  <si>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</si>
  <si>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</si>
  <si>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</si>
  <si>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</si>
  <si>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</si>
  <si>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</si>
  <si>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</si>
  <si>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</si>
  <si>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</si>
  <si>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</si>
  <si>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</si>
  <si>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</si>
  <si>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</si>
  <si>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</si>
  <si>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</si>
  <si>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</si>
  <si>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</si>
  <si>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</si>
  <si>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</si>
  <si>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</si>
  <si>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</si>
  <si>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</si>
  <si>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</si>
  <si>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</si>
  <si>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</si>
  <si>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</si>
  <si>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</si>
  <si>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</si>
  <si>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</si>
  <si>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</si>
  <si>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</si>
  <si>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</si>
  <si>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</si>
  <si>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</si>
  <si>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</si>
  <si>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</si>
  <si>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</si>
  <si>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</si>
  <si>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</si>
  <si>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</si>
  <si>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</si>
  <si>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</si>
  <si>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</si>
  <si>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</si>
  <si>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</si>
  <si>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</si>
  <si>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</si>
  <si>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</si>
  <si>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</si>
  <si>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</si>
  <si>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</si>
  <si>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</si>
  <si>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</si>
  <si>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</si>
  <si>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</si>
  <si>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</si>
  <si>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</si>
  <si>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</si>
  <si>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</si>
  <si>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</si>
  <si>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</si>
  <si>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</si>
  <si>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</si>
  <si>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</si>
  <si>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</si>
  <si>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</si>
  <si>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</si>
  <si>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</si>
  <si>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</si>
  <si>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</si>
  <si>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</si>
  <si>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</si>
  <si>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</si>
  <si>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</si>
  <si>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</si>
  <si>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</si>
  <si>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</si>
  <si>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</si>
  <si>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</si>
  <si>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</si>
  <si>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</si>
  <si>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</si>
  <si>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</si>
  <si>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</si>
  <si>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</si>
  <si>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</si>
  <si>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</si>
  <si>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</si>
  <si>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</si>
  <si>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</si>
  <si>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</si>
  <si>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</si>
  <si>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</si>
  <si>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</si>
  <si>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</si>
  <si>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</si>
  <si>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</si>
  <si>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</si>
  <si>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</si>
  <si>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</si>
  <si>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</si>
  <si>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</si>
  <si>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</si>
  <si>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</si>
  <si>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</si>
  <si>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</si>
  <si>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</si>
  <si>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</si>
  <si>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</si>
  <si>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</si>
  <si>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</si>
  <si>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</si>
  <si>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</si>
  <si>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</si>
  <si>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</si>
  <si>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</si>
  <si>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</si>
  <si>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</si>
  <si>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</si>
  <si>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</si>
  <si>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</si>
  <si>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</si>
  <si>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</si>
  <si>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</si>
  <si>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</si>
  <si>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</si>
  <si>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</si>
  <si>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</si>
  <si>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</si>
  <si>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</si>
  <si>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</si>
  <si>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</si>
  <si>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</si>
  <si>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</si>
  <si>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</si>
  <si>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</si>
  <si>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</si>
  <si>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</si>
  <si>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</si>
  <si>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</si>
  <si>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</si>
  <si>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</si>
  <si>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</si>
  <si>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</si>
  <si>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</si>
  <si>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</si>
  <si>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</si>
  <si>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</si>
  <si>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</si>
  <si>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</si>
  <si>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</si>
  <si>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</si>
  <si>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</si>
  <si>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</si>
  <si>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</si>
  <si>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</si>
  <si>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</si>
  <si>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</si>
  <si>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</si>
  <si>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</si>
  <si>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</si>
  <si>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</si>
  <si>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</si>
  <si>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</si>
  <si>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</si>
  <si>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</si>
  <si>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</si>
  <si>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</si>
  <si>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</si>
  <si>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</si>
  <si>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</si>
  <si>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</si>
  <si>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</si>
  <si>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</si>
  <si>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</si>
  <si>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</si>
  <si>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</si>
  <si>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</si>
  <si>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</si>
  <si>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</si>
  <si>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</si>
  <si>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</si>
  <si>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</si>
  <si>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</si>
  <si>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</si>
  <si>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</si>
  <si>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</si>
  <si>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</si>
  <si>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</si>
  <si>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</si>
  <si>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</si>
  <si>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</si>
  <si>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</si>
  <si>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</si>
  <si>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</si>
  <si>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</si>
  <si>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</si>
  <si>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</si>
  <si>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</si>
  <si>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</si>
  <si>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</si>
  <si>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</si>
  <si>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</si>
  <si>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</si>
  <si>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</si>
  <si>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</si>
  <si>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</si>
  <si>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</si>
  <si>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</si>
  <si>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</si>
  <si>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</si>
  <si>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</si>
  <si>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</si>
  <si>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</si>
  <si>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</si>
  <si>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</si>
  <si>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</si>
  <si>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</si>
  <si>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</si>
  <si>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</si>
  <si>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</si>
  <si>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</si>
  <si>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</si>
  <si>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</si>
  <si>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</si>
  <si>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</si>
  <si>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</si>
  <si>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</si>
  <si>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</si>
  <si>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</si>
  <si>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</si>
  <si>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</si>
  <si>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</si>
  <si>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</si>
  <si>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</si>
  <si>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</si>
  <si>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</si>
  <si>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</si>
  <si>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</si>
  <si>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</si>
  <si>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</si>
  <si>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</si>
  <si>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</si>
  <si>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</si>
  <si>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</si>
  <si>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</si>
  <si>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</si>
  <si>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</si>
  <si>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</si>
  <si>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</si>
  <si>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</si>
  <si>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</si>
  <si>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</si>
  <si>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</si>
  <si>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</si>
  <si>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</si>
  <si>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</si>
  <si>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</si>
  <si>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</si>
  <si>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</si>
  <si>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</si>
  <si>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</si>
  <si>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</si>
  <si>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</si>
  <si>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</si>
  <si>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</si>
  <si>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</si>
  <si>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</si>
  <si>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</si>
  <si>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</si>
  <si>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</si>
  <si>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</si>
  <si>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</si>
  <si>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</si>
  <si>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</si>
  <si>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</si>
  <si>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</si>
  <si>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</si>
  <si>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</si>
  <si>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</si>
  <si>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</si>
  <si>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</si>
  <si>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</si>
  <si>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</si>
  <si>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</si>
  <si>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</si>
  <si>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</si>
  <si>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</si>
  <si>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</si>
  <si>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</si>
  <si>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</si>
  <si>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</si>
  <si>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</si>
  <si>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</si>
  <si>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</si>
  <si>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</si>
  <si>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</si>
  <si>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</si>
  <si>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</si>
  <si>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</si>
  <si>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</si>
  <si>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</si>
  <si>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</si>
  <si>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</si>
  <si>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</si>
  <si>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</si>
  <si>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</si>
  <si>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</si>
  <si>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</si>
  <si>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</si>
  <si>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</si>
  <si>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</si>
  <si>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</si>
  <si>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</si>
  <si>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</si>
  <si>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</si>
  <si>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</si>
  <si>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</si>
  <si>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</si>
  <si>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</si>
  <si>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</si>
  <si>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</si>
  <si>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</si>
  <si>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</si>
  <si>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</si>
  <si>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</si>
  <si>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</si>
  <si>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</si>
  <si>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</si>
  <si>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</si>
  <si>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</si>
  <si>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</si>
  <si>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</si>
  <si>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</si>
  <si>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</si>
  <si>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</si>
  <si>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</si>
  <si>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</si>
  <si>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</si>
  <si>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</si>
  <si>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</si>
  <si>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</si>
  <si>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</si>
  <si>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</si>
  <si>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</si>
  <si>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</si>
  <si>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</si>
  <si>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</si>
  <si>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</si>
  <si>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</si>
  <si>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</si>
  <si>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</si>
  <si>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</si>
  <si>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</si>
  <si>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</si>
  <si>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</si>
  <si>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</si>
  <si>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</si>
  <si>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</si>
  <si>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</si>
  <si>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</si>
  <si>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</si>
  <si>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</si>
  <si>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</si>
  <si>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</si>
  <si>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</si>
  <si>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</si>
  <si>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</si>
  <si>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</si>
  <si>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</si>
  <si>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</si>
  <si>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</si>
  <si>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</si>
  <si>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</si>
  <si>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</si>
  <si>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</si>
  <si>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</si>
  <si>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</si>
  <si>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</si>
  <si>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</si>
  <si>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</si>
  <si>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</si>
  <si>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</si>
  <si>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</si>
  <si>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</si>
  <si>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</si>
  <si>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</si>
  <si>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</si>
  <si>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</si>
  <si>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</si>
  <si>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</si>
  <si>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</si>
  <si>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</si>
  <si>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</si>
  <si>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</si>
  <si>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</si>
  <si>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</si>
  <si>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</si>
  <si>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</si>
  <si>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</si>
  <si>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</si>
  <si>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</si>
  <si>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</si>
  <si>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</si>
  <si>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</si>
  <si>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</si>
  <si>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</si>
  <si>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</si>
  <si>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</si>
  <si>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</si>
  <si>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</si>
  <si>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</si>
  <si>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</si>
  <si>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</si>
  <si>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</si>
  <si>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</si>
  <si>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</si>
  <si>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</si>
  <si>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</si>
  <si>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</si>
  <si>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</si>
  <si>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</si>
  <si>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</si>
  <si>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</si>
  <si>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</si>
  <si>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</si>
  <si>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</si>
  <si>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</si>
  <si>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</si>
  <si>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</si>
  <si>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</si>
  <si>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</si>
  <si>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</si>
  <si>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</si>
  <si>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</si>
  <si>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</si>
  <si>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</si>
  <si>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</si>
  <si>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</si>
  <si>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</si>
  <si>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</si>
  <si>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</si>
  <si>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</si>
  <si>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</si>
  <si>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</si>
  <si>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</si>
  <si>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</si>
  <si>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</si>
  <si>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</si>
  <si>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</si>
  <si>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</si>
  <si>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</si>
  <si>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</si>
  <si>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</si>
  <si>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</si>
  <si>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</si>
  <si>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</si>
  <si>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</si>
  <si>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</si>
  <si>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</si>
  <si>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</si>
  <si>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</si>
  <si>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</si>
  <si>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</si>
  <si>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</si>
  <si>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</si>
  <si>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</si>
  <si>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</si>
  <si>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</si>
  <si>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</si>
  <si>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</si>
  <si>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</si>
  <si>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</si>
  <si>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</si>
  <si>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</si>
  <si>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</si>
  <si>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</si>
  <si>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</si>
  <si>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</si>
  <si>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</si>
  <si>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</si>
  <si>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</si>
  <si>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</si>
  <si>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</si>
  <si>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</si>
  <si>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</si>
  <si>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</si>
  <si>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</si>
  <si>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</si>
  <si>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</si>
  <si>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</si>
  <si>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</si>
  <si>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</si>
  <si>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</si>
  <si>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</si>
  <si>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</si>
  <si>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</si>
  <si>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</si>
  <si>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</si>
  <si>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</si>
  <si>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</si>
  <si>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</si>
  <si>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</si>
  <si>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</si>
  <si>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</si>
  <si>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</si>
  <si>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</si>
  <si>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</si>
  <si>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</si>
  <si>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</si>
  <si>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</si>
  <si>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</si>
  <si>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</si>
  <si>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</si>
  <si>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</si>
  <si>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</si>
  <si>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</si>
  <si>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</si>
  <si>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</si>
  <si>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</si>
  <si>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</si>
  <si>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</si>
  <si>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</si>
  <si>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</si>
  <si>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</si>
  <si>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</si>
  <si>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</si>
  <si>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</si>
  <si>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</si>
  <si>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</si>
  <si>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</si>
  <si>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</si>
  <si>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</si>
  <si>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</si>
  <si>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</si>
  <si>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</si>
  <si>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</si>
  <si>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</si>
  <si>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</si>
  <si>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</si>
  <si>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</si>
  <si>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</si>
  <si>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</si>
  <si>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</si>
  <si>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</si>
  <si>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</si>
  <si>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</si>
  <si>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</si>
  <si>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</si>
  <si>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</si>
  <si>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</si>
  <si>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</si>
  <si>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</si>
  <si>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</si>
  <si>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</si>
  <si>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</si>
  <si>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</si>
  <si>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</si>
  <si>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</si>
  <si>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</si>
  <si>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</si>
  <si>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</si>
  <si>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</si>
  <si>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</si>
  <si>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</si>
  <si>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</si>
  <si>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</si>
  <si>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</si>
  <si>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</si>
  <si>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</si>
  <si>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</si>
  <si>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</si>
  <si>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</si>
  <si>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</si>
  <si>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</si>
  <si>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</si>
  <si>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</si>
  <si>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</si>
  <si>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</si>
  <si>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</si>
  <si>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</si>
  <si>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</si>
  <si>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</si>
  <si>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</si>
  <si>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</si>
  <si>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</si>
  <si>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</si>
  <si>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</si>
  <si>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</si>
  <si>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</si>
  <si>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</si>
  <si>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</si>
  <si>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</si>
  <si>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</si>
  <si>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</si>
  <si>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</si>
  <si>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</si>
  <si>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</si>
  <si>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</si>
  <si>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</si>
  <si>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</si>
  <si>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</si>
  <si>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</si>
  <si>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</si>
  <si>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</si>
  <si>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</si>
  <si>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</si>
  <si>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</si>
  <si>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</si>
  <si>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</si>
  <si>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</si>
  <si>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</si>
  <si>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</si>
  <si>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</si>
  <si>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</si>
  <si>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</si>
  <si>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</si>
  <si>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</si>
  <si>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</si>
  <si>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</si>
  <si>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</si>
  <si>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</si>
  <si>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</si>
  <si>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</si>
  <si>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</si>
  <si>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</si>
  <si>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</si>
  <si>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</si>
  <si>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</si>
  <si>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</si>
  <si>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</si>
  <si>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</si>
  <si>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</si>
  <si>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</si>
  <si>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</si>
  <si>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</si>
  <si>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</si>
  <si>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</si>
  <si>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</si>
  <si>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</si>
  <si>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</si>
  <si>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</si>
  <si>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</si>
  <si>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</si>
  <si>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</si>
  <si>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</si>
  <si>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</si>
  <si>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</si>
  <si>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</si>
  <si>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</si>
  <si>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</si>
  <si>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</si>
  <si>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</si>
  <si>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</si>
  <si>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</si>
  <si>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</si>
  <si>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</si>
  <si>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</si>
  <si>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</si>
  <si>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</si>
  <si>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</si>
  <si>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</si>
  <si>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</si>
  <si>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</si>
  <si>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</si>
  <si>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</si>
  <si>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</si>
  <si>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</si>
  <si>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</si>
  <si>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</si>
  <si>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</si>
  <si>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</si>
  <si>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</si>
  <si>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</si>
  <si>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</si>
  <si>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</si>
  <si>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</si>
  <si>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</si>
  <si>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</si>
  <si>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</si>
  <si>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</si>
  <si>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</si>
  <si>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</si>
  <si>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</si>
  <si>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</si>
  <si>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</si>
  <si>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</si>
  <si>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</si>
  <si>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</si>
  <si>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</si>
  <si>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</si>
  <si>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</si>
  <si>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</si>
  <si>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</si>
  <si>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</si>
  <si>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</si>
  <si>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</si>
  <si>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</si>
  <si>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</si>
  <si>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</si>
  <si>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</si>
  <si>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</si>
  <si>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</si>
  <si>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</si>
  <si>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</si>
  <si>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</si>
  <si>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</si>
  <si>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</si>
  <si>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</si>
  <si>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</si>
  <si>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</si>
  <si>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</si>
  <si>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</si>
  <si>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</si>
  <si>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</si>
  <si>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</si>
  <si>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</si>
  <si>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</si>
  <si>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</si>
  <si>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</si>
  <si>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</si>
  <si>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</si>
  <si>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</si>
  <si>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</si>
  <si>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</si>
  <si>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</si>
  <si>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</si>
  <si>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</si>
  <si>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</si>
  <si>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</si>
  <si>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</si>
  <si>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</si>
  <si>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</si>
  <si>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</si>
  <si>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</si>
  <si>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</si>
  <si>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</si>
  <si>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</si>
  <si>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</si>
  <si>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</si>
  <si>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</si>
  <si>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</si>
  <si>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</si>
  <si>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</si>
  <si>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</si>
  <si>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</si>
  <si>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</si>
  <si>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</si>
  <si>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</si>
  <si>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</si>
  <si>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</si>
  <si>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</si>
  <si>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</si>
  <si>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</si>
  <si>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</si>
  <si>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</si>
  <si>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</si>
  <si>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</si>
  <si>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</si>
  <si>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</si>
  <si>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</si>
  <si>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</si>
  <si>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</si>
  <si>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</si>
  <si>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</si>
  <si>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</si>
  <si>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</si>
  <si>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</si>
  <si>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</si>
  <si>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</si>
  <si>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</si>
  <si>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</si>
  <si>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</si>
  <si>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</si>
  <si>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</si>
  <si>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</si>
  <si>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</si>
  <si>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</si>
  <si>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</si>
  <si>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</si>
  <si>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</si>
  <si>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</si>
  <si>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</si>
  <si>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</si>
  <si>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</si>
  <si>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</si>
  <si>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</si>
  <si>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</si>
  <si>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</si>
  <si>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</si>
  <si>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</si>
  <si>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</si>
  <si>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</si>
  <si>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</si>
  <si>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</si>
  <si>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</si>
  <si>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</si>
  <si>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</si>
  <si>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</si>
  <si>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</si>
  <si>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</si>
  <si>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</si>
  <si>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</si>
  <si>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</si>
  <si>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</si>
  <si>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</si>
  <si>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</si>
  <si>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</si>
  <si>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</si>
  <si>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</si>
  <si>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</si>
  <si>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</si>
  <si>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</si>
  <si>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</si>
  <si>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</si>
  <si>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</si>
  <si>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</si>
  <si>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</si>
  <si>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</si>
  <si>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</si>
  <si>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</si>
  <si>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</si>
  <si>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</si>
  <si>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</si>
  <si>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</si>
  <si>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</si>
  <si>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</si>
  <si>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</si>
  <si>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</si>
  <si>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</si>
  <si>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</si>
  <si>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</si>
  <si>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</si>
  <si>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</si>
  <si>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</si>
  <si>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</si>
  <si>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</si>
  <si>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</si>
  <si>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</si>
  <si>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</si>
  <si>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</si>
  <si>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</si>
  <si>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</si>
  <si>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</si>
  <si>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</si>
  <si>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</si>
  <si>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</si>
  <si>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</si>
  <si>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</si>
  <si>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</si>
  <si>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</si>
  <si>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</si>
  <si>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</si>
  <si>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</si>
  <si>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</si>
  <si>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</si>
  <si>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</si>
  <si>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</si>
  <si>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</si>
  <si>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</si>
  <si>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</si>
  <si>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</si>
  <si>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</si>
  <si>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</si>
  <si>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</si>
  <si>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</si>
  <si>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</si>
  <si>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</si>
  <si>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</si>
  <si>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</si>
  <si>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</si>
  <si>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</si>
  <si>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</si>
  <si>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</si>
  <si>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</si>
  <si>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</si>
  <si>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</si>
  <si>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</si>
  <si>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</si>
  <si>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</si>
  <si>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</si>
  <si>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</si>
  <si>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</si>
  <si>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</si>
  <si>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</si>
  <si>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</si>
  <si>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</si>
  <si>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</si>
  <si>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</si>
  <si>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</si>
  <si>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</si>
  <si>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</si>
  <si>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</si>
  <si>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</si>
  <si>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</si>
  <si>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</si>
  <si>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</si>
  <si>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</si>
  <si>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</si>
  <si>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</si>
  <si>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</si>
  <si>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</si>
  <si>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</si>
  <si>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</si>
  <si>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</si>
  <si>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</si>
  <si>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</si>
  <si>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</si>
  <si>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</si>
  <si>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</si>
  <si>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</si>
  <si>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</si>
  <si>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</si>
  <si>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</si>
  <si>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</si>
  <si>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</si>
  <si>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</si>
  <si>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</si>
  <si>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</si>
  <si>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</si>
  <si>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</si>
  <si>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</si>
  <si>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</si>
  <si>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</si>
  <si>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</si>
  <si>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</si>
  <si>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</si>
  <si>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</si>
  <si>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</si>
  <si>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</si>
  <si>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</si>
  <si>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</si>
  <si>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</si>
  <si>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</si>
  <si>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</si>
  <si>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</si>
  <si>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</si>
  <si>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</si>
  <si>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</si>
  <si>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</si>
  <si>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</si>
  <si>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</si>
  <si>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</si>
  <si>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</si>
  <si>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</si>
  <si>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</si>
  <si>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</si>
  <si>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</si>
  <si>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</si>
  <si>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</si>
  <si>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</si>
  <si>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</si>
  <si>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</si>
  <si>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</si>
  <si>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</si>
  <si>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</si>
  <si>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</si>
  <si>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</si>
  <si>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</si>
  <si>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</si>
  <si>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</si>
  <si>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</si>
  <si>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</si>
  <si>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</si>
  <si>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</si>
  <si>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</si>
  <si>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</si>
  <si>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</si>
  <si>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</si>
  <si>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</si>
  <si>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</si>
  <si>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</si>
  <si>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</si>
  <si>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</si>
  <si>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</si>
  <si>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</si>
  <si>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</si>
  <si>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</si>
  <si>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</si>
  <si>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</si>
  <si>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</si>
  <si>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</si>
  <si>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</si>
  <si>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</si>
  <si>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</si>
  <si>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</si>
  <si>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</si>
  <si>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</si>
  <si>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</si>
  <si>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</si>
  <si>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</si>
  <si>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</si>
  <si>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</si>
  <si>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</si>
  <si>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</si>
  <si>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</si>
  <si>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</si>
  <si>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</si>
  <si>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</si>
  <si>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</si>
  <si>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</si>
  <si>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</si>
  <si>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</si>
  <si>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</si>
  <si>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</si>
  <si>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</si>
  <si>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</si>
  <si>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</si>
  <si>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</si>
  <si>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</si>
  <si>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</si>
  <si>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</si>
  <si>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</si>
  <si>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</si>
  <si>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</si>
  <si>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</si>
  <si>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</si>
  <si>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</si>
  <si>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</si>
  <si>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</si>
  <si>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</si>
  <si>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</si>
  <si>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</si>
  <si>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</si>
  <si>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</si>
  <si>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</si>
  <si>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</si>
  <si>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</si>
  <si>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</si>
  <si>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</si>
  <si>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</si>
  <si>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</si>
  <si>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</si>
  <si>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</si>
  <si>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</si>
  <si>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</si>
  <si>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</si>
  <si>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</si>
  <si>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</si>
  <si>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</si>
  <si>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</si>
  <si>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</si>
  <si>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</si>
  <si>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</si>
  <si>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</si>
  <si>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</si>
  <si>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</si>
  <si>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</si>
  <si>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</si>
  <si>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</si>
  <si>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</si>
  <si>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</si>
  <si>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</si>
  <si>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</si>
  <si>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</si>
  <si>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</si>
  <si>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</si>
  <si>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</si>
  <si>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</si>
  <si>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</si>
  <si>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</si>
  <si>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</si>
  <si>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</si>
  <si>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</si>
  <si>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</si>
  <si>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</si>
  <si>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</si>
  <si>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</si>
  <si>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</si>
  <si>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</si>
  <si>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</si>
  <si>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</si>
  <si>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</si>
  <si>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</si>
  <si>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</si>
  <si>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</si>
  <si>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</si>
  <si>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</si>
  <si>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</si>
  <si>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</si>
  <si>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</si>
  <si>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</si>
  <si>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</si>
  <si>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</si>
  <si>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</si>
  <si>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</si>
  <si>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</si>
  <si>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</si>
  <si>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</si>
  <si>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</si>
  <si>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</si>
  <si>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</si>
  <si>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</si>
  <si>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</si>
  <si>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</si>
  <si>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</si>
  <si>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</si>
  <si>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</si>
  <si>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</si>
  <si>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</si>
  <si>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</si>
  <si>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</si>
  <si>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</si>
  <si>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</si>
  <si>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</si>
  <si>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</si>
  <si>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</si>
  <si>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</si>
  <si>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</si>
  <si>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</si>
  <si>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</si>
  <si>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</si>
  <si>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</si>
  <si>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</si>
  <si>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</si>
  <si>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</si>
  <si>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</si>
  <si>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</si>
  <si>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</si>
  <si>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</si>
  <si>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</si>
  <si>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</si>
  <si>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</si>
  <si>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</si>
  <si>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</si>
  <si>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</si>
  <si>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</si>
  <si>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</si>
  <si>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</si>
  <si>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</si>
  <si>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</si>
  <si>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</si>
  <si>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</si>
  <si>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</si>
  <si>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</si>
  <si>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</si>
  <si>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</si>
  <si>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</si>
  <si>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</si>
  <si>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</si>
  <si>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</si>
  <si>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</si>
  <si>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</si>
  <si>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</si>
  <si>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</si>
  <si>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</si>
  <si>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</si>
  <si>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</si>
  <si>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</si>
  <si>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</si>
  <si>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</si>
  <si>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</si>
  <si>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</si>
  <si>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</si>
  <si>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</si>
  <si>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</si>
  <si>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</si>
  <si>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</si>
  <si>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</si>
  <si>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</si>
  <si>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</si>
  <si>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</si>
  <si>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</si>
  <si>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</si>
  <si>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</si>
  <si>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</si>
  <si>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</si>
  <si>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</si>
  <si>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</si>
  <si>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</si>
  <si>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</si>
  <si>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</si>
  <si>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</si>
  <si>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</si>
  <si>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</si>
  <si>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</si>
  <si>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</si>
  <si>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</si>
  <si>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</si>
  <si>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</si>
  <si>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</si>
  <si>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</si>
  <si>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</si>
  <si>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</si>
  <si>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</si>
  <si>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</si>
  <si>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</si>
  <si>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</si>
  <si>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</si>
  <si>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</si>
  <si>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</si>
  <si>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</si>
  <si>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</si>
  <si>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</si>
  <si>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</si>
  <si>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</si>
  <si>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</si>
  <si>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</si>
  <si>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</si>
  <si>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</si>
  <si>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</si>
  <si>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</si>
  <si>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</si>
  <si>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</si>
  <si>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</si>
  <si>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</si>
  <si>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</si>
  <si>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</si>
  <si>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</si>
  <si>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</si>
  <si>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</si>
  <si>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</si>
  <si>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</si>
  <si>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</si>
  <si>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</si>
  <si>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</si>
  <si>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</si>
  <si>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</si>
  <si>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</si>
  <si>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</si>
  <si>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</si>
  <si>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</si>
  <si>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</si>
  <si>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</si>
  <si>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</si>
  <si>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</si>
  <si>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</si>
  <si>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</si>
  <si>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</si>
  <si>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</si>
  <si>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</si>
  <si>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</si>
  <si>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</si>
  <si>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</si>
  <si>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</si>
  <si>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</si>
  <si>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</si>
  <si>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</si>
  <si>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</si>
  <si>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</si>
  <si>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</si>
  <si>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</si>
  <si>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</si>
  <si>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</si>
  <si>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</si>
  <si>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</si>
  <si>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</si>
  <si>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</si>
  <si>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</si>
  <si>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</si>
  <si>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</si>
  <si>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</si>
  <si>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</si>
  <si>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</si>
  <si>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</si>
  <si>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</si>
  <si>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</si>
  <si>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</si>
  <si>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</si>
  <si>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</si>
  <si>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</si>
  <si>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</si>
  <si>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</si>
  <si>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</si>
  <si>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</si>
  <si>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</si>
  <si>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</si>
  <si>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</si>
  <si>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</si>
  <si>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</si>
  <si>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</si>
  <si>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</si>
  <si>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</si>
  <si>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</si>
  <si>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</si>
  <si>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</si>
  <si>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</si>
  <si>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</si>
  <si>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</si>
  <si>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</si>
  <si>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</si>
  <si>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</si>
  <si>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</si>
  <si>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</si>
  <si>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</si>
  <si>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</si>
  <si>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</si>
  <si>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</si>
  <si>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</si>
  <si>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</si>
  <si>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</si>
  <si>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</si>
  <si>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</si>
  <si>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</si>
  <si>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</si>
  <si>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</si>
  <si>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</si>
  <si>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</si>
  <si>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</si>
  <si>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</si>
  <si>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</si>
  <si>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</si>
  <si>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</si>
  <si>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</si>
  <si>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</si>
  <si>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</si>
  <si>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</si>
  <si>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</si>
  <si>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</si>
  <si>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</si>
  <si>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</si>
  <si>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</si>
  <si>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</si>
  <si>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</si>
  <si>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</si>
  <si>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</si>
  <si>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</si>
  <si>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</si>
  <si>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</si>
  <si>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</si>
  <si>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</si>
  <si>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</si>
  <si>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</si>
  <si>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</si>
  <si>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</si>
  <si>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</si>
  <si>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</si>
  <si>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</si>
  <si>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</si>
  <si>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</si>
  <si>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</si>
  <si>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</si>
  <si>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</si>
  <si>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</si>
  <si>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</si>
  <si>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</si>
  <si>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</si>
  <si>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</si>
  <si>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</si>
  <si>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</si>
  <si>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</si>
  <si>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</si>
  <si>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</si>
  <si>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</si>
  <si>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</si>
  <si>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</si>
  <si>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</si>
  <si>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</si>
  <si>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</si>
  <si>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</si>
  <si>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</si>
  <si>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</si>
  <si>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</si>
  <si>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</si>
  <si>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</si>
  <si>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</si>
  <si>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</si>
  <si>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</si>
  <si>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</si>
  <si>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</si>
  <si>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</si>
  <si>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</si>
  <si>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</si>
  <si>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</si>
  <si>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</si>
  <si>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</si>
  <si>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</si>
  <si>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</si>
  <si>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</si>
  <si>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</si>
  <si>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</si>
  <si>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</si>
  <si>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</si>
  <si>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</si>
  <si>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</si>
  <si>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</si>
  <si>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</si>
  <si>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</si>
  <si>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</si>
  <si>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</si>
  <si>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</si>
  <si>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</si>
  <si>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</si>
  <si>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</si>
  <si>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</si>
  <si>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</si>
  <si>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</si>
  <si>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</si>
  <si>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</si>
  <si>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</si>
  <si>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</si>
  <si>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</si>
  <si>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</si>
  <si>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</si>
  <si>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</si>
  <si>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</si>
  <si>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</si>
  <si>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</si>
  <si>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</si>
  <si>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</si>
  <si>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</si>
  <si>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</si>
  <si>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</si>
  <si>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</si>
  <si>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</si>
  <si>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</si>
  <si>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</si>
  <si>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</si>
  <si>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</si>
  <si>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</si>
  <si>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</si>
  <si>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</si>
  <si>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</si>
  <si>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</si>
  <si>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</si>
  <si>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</si>
  <si>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</si>
  <si>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</si>
  <si>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</si>
  <si>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</si>
  <si>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</si>
  <si>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</si>
  <si>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</si>
  <si>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</si>
  <si>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</si>
  <si>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</si>
  <si>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</si>
  <si>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</si>
  <si>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</si>
  <si>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</si>
  <si>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</si>
  <si>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</si>
  <si>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</si>
  <si>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</si>
  <si>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</si>
  <si>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</si>
  <si>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</si>
  <si>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</si>
  <si>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</si>
  <si>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</si>
  <si>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</si>
  <si>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</si>
  <si>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</si>
  <si>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</si>
  <si>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</si>
  <si>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</si>
  <si>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</si>
  <si>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</si>
  <si>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</si>
  <si>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</si>
  <si>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</si>
  <si>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</si>
  <si>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</si>
  <si>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</si>
  <si>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</si>
  <si>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</si>
  <si>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</si>
  <si>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</si>
  <si>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</si>
  <si>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</si>
  <si>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</si>
  <si>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</si>
  <si>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</si>
  <si>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</si>
  <si>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</si>
  <si>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</si>
  <si>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</si>
  <si>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</si>
  <si>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</si>
  <si>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</si>
  <si>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</si>
  <si>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</si>
  <si>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</si>
  <si>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</si>
  <si>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</si>
  <si>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</si>
  <si>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</si>
  <si>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</si>
  <si>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</si>
  <si>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</si>
  <si>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</si>
  <si>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</si>
  <si>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</si>
  <si>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</si>
  <si>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</si>
  <si>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</si>
  <si>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</si>
  <si>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</si>
  <si>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</si>
  <si>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</si>
  <si>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</si>
  <si>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</si>
  <si>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</si>
  <si>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</si>
  <si>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</si>
  <si>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</si>
  <si>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</si>
  <si>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</si>
  <si>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</si>
  <si>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</si>
  <si>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</si>
  <si>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</si>
  <si>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</si>
  <si>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</si>
  <si>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</si>
  <si>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</si>
  <si>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</si>
  <si>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</si>
  <si>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</si>
  <si>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</si>
  <si>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</si>
  <si>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</si>
  <si>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</si>
  <si>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</si>
  <si>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</si>
  <si>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</si>
  <si>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</si>
  <si>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</si>
  <si>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</si>
  <si>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</si>
  <si>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</si>
  <si>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</si>
  <si>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</si>
  <si>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</si>
  <si>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</si>
  <si>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</si>
  <si>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</si>
  <si>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</si>
  <si>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</si>
  <si>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</si>
  <si>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</si>
  <si>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</si>
  <si>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</si>
  <si>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</si>
  <si>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</si>
  <si>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</si>
  <si>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</si>
  <si>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</si>
  <si>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</si>
  <si>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</si>
  <si>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</si>
  <si>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</si>
  <si>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</si>
  <si>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</si>
  <si>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</si>
  <si>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</si>
  <si>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</si>
  <si>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</si>
  <si>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</si>
  <si>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</si>
  <si>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</si>
  <si>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</si>
  <si>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</si>
  <si>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</si>
  <si>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</si>
  <si>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</si>
  <si>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</si>
  <si>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</si>
  <si>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</si>
  <si>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</si>
  <si>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</si>
  <si>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</si>
  <si>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</si>
  <si>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</si>
  <si>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</si>
  <si>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</si>
  <si>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</si>
  <si>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</si>
  <si>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</si>
  <si>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</si>
  <si>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</si>
  <si>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</si>
  <si>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</si>
  <si>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</si>
  <si>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</si>
  <si>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</si>
  <si>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</si>
  <si>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</si>
  <si>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</si>
  <si>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</si>
  <si>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</si>
  <si>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</si>
  <si>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</si>
  <si>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</si>
  <si>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</si>
  <si>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</si>
  <si>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</si>
  <si>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</si>
  <si>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</si>
  <si>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</si>
  <si>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</si>
  <si>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</si>
  <si>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</si>
  <si>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</si>
  <si>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</si>
  <si>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</si>
  <si>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</si>
  <si>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</si>
  <si>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</si>
  <si>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</si>
  <si>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</si>
  <si>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</si>
  <si>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</si>
  <si>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</si>
  <si>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</si>
  <si>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</si>
  <si>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</si>
  <si>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</si>
  <si>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</si>
  <si>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</si>
  <si>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</si>
  <si>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</si>
  <si>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</si>
  <si>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</si>
  <si>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</si>
  <si>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</si>
  <si>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</si>
  <si>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</si>
  <si>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</si>
  <si>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</si>
  <si>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</si>
  <si>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</si>
  <si>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</si>
  <si>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</si>
  <si>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</si>
  <si>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</si>
  <si>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</si>
  <si>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</si>
  <si>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</si>
  <si>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</si>
  <si>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</si>
  <si>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</si>
  <si>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</si>
  <si>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</si>
  <si>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</si>
  <si>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</si>
  <si>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</si>
  <si>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</si>
  <si>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</si>
  <si>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</si>
  <si>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</si>
  <si>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</si>
  <si>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</si>
  <si>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</si>
  <si>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</si>
  <si>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</si>
  <si>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</si>
  <si>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</si>
  <si>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</si>
  <si>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</si>
  <si>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</si>
  <si>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</si>
  <si>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</si>
  <si>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</si>
  <si>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</si>
  <si>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</si>
  <si>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</si>
  <si>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</si>
  <si>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</si>
  <si>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</si>
  <si>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</si>
  <si>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</si>
  <si>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</si>
  <si>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</si>
  <si>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</si>
  <si>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</si>
  <si>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</si>
  <si>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</si>
  <si>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</si>
  <si>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</si>
  <si>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</si>
  <si>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</si>
  <si>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</si>
  <si>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</si>
  <si>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</si>
  <si>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</si>
  <si>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</si>
  <si>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</si>
  <si>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</si>
  <si>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</si>
  <si>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</si>
  <si>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</si>
  <si>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</si>
  <si>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</si>
  <si>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</si>
  <si>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</si>
  <si>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</si>
  <si>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</si>
  <si>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</si>
  <si>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</si>
  <si>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</si>
  <si>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</si>
  <si>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</si>
  <si>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</si>
  <si>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</si>
  <si>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</si>
  <si>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</si>
  <si>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</si>
  <si>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</si>
  <si>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</si>
  <si>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</si>
  <si>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</si>
  <si>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</si>
  <si>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</si>
  <si>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</si>
  <si>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</si>
  <si>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</si>
  <si>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</si>
  <si>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</si>
  <si>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</si>
  <si>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</si>
  <si>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</si>
  <si>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</si>
  <si>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</si>
  <si>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</si>
  <si>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</si>
  <si>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</si>
  <si>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</si>
  <si>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</si>
  <si>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</si>
  <si>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</si>
  <si>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</si>
  <si>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</si>
  <si>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</si>
  <si>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</si>
  <si>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</si>
  <si>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</si>
  <si>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</si>
  <si>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</si>
  <si>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</si>
  <si>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</si>
  <si>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</si>
  <si>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</si>
  <si>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</si>
  <si>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</si>
  <si>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</si>
  <si>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</si>
  <si>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</si>
  <si>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</si>
  <si>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</si>
  <si>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</si>
  <si>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</si>
  <si>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</si>
  <si>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</si>
  <si>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</si>
  <si>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</si>
  <si>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</si>
  <si>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</si>
  <si>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</si>
  <si>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</si>
  <si>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</si>
  <si>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</si>
  <si>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</si>
  <si>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</si>
  <si>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</si>
  <si>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</si>
  <si>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</si>
  <si>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</si>
  <si>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</si>
  <si>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</si>
  <si>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</si>
  <si>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</si>
  <si>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</si>
  <si>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</si>
  <si>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</si>
  <si>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</si>
  <si>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</si>
  <si>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</si>
  <si>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</si>
  <si>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</si>
  <si>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</si>
  <si>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</si>
  <si>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</si>
  <si>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</si>
  <si>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</si>
  <si>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</si>
  <si>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</si>
  <si>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</si>
  <si>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</si>
  <si>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</si>
  <si>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</si>
  <si>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</si>
  <si>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</si>
  <si>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</si>
  <si>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</si>
  <si>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</si>
  <si>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</si>
  <si>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</si>
  <si>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</si>
  <si>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</si>
  <si>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</si>
  <si>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</si>
  <si>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</si>
  <si>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</si>
  <si>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</si>
  <si>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</si>
  <si>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</si>
  <si>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</si>
  <si>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</si>
  <si>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</si>
  <si>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</si>
  <si>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</si>
  <si>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</si>
  <si>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</si>
  <si>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</si>
  <si>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</si>
  <si>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</si>
  <si>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</si>
  <si>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</si>
  <si>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</si>
  <si>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</si>
  <si>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</si>
  <si>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</si>
  <si>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</si>
  <si>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</si>
  <si>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</si>
  <si>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</si>
  <si>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</si>
  <si>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</si>
  <si>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</si>
  <si>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</si>
  <si>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</si>
  <si>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</si>
  <si>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</si>
  <si>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</si>
  <si>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</si>
  <si>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</si>
  <si>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</si>
  <si>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</si>
  <si>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</si>
  <si>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</si>
  <si>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</si>
  <si>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</si>
  <si>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</si>
  <si>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</si>
  <si>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</si>
  <si>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</si>
  <si>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</si>
  <si>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</si>
  <si>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</si>
  <si>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</si>
  <si>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</si>
  <si>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</si>
  <si>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</si>
  <si>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</si>
  <si>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</si>
  <si>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</si>
  <si>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</si>
  <si>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</si>
  <si>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</si>
  <si>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</si>
  <si>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</si>
  <si>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</si>
  <si>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</si>
  <si>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</si>
  <si>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</si>
  <si>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</si>
  <si>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</si>
  <si>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</si>
  <si>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</si>
  <si>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</si>
  <si>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</si>
  <si>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</si>
  <si>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</si>
  <si>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</si>
  <si>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</si>
  <si>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</si>
  <si>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</si>
  <si>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</si>
  <si>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</si>
  <si>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</si>
  <si>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</si>
  <si>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</si>
  <si>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</si>
  <si>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</si>
  <si>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</si>
  <si>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</si>
  <si>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</si>
  <si>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</si>
  <si>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</si>
  <si>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</si>
  <si>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</si>
  <si>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</si>
  <si>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</si>
  <si>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</si>
  <si>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</si>
  <si>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</si>
  <si>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</si>
  <si>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</si>
  <si>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</si>
  <si>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</si>
  <si>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</si>
  <si>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</si>
  <si>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</si>
  <si>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</si>
  <si>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</si>
  <si>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</si>
  <si>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</si>
  <si>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</si>
  <si>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</si>
  <si>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</si>
  <si>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</si>
  <si>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</si>
  <si>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</si>
  <si>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</si>
  <si>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</si>
  <si>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</si>
  <si>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</si>
  <si>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</si>
  <si>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</si>
  <si>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</si>
  <si>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</si>
  <si>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</si>
  <si>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</si>
  <si>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</si>
  <si>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</si>
  <si>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</si>
  <si>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</si>
  <si>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</si>
  <si>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</si>
  <si>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</si>
  <si>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</si>
  <si>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</si>
  <si>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</si>
  <si>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</si>
  <si>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</si>
  <si>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</si>
  <si>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</si>
  <si>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</si>
  <si>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</si>
  <si>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</si>
  <si>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</si>
  <si>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</si>
  <si>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</si>
  <si>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</si>
  <si>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</si>
  <si>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</si>
  <si>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</si>
  <si>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</si>
  <si>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</si>
  <si>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</si>
  <si>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</si>
  <si>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</si>
  <si>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</si>
  <si>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</si>
  <si>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</si>
  <si>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</si>
  <si>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</si>
  <si>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</si>
  <si>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</si>
  <si>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</si>
  <si>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</si>
  <si>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</si>
  <si>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</si>
  <si>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</si>
  <si>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</si>
  <si>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</si>
  <si>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</si>
  <si>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</si>
  <si>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</si>
  <si>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</si>
  <si>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</si>
  <si>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</si>
  <si>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</si>
  <si>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</si>
  <si>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</si>
  <si>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</si>
  <si>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</si>
  <si>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</si>
  <si>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</si>
  <si>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</si>
  <si>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</si>
  <si>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</si>
  <si>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</si>
  <si>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</si>
  <si>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</si>
  <si>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</si>
  <si>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</si>
  <si>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</si>
  <si>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</si>
  <si>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</si>
  <si>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</si>
  <si>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</si>
  <si>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</si>
  <si>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</si>
  <si>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</si>
  <si>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</si>
  <si>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</si>
  <si>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</si>
  <si>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</si>
  <si>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</si>
  <si>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</si>
  <si>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</si>
  <si>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</si>
  <si>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</si>
  <si>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</si>
  <si>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</si>
  <si>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</si>
  <si>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</si>
  <si>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</si>
  <si>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</si>
  <si>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</si>
  <si>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</si>
  <si>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</si>
  <si>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</si>
  <si>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</si>
  <si>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</si>
  <si>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</si>
  <si>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</si>
  <si>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</si>
  <si>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</si>
  <si>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</si>
  <si>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</si>
  <si>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</si>
  <si>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</si>
  <si>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</si>
  <si>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</si>
  <si>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</si>
  <si>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</si>
  <si>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</si>
  <si>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</si>
  <si>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</si>
  <si>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</si>
  <si>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</si>
  <si>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</si>
  <si>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</si>
  <si>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</si>
  <si>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</si>
  <si>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</si>
  <si>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</si>
  <si>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</si>
  <si>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</si>
  <si>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</si>
  <si>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</si>
  <si>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</si>
  <si>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</si>
  <si>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</si>
  <si>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</si>
  <si>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</si>
  <si>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</si>
  <si>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</si>
  <si>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</si>
  <si>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</si>
  <si>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</si>
  <si>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</si>
  <si>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</si>
  <si>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</si>
  <si>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</si>
  <si>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</si>
  <si>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</si>
  <si>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</si>
  <si>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</si>
  <si>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</si>
  <si>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</si>
  <si>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</si>
  <si>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</si>
  <si>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</si>
  <si>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</si>
  <si>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</si>
  <si>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</si>
  <si>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</si>
  <si>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</si>
  <si>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</si>
  <si>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</si>
  <si>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</si>
  <si>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</si>
  <si>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</si>
  <si>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</si>
  <si>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</si>
  <si>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</si>
  <si>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</si>
  <si>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</si>
  <si>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</si>
  <si>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</si>
  <si>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</si>
  <si>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</si>
  <si>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</si>
  <si>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</si>
  <si>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</si>
  <si>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</si>
  <si>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</si>
  <si>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</si>
  <si>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</si>
  <si>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</si>
  <si>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</si>
  <si>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</si>
  <si>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</si>
  <si>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</si>
  <si>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</si>
  <si>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</si>
  <si>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</si>
  <si>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</si>
  <si>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</si>
  <si>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</si>
  <si>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</si>
  <si>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</si>
  <si>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</si>
  <si>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</si>
  <si>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</si>
  <si>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</si>
  <si>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</si>
  <si>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</si>
  <si>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</si>
  <si>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</si>
  <si>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</si>
  <si>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</si>
  <si>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</si>
  <si>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</si>
  <si>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</si>
  <si>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</si>
  <si>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</si>
  <si>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</si>
  <si>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</si>
  <si>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</si>
  <si>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</si>
  <si>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</si>
  <si>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</si>
  <si>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</si>
  <si>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</si>
  <si>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</si>
  <si>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</si>
  <si>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</si>
  <si>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</si>
  <si>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</si>
  <si>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</si>
  <si>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</si>
  <si>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</si>
  <si>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</si>
  <si>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</si>
  <si>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</si>
  <si>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</si>
  <si>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</si>
  <si>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</si>
  <si>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</si>
  <si>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</si>
  <si>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</si>
  <si>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</si>
  <si>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</si>
  <si>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</si>
  <si>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</si>
  <si>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</si>
  <si>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</si>
  <si>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</si>
  <si>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</si>
  <si>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</si>
  <si>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</si>
  <si>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</si>
  <si>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</si>
  <si>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</si>
  <si>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</si>
  <si>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</si>
  <si>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</si>
  <si>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</si>
  <si>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</si>
  <si>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</si>
  <si>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</si>
  <si>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</si>
  <si>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</si>
  <si>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</si>
  <si>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</si>
  <si>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</si>
  <si>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</si>
  <si>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</si>
  <si>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</si>
  <si>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</si>
  <si>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</si>
  <si>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</si>
  <si>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</si>
  <si>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</si>
  <si>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</si>
  <si>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</si>
  <si>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</si>
  <si>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</si>
  <si>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</si>
  <si>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</si>
  <si>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</si>
  <si>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</si>
  <si>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</si>
  <si>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</si>
  <si>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</si>
  <si>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</si>
  <si>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</si>
  <si>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</si>
  <si>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</si>
  <si>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</si>
  <si>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</si>
  <si>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</si>
  <si>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</si>
  <si>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</si>
  <si>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</si>
  <si>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</si>
  <si>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</si>
  <si>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</si>
  <si>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</si>
  <si>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</si>
  <si>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</si>
  <si>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</si>
  <si>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</si>
  <si>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</si>
  <si>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</si>
  <si>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</si>
  <si>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</si>
  <si>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</si>
  <si>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</si>
  <si>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</si>
  <si>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</si>
  <si>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</si>
  <si>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</si>
  <si>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</si>
  <si>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</si>
  <si>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</si>
  <si>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</si>
  <si>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</si>
  <si>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</si>
  <si>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</si>
  <si>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</si>
  <si>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</si>
  <si>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</si>
  <si>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</si>
  <si>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</si>
  <si>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</si>
  <si>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</si>
  <si>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</si>
  <si>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</si>
  <si>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</si>
  <si>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</si>
  <si>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</si>
  <si>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</si>
  <si>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</si>
  <si>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</si>
  <si>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</si>
  <si>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</si>
  <si>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</si>
  <si>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</si>
  <si>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</si>
  <si>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</si>
  <si>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</si>
  <si>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</si>
  <si>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</si>
  <si>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</si>
  <si>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</si>
  <si>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</si>
  <si>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</si>
  <si>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</si>
  <si>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</si>
  <si>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</si>
  <si>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</si>
  <si>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</si>
  <si>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</si>
  <si>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</si>
  <si>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</si>
  <si>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</si>
  <si>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</si>
  <si>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</si>
  <si>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</si>
  <si>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</si>
  <si>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</si>
  <si>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</si>
  <si>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</si>
  <si>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</si>
  <si>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</si>
  <si>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</si>
  <si>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</si>
  <si>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</si>
  <si>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</si>
  <si>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</si>
  <si>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</si>
  <si>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</si>
  <si>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</si>
  <si>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</si>
  <si>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</si>
  <si>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</si>
  <si>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</si>
  <si>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</si>
  <si>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</si>
  <si>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</si>
  <si>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</si>
  <si>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</si>
  <si>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</si>
  <si>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</si>
  <si>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</si>
  <si>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</si>
  <si>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</si>
  <si>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</si>
  <si>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</si>
  <si>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</si>
  <si>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</si>
  <si>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</si>
  <si>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</si>
  <si>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</si>
  <si>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</si>
  <si>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</si>
  <si>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</si>
  <si>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</si>
  <si>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</si>
  <si>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</si>
  <si>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</si>
  <si>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</si>
  <si>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</si>
  <si>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</si>
  <si>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</si>
  <si>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</si>
  <si>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</si>
  <si>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</si>
  <si>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</si>
  <si>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</si>
  <si>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</si>
  <si>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</si>
  <si>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</si>
  <si>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</si>
  <si>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</si>
  <si>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</si>
  <si>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</si>
  <si>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</si>
  <si>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</si>
  <si>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</si>
  <si>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</si>
  <si>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</si>
  <si>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</si>
  <si>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</si>
  <si>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</si>
  <si>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</si>
  <si>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</si>
  <si>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</si>
  <si>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</si>
  <si>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</si>
  <si>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</si>
  <si>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</si>
  <si>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</si>
  <si>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</si>
  <si>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</si>
  <si>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</si>
  <si>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</si>
  <si>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</si>
  <si>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</si>
  <si>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</si>
  <si>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</si>
  <si>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</si>
  <si>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</si>
  <si>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</si>
  <si>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</si>
  <si>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</si>
  <si>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</si>
  <si>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</si>
  <si>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</si>
  <si>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</si>
  <si>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</si>
  <si>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</si>
  <si>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</si>
  <si>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</si>
  <si>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</si>
  <si>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</si>
  <si>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</si>
  <si>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</si>
  <si>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</si>
  <si>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</si>
  <si>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</si>
  <si>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</si>
  <si>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</si>
  <si>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</si>
  <si>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</si>
  <si>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</si>
  <si>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</si>
  <si>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</si>
  <si>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</si>
  <si>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</si>
  <si>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</si>
  <si>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</si>
  <si>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</si>
  <si>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</si>
  <si>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</si>
  <si>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</si>
  <si>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</si>
  <si>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</si>
  <si>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</si>
  <si>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</si>
  <si>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</si>
  <si>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</si>
  <si>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</si>
  <si>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</si>
  <si>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</si>
  <si>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</si>
  <si>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</si>
  <si>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</si>
  <si>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</si>
  <si>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</si>
  <si>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</si>
  <si>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</si>
  <si>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</si>
  <si>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</si>
  <si>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</si>
  <si>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</si>
  <si>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</si>
  <si>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</si>
  <si>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</si>
  <si>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</si>
  <si>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</si>
  <si>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</si>
  <si>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</si>
  <si>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</si>
  <si>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</si>
  <si>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</si>
  <si>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</si>
  <si>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</si>
  <si>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</si>
  <si>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</si>
  <si>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</si>
  <si>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</si>
  <si>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</si>
  <si>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</si>
  <si>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</si>
  <si>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</si>
  <si>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</si>
  <si>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</si>
  <si>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</si>
  <si>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</si>
  <si>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</si>
  <si>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</si>
  <si>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</si>
  <si>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</si>
  <si>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</si>
  <si>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</si>
  <si>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</si>
  <si>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</si>
  <si>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</si>
  <si>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</si>
  <si>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</si>
  <si>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</si>
  <si>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</si>
  <si>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</si>
  <si>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</si>
  <si>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</si>
  <si>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</si>
  <si>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</si>
  <si>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</si>
  <si>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</si>
  <si>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</si>
  <si>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</si>
  <si>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</si>
  <si>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</si>
  <si>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</si>
  <si>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</si>
  <si>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</si>
  <si>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</si>
  <si>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</si>
  <si>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</si>
  <si>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</si>
  <si>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</si>
  <si>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</si>
  <si>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</si>
  <si>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</si>
  <si>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</si>
  <si>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</si>
  <si>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</si>
  <si>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</si>
  <si>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</si>
  <si>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</si>
  <si>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</si>
  <si>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</si>
  <si>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</si>
  <si>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</si>
  <si>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</si>
  <si>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</si>
  <si>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</si>
  <si>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</si>
  <si>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</si>
  <si>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</si>
  <si>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</si>
  <si>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</si>
  <si>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</si>
  <si>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</si>
  <si>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</si>
  <si>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</si>
  <si>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</si>
  <si>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</si>
  <si>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</si>
  <si>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</si>
  <si>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</si>
  <si>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</si>
  <si>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</si>
  <si>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</si>
  <si>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</si>
  <si>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</si>
  <si>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</si>
  <si>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</si>
  <si>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</si>
  <si>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</si>
  <si>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</si>
  <si>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</si>
  <si>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</si>
  <si>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</si>
  <si>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</si>
  <si>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</si>
  <si>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</si>
  <si>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</si>
  <si>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</si>
  <si>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</si>
  <si>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</si>
  <si>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</si>
  <si>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</si>
  <si>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</si>
  <si>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</si>
  <si>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</si>
  <si>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</si>
  <si>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</si>
  <si>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</si>
  <si>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</si>
  <si>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</si>
  <si>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</si>
  <si>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</si>
  <si>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</si>
  <si>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</si>
  <si>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</si>
  <si>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</si>
  <si>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</si>
  <si>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</si>
  <si>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</si>
  <si>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</si>
  <si>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</si>
  <si>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</si>
  <si>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</si>
  <si>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</si>
  <si>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</si>
  <si>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</si>
  <si>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</si>
  <si>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</si>
  <si>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</si>
  <si>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</si>
  <si>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</si>
  <si>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</si>
  <si>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</si>
  <si>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</si>
  <si>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</si>
  <si>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</si>
  <si>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</si>
  <si>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</si>
  <si>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</si>
  <si>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</si>
  <si>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</si>
  <si>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</si>
  <si>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</si>
  <si>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</si>
  <si>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</si>
  <si>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</si>
  <si>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</si>
  <si>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</si>
  <si>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</si>
  <si>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</si>
  <si>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</si>
  <si>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</si>
  <si>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</si>
  <si>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</si>
  <si>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</si>
  <si>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</si>
  <si>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</si>
  <si>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</si>
  <si>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</si>
  <si>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</si>
  <si>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</si>
  <si>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</si>
  <si>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</si>
  <si>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</si>
  <si>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</si>
  <si>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</si>
  <si>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</si>
  <si>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</si>
  <si>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</si>
  <si>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</si>
  <si>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</si>
  <si>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</si>
  <si>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</si>
  <si>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</si>
  <si>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</si>
  <si>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</si>
  <si>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</si>
  <si>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</si>
  <si>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</si>
  <si>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</si>
  <si>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</si>
  <si>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</si>
  <si>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</si>
  <si>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</si>
  <si>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</si>
  <si>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</si>
  <si>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</si>
  <si>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</si>
  <si>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</si>
  <si>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</si>
  <si>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</si>
  <si>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</si>
  <si>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</si>
  <si>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</si>
  <si>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</si>
  <si>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</si>
  <si>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</si>
  <si>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</si>
  <si>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</si>
  <si>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</si>
  <si>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</si>
  <si>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</si>
  <si>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</si>
  <si>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</si>
  <si>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</si>
  <si>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</si>
  <si>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</si>
  <si>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</si>
  <si>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</si>
  <si>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</si>
  <si>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</si>
  <si>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</si>
  <si>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</si>
  <si>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</si>
  <si>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</si>
  <si>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</si>
  <si>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</si>
  <si>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</si>
  <si>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</si>
  <si>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</si>
  <si>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</si>
  <si>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</si>
  <si>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</si>
  <si>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</si>
  <si>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</si>
  <si>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</si>
  <si>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</si>
  <si>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</si>
  <si>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</si>
  <si>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</si>
  <si>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</si>
  <si>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</si>
  <si>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</si>
  <si>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</si>
  <si>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</si>
  <si>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</si>
  <si>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</si>
  <si>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</si>
  <si>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</si>
  <si>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</si>
  <si>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</si>
  <si>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</si>
  <si>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</si>
  <si>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</si>
  <si>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</si>
  <si>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</si>
  <si>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</si>
  <si>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</si>
  <si>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</si>
  <si>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</si>
  <si>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</si>
  <si>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</si>
  <si>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</si>
  <si>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</si>
  <si>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</si>
  <si>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</si>
  <si>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</si>
  <si>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</si>
  <si>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</si>
  <si>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</si>
  <si>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</si>
  <si>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</si>
  <si>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</si>
  <si>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</si>
  <si>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</si>
  <si>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</si>
  <si>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</si>
  <si>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</si>
  <si>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</si>
  <si>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</si>
  <si>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</si>
  <si>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</si>
  <si>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</si>
  <si>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</si>
  <si>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</si>
  <si>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</si>
  <si>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</si>
  <si>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</si>
  <si>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</si>
  <si>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</si>
  <si>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</si>
  <si>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</si>
  <si>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</si>
  <si>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</si>
  <si>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</si>
  <si>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</si>
  <si>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</si>
  <si>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</si>
  <si>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</si>
  <si>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</si>
  <si>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</si>
  <si>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</si>
  <si>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</si>
  <si>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</si>
  <si>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</si>
  <si>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</si>
  <si>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</si>
  <si>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</si>
  <si>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</si>
  <si>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</si>
  <si>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</si>
  <si>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</si>
  <si>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</si>
  <si>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</si>
  <si>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</si>
  <si>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</si>
  <si>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</si>
  <si>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</si>
  <si>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</si>
  <si>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</si>
  <si>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</si>
  <si>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</si>
  <si>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</si>
  <si>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</si>
  <si>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</si>
  <si>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</si>
  <si>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</si>
  <si>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</si>
  <si>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</si>
  <si>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</si>
  <si>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</si>
  <si>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</si>
  <si>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</si>
  <si>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</si>
  <si>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</si>
  <si>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</si>
  <si>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</si>
  <si>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</si>
  <si>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</si>
  <si>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</si>
  <si>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</si>
  <si>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</si>
  <si>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</si>
  <si>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</si>
  <si>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</si>
  <si>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</si>
  <si>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</si>
  <si>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</si>
  <si>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</si>
  <si>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</si>
  <si>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</si>
  <si>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</si>
  <si>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</si>
  <si>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</si>
  <si>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</si>
  <si>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</si>
  <si>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</si>
  <si>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</si>
  <si>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</si>
  <si>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</si>
  <si>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</si>
  <si>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</si>
  <si>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</si>
  <si>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</si>
  <si>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</si>
  <si>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</si>
  <si>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</si>
  <si>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</si>
  <si>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</si>
  <si>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</si>
  <si>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</si>
  <si>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</si>
  <si>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</si>
  <si>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</si>
  <si>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</si>
  <si>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</si>
  <si>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</si>
  <si>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</si>
  <si>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</si>
  <si>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</si>
  <si>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</si>
  <si>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</si>
  <si>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</si>
  <si>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</si>
  <si>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</si>
  <si>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</si>
  <si>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</si>
  <si>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</si>
  <si>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</si>
  <si>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</si>
  <si>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</si>
  <si>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</si>
  <si>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</si>
  <si>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</si>
  <si>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</si>
  <si>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</si>
  <si>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</si>
  <si>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</si>
  <si>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</si>
  <si>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</si>
  <si>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</si>
  <si>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</si>
  <si>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</si>
  <si>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</si>
  <si>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</si>
  <si>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</si>
  <si>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</si>
  <si>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</si>
  <si>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</si>
  <si>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</si>
  <si>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</si>
  <si>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</si>
  <si>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</si>
  <si>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</si>
  <si>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</si>
  <si>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</si>
  <si>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</si>
  <si>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</si>
  <si>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</si>
  <si>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</si>
  <si>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</si>
  <si>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</si>
  <si>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</si>
  <si>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</si>
  <si>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</si>
  <si>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</si>
  <si>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</si>
  <si>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</si>
  <si>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</si>
  <si>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</si>
  <si>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</si>
  <si>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</si>
  <si>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</si>
  <si>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</si>
  <si>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</si>
  <si>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</si>
  <si>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</si>
  <si>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</si>
  <si>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</si>
  <si>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</si>
  <si>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</si>
  <si>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</si>
  <si>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</si>
  <si>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</si>
  <si>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</si>
  <si>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</si>
  <si>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</si>
  <si>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</si>
  <si>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</si>
  <si>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</si>
  <si>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</si>
  <si>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</si>
  <si>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</si>
  <si>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</si>
  <si>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</si>
  <si>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</si>
  <si>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</si>
  <si>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</si>
  <si>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</si>
  <si>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</si>
  <si>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</si>
  <si>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</si>
  <si>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</si>
  <si>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</si>
  <si>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</si>
  <si>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</si>
  <si>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</si>
  <si>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</si>
  <si>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</si>
  <si>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</si>
  <si>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</si>
  <si>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</si>
  <si>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</si>
  <si>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</si>
  <si>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</si>
  <si>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</si>
  <si>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</si>
  <si>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</si>
  <si>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</si>
  <si>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</si>
  <si>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</si>
  <si>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</si>
  <si>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</si>
  <si>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</si>
  <si>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</si>
  <si>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</si>
  <si>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</si>
  <si>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</si>
  <si>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</si>
  <si>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</si>
  <si>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</si>
  <si>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</si>
  <si>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</si>
  <si>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</si>
  <si>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</si>
  <si>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</si>
  <si>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</si>
  <si>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</si>
  <si>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</si>
  <si>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</si>
  <si>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</si>
  <si>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</si>
  <si>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</si>
  <si>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</si>
  <si>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</si>
  <si>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</si>
  <si>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</si>
  <si>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</si>
  <si>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</si>
  <si>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</si>
  <si>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</si>
  <si>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</si>
  <si>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</si>
  <si>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</si>
  <si>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</si>
  <si>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</si>
  <si>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</si>
  <si>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</si>
  <si>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</si>
  <si>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</si>
  <si>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</si>
  <si>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</si>
  <si>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</si>
  <si>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</si>
  <si>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</si>
  <si>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</si>
  <si>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</si>
  <si>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</si>
  <si>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</si>
  <si>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</si>
  <si>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</si>
  <si>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</si>
  <si>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</si>
  <si>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</si>
  <si>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</si>
  <si>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</si>
  <si>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</si>
  <si>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</si>
  <si>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</si>
  <si>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</si>
  <si>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</si>
  <si>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</si>
  <si>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</si>
  <si>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</si>
  <si>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</si>
  <si>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</si>
  <si>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</si>
  <si>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</si>
  <si>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</si>
  <si>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</si>
  <si>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</si>
  <si>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</si>
  <si>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</si>
  <si>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</si>
  <si>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</si>
  <si>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</si>
  <si>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</si>
  <si>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</si>
  <si>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</si>
  <si>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</si>
  <si>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</si>
  <si>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</si>
  <si>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</si>
  <si>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</si>
  <si>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</si>
  <si>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</si>
  <si>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</si>
  <si>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</si>
  <si>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</si>
  <si>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</si>
  <si>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</si>
  <si>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</si>
  <si>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</si>
  <si>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</si>
  <si>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</si>
  <si>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</si>
  <si>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</si>
  <si>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</si>
  <si>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</si>
  <si>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</si>
  <si>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</si>
  <si>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</si>
  <si>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</si>
  <si>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</si>
  <si>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</si>
  <si>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</si>
  <si>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</si>
  <si>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</si>
  <si>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</si>
  <si>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</si>
  <si>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</si>
  <si>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</si>
  <si>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</si>
  <si>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</si>
  <si>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</si>
  <si>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</si>
  <si>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</si>
  <si>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</si>
  <si>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</si>
  <si>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</si>
  <si>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</si>
  <si>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</si>
  <si>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</si>
  <si>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</si>
  <si>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</si>
  <si>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</si>
  <si>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</si>
  <si>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</si>
  <si>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</si>
  <si>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</si>
  <si>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</si>
  <si>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</si>
  <si>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</si>
  <si>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</si>
  <si>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</si>
  <si>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</si>
  <si>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</si>
  <si>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</si>
  <si>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</si>
  <si>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</si>
  <si>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</si>
  <si>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</si>
  <si>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</si>
  <si>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</si>
  <si>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</si>
  <si>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</si>
  <si>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</si>
  <si>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</si>
  <si>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</si>
  <si>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</si>
  <si>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</si>
  <si>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</si>
  <si>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</si>
  <si>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</si>
  <si>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</si>
  <si>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</si>
  <si>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</si>
  <si>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</si>
  <si>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</si>
  <si>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</si>
  <si>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</si>
  <si>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</si>
  <si>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</si>
  <si>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</si>
  <si>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</si>
  <si>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</si>
  <si>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</si>
  <si>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</si>
  <si>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</si>
  <si>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</si>
  <si>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</si>
  <si>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</si>
  <si>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</si>
  <si>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</si>
  <si>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</si>
  <si>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</si>
  <si>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</si>
  <si>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</si>
  <si>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</si>
  <si>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</si>
  <si>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</si>
  <si>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</si>
  <si>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</si>
  <si>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</si>
  <si>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</si>
  <si>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</si>
  <si>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</si>
  <si>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</si>
  <si>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</si>
  <si>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</si>
  <si>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</si>
  <si>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</si>
  <si>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</si>
  <si>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</si>
  <si>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</si>
  <si>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</si>
  <si>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</si>
  <si>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</si>
  <si>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</si>
  <si>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</si>
  <si>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</si>
  <si>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</si>
  <si>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</si>
  <si>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</si>
  <si>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</si>
  <si>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</si>
  <si>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</si>
  <si>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</si>
  <si>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</si>
  <si>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</si>
  <si>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</si>
  <si>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</si>
  <si>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</si>
  <si>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</si>
  <si>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</si>
  <si>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</si>
  <si>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</si>
  <si>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</si>
  <si>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</si>
  <si>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</si>
  <si>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</si>
  <si>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</si>
  <si>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</si>
  <si>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</si>
  <si>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</si>
  <si>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</si>
  <si>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</si>
  <si>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</si>
  <si>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</si>
  <si>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</si>
  <si>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</si>
  <si>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</si>
  <si>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</si>
  <si>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</si>
  <si>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</si>
  <si>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</si>
  <si>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</si>
  <si>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</si>
  <si>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</si>
  <si>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</si>
  <si>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</si>
  <si>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</si>
  <si>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</si>
  <si>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</si>
  <si>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</si>
  <si>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</si>
  <si>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</si>
  <si>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</si>
  <si>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</si>
  <si>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</si>
  <si>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</si>
  <si>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</si>
  <si>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</si>
  <si>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</si>
  <si>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</si>
  <si>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</si>
  <si>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4</t>
  </si>
  <si>
    <t>6</t>
  </si>
  <si>
    <t>8</t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</si>
  <si>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</si>
  <si>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</si>
  <si>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</si>
  <si>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</si>
  <si>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</si>
  <si>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</si>
  <si>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</si>
  <si>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</si>
  <si>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</si>
  <si>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</si>
  <si>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</si>
  <si>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</si>
  <si>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</si>
  <si>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</si>
  <si>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</si>
  <si>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</si>
  <si>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</si>
  <si>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</si>
  <si>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</si>
  <si>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</si>
  <si>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DHGK-2132</t>
  </si>
  <si>
    <t>102675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</si>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</sst>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0_-;\-* #,##0.00_-;_-* &quot;-&quot;_-;_-@_-"/>
    <numFmt numFmtId="177" formatCode="yyyy/mm/dd;@"/>
  </numFmts>
  <fonts count="12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177" fontId="11" fillId="9" borderId="2" xfId="0" applyNumberFormat="1" applyFont="1" applyFill="1" applyBorder="1" applyAlignment="1">
      <alignment horizontal="center" vertical="center"/>
    </xf>
    <xf numFmtId="0" fontId="10" fillId="0" borderId="2" xfId="0" applyFont="1" applyBorder="1">
      <alignment vertical="center"/>
    </xf>
    <xf numFmtId="177" fontId="10" fillId="0" borderId="2" xfId="0" applyNumberFormat="1" applyFont="1" applyBorder="1" applyAlignment="1">
      <alignment horizontal="center" vertical="center"/>
    </xf>
    <xf numFmtId="177" fontId="10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0" fontId="11" fillId="10" borderId="2" xfId="0" applyFont="1" applyFill="1" applyBorder="1" applyAlignment="1">
      <alignment horizontal="center" vertical="center"/>
    </xf>
    <xf numFmtId="49" fontId="10" fillId="0" borderId="0" xfId="0" applyNumberFormat="1" applyFont="1">
      <alignment vertical="center"/>
    </xf>
    <xf numFmtId="49" fontId="11" fillId="9" borderId="2" xfId="0" applyNumberFormat="1" applyFont="1" applyFill="1" applyBorder="1">
      <alignment vertical="center"/>
    </xf>
    <xf numFmtId="49" fontId="10" fillId="0" borderId="2" xfId="0" applyNumberFormat="1" applyFont="1" applyBorder="1">
      <alignment vertical="center"/>
    </xf>
    <xf numFmtId="49" fontId="10" fillId="0" borderId="0" xfId="0" applyNumberFormat="1" applyFont="1" applyAlignment="1">
      <alignment horizontal="center"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쉼표 [0]" xfId="1" builtinId="6"/>
    <cellStyle name="표준" xfId="0" builtinId="0"/>
  </cellStyles>
  <dxfs count="1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6.svg"/><Relationship Id="rId5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4</xdr:col>
      <xdr:colOff>104775</xdr:colOff>
      <xdr:row>0</xdr:row>
      <xdr:rowOff>47626</xdr:rowOff>
    </xdr:from>
    <xdr:to>
      <xdr:col>6</xdr:col>
      <xdr:colOff>120650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9051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63500</xdr:colOff>
      <xdr:row>0</xdr:row>
      <xdr:rowOff>0</xdr:rowOff>
    </xdr:from>
    <xdr:to>
      <xdr:col>16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16</xdr:col>
      <xdr:colOff>317501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488950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Transpose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C26E6070-A3A3-4EE6-9DA9-7288E1EA042F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showRowColHeaders="0" workbookViewId="0">
      <pane ySplit="1" topLeftCell="A2" activePane="bottomLeft" state="frozen"/>
      <selection pane="bottomLeft" activeCell="I13" sqref="I13"/>
    </sheetView>
  </sheetViews>
  <sheetFormatPr defaultColWidth="8.796875"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11"/>
  <sheetViews>
    <sheetView showGridLines="0" showRowColHeaders="0" workbookViewId="0">
      <pane ySplit="4" topLeftCell="A5" activePane="bottomLeft" state="frozen"/>
      <selection pane="bottomLeft" activeCell="M16" sqref="M16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/>
    </row>
    <row r="4" spans="1:13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5">
      <c r="A5" s="20">
        <v>632</v>
      </c>
      <c r="B5" s="20" t="s">
        <v>3278</v>
      </c>
      <c r="C5" s="20" t="s">
        <v>3240</v>
      </c>
      <c r="D5" s="20" t="s">
        <v>3279</v>
      </c>
      <c r="E5" s="20" t="s">
        <v>2369</v>
      </c>
      <c r="F5" s="20">
        <v>2022</v>
      </c>
      <c r="G5" s="20" t="s">
        <v>2907</v>
      </c>
      <c r="H5" s="20" t="s">
        <v>3241</v>
      </c>
      <c r="I5" s="20" t="s">
        <v>3242</v>
      </c>
      <c r="J5" s="20" t="s">
        <v>2906</v>
      </c>
      <c r="L5" s="20" t="s">
        <v>3263</v>
      </c>
    </row>
    <row r="6" spans="1:13" x14ac:dyDescent="0.25">
      <c r="B6" s="45"/>
      <c r="D6" s="45"/>
    </row>
    <row r="7" spans="1:13" x14ac:dyDescent="0.25">
      <c r="B7" s="45"/>
      <c r="D7" s="45"/>
    </row>
    <row r="8" spans="1:13" x14ac:dyDescent="0.25">
      <c r="B8" s="45"/>
      <c r="D8" s="45"/>
    </row>
    <row r="9" spans="1:13" x14ac:dyDescent="0.25">
      <c r="B9" s="45"/>
    </row>
    <row r="10" spans="1:13" x14ac:dyDescent="0.25">
      <c r="B10" s="45"/>
    </row>
    <row r="11" spans="1:13" x14ac:dyDescent="0.25">
      <c r="B11" s="45"/>
    </row>
  </sheetData>
  <phoneticPr fontId="2" type="noConversion"/>
  <conditionalFormatting sqref="A5:L9974">
    <cfRule type="notContainsBlanks" dxfId="12" priority="4">
      <formula>LEN(TRIM(A5))&gt;0</formula>
    </cfRule>
  </conditionalFormatting>
  <conditionalFormatting sqref="M1:M2 M4:M1048576">
    <cfRule type="cellIs" dxfId="11" priority="1" operator="equal">
      <formula>"Updated"</formula>
    </cfRule>
    <cfRule type="cellIs" dxfId="10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184"/>
  <sheetViews>
    <sheetView showGridLines="0" tabSelected="1" topLeftCell="B1" workbookViewId="0">
      <pane ySplit="4" topLeftCell="A5" activePane="bottomLeft" state="frozen"/>
      <selection pane="bottomLeft" activeCell="C5" sqref="C5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x14ac:dyDescent="0.25">
      <c r="G5" s="64"/>
    </row>
    <row r="6" spans="1:13" x14ac:dyDescent="0.25">
      <c r="G6" s="64"/>
    </row>
    <row r="7" spans="1:13" x14ac:dyDescent="0.25">
      <c r="G7" s="64"/>
    </row>
    <row r="8" spans="1:13" x14ac:dyDescent="0.25">
      <c r="G8" s="64"/>
    </row>
    <row r="9" spans="1:13" x14ac:dyDescent="0.25">
      <c r="G9" s="64"/>
    </row>
    <row r="10" spans="1:13" x14ac:dyDescent="0.25">
      <c r="G10" s="64"/>
    </row>
    <row r="11" spans="1:13" x14ac:dyDescent="0.25">
      <c r="G11" s="64"/>
    </row>
    <row r="12" spans="1:13" x14ac:dyDescent="0.25">
      <c r="G12" s="64"/>
    </row>
    <row r="13" spans="1:13" x14ac:dyDescent="0.25">
      <c r="G13" s="64"/>
    </row>
    <row r="14" spans="1:13" x14ac:dyDescent="0.25">
      <c r="G14" s="64"/>
    </row>
    <row r="15" spans="1:13" x14ac:dyDescent="0.25">
      <c r="G15" s="64"/>
    </row>
    <row r="16" spans="1:13" x14ac:dyDescent="0.25">
      <c r="G16" s="64"/>
    </row>
    <row r="17" spans="7:7" x14ac:dyDescent="0.25">
      <c r="G17" s="64"/>
    </row>
    <row r="18" spans="7:7" x14ac:dyDescent="0.25">
      <c r="G18" s="64"/>
    </row>
    <row r="19" spans="7:7" x14ac:dyDescent="0.25">
      <c r="G19" s="64"/>
    </row>
    <row r="20" spans="7:7" x14ac:dyDescent="0.25">
      <c r="G20" s="64"/>
    </row>
    <row r="21" spans="7:7" x14ac:dyDescent="0.25">
      <c r="G21" s="64"/>
    </row>
    <row r="22" spans="7:7" x14ac:dyDescent="0.25">
      <c r="G22" s="64"/>
    </row>
    <row r="23" spans="7:7" x14ac:dyDescent="0.25">
      <c r="G23" s="64"/>
    </row>
    <row r="24" spans="7:7" x14ac:dyDescent="0.25">
      <c r="G24" s="64"/>
    </row>
    <row r="25" spans="7:7" x14ac:dyDescent="0.25">
      <c r="G25" s="64"/>
    </row>
    <row r="26" spans="7:7" x14ac:dyDescent="0.25">
      <c r="G26" s="64"/>
    </row>
    <row r="27" spans="7:7" x14ac:dyDescent="0.25">
      <c r="G27" s="64"/>
    </row>
    <row r="28" spans="7:7" x14ac:dyDescent="0.25">
      <c r="G28" s="64"/>
    </row>
    <row r="29" spans="7:7" x14ac:dyDescent="0.25">
      <c r="G29" s="64"/>
    </row>
    <row r="30" spans="7:7" x14ac:dyDescent="0.25">
      <c r="G30" s="64"/>
    </row>
    <row r="31" spans="7:7" x14ac:dyDescent="0.25">
      <c r="G31" s="64"/>
    </row>
    <row r="32" spans="7:7" x14ac:dyDescent="0.25">
      <c r="G32" s="64"/>
    </row>
    <row r="33" spans="7:7" x14ac:dyDescent="0.25">
      <c r="G33" s="64"/>
    </row>
    <row r="34" spans="7:7" x14ac:dyDescent="0.25">
      <c r="G34" s="64"/>
    </row>
    <row r="35" spans="7:7" x14ac:dyDescent="0.25">
      <c r="G35" s="64"/>
    </row>
    <row r="36" spans="7:7" x14ac:dyDescent="0.25">
      <c r="G36" s="64"/>
    </row>
    <row r="37" spans="7:7" x14ac:dyDescent="0.25">
      <c r="G37" s="64"/>
    </row>
    <row r="38" spans="7:7" x14ac:dyDescent="0.25">
      <c r="G38" s="64"/>
    </row>
    <row r="39" spans="7:7" x14ac:dyDescent="0.25">
      <c r="G39" s="64"/>
    </row>
    <row r="40" spans="7:7" x14ac:dyDescent="0.25">
      <c r="G40" s="64"/>
    </row>
    <row r="41" spans="7:7" x14ac:dyDescent="0.25">
      <c r="G41" s="64"/>
    </row>
    <row r="42" spans="7:7" x14ac:dyDescent="0.25">
      <c r="G42" s="64"/>
    </row>
    <row r="43" spans="7:7" x14ac:dyDescent="0.25">
      <c r="G43" s="64"/>
    </row>
    <row r="44" spans="7:7" x14ac:dyDescent="0.25">
      <c r="G44" s="64"/>
    </row>
    <row r="45" spans="7:7" x14ac:dyDescent="0.25">
      <c r="G45" s="64"/>
    </row>
    <row r="46" spans="7:7" x14ac:dyDescent="0.25">
      <c r="G46" s="64"/>
    </row>
    <row r="47" spans="7:7" x14ac:dyDescent="0.25">
      <c r="G47" s="64"/>
    </row>
    <row r="48" spans="7:7" x14ac:dyDescent="0.25">
      <c r="G48" s="64"/>
    </row>
    <row r="49" spans="7:7" x14ac:dyDescent="0.25">
      <c r="G49" s="64"/>
    </row>
    <row r="50" spans="7:7" x14ac:dyDescent="0.25">
      <c r="G50" s="64"/>
    </row>
    <row r="51" spans="7:7" x14ac:dyDescent="0.25">
      <c r="G51" s="64"/>
    </row>
    <row r="52" spans="7:7" x14ac:dyDescent="0.25">
      <c r="G52" s="64"/>
    </row>
    <row r="53" spans="7:7" x14ac:dyDescent="0.25">
      <c r="G53" s="64"/>
    </row>
    <row r="54" spans="7:7" x14ac:dyDescent="0.25">
      <c r="G54" s="64"/>
    </row>
    <row r="55" spans="7:7" x14ac:dyDescent="0.25">
      <c r="G55" s="64"/>
    </row>
    <row r="56" spans="7:7" x14ac:dyDescent="0.25">
      <c r="G56" s="64"/>
    </row>
    <row r="57" spans="7:7" x14ac:dyDescent="0.25">
      <c r="G57" s="64"/>
    </row>
    <row r="58" spans="7:7" x14ac:dyDescent="0.25">
      <c r="G58" s="64"/>
    </row>
    <row r="59" spans="7:7" x14ac:dyDescent="0.25">
      <c r="G59" s="64"/>
    </row>
    <row r="60" spans="7:7" x14ac:dyDescent="0.25">
      <c r="G60" s="64"/>
    </row>
    <row r="61" spans="7:7" x14ac:dyDescent="0.25">
      <c r="G61" s="64"/>
    </row>
    <row r="62" spans="7:7" x14ac:dyDescent="0.25">
      <c r="G62" s="64"/>
    </row>
    <row r="63" spans="7:7" x14ac:dyDescent="0.25">
      <c r="G63" s="64"/>
    </row>
    <row r="64" spans="7:7" x14ac:dyDescent="0.25">
      <c r="G64" s="64"/>
    </row>
    <row r="65" spans="7:7" x14ac:dyDescent="0.25">
      <c r="G65" s="64"/>
    </row>
    <row r="66" spans="7:7" x14ac:dyDescent="0.25">
      <c r="G66" s="64"/>
    </row>
    <row r="67" spans="7:7" x14ac:dyDescent="0.25">
      <c r="G67" s="64"/>
    </row>
    <row r="68" spans="7:7" x14ac:dyDescent="0.25">
      <c r="G68" s="64"/>
    </row>
    <row r="69" spans="7:7" x14ac:dyDescent="0.25">
      <c r="G69" s="64"/>
    </row>
    <row r="70" spans="7:7" x14ac:dyDescent="0.25">
      <c r="G70" s="64"/>
    </row>
    <row r="71" spans="7:7" x14ac:dyDescent="0.25">
      <c r="G71" s="64"/>
    </row>
    <row r="72" spans="7:7" x14ac:dyDescent="0.25">
      <c r="G72" s="64"/>
    </row>
    <row r="73" spans="7:7" x14ac:dyDescent="0.25">
      <c r="G73" s="64"/>
    </row>
    <row r="74" spans="7:7" x14ac:dyDescent="0.25">
      <c r="G74" s="64"/>
    </row>
    <row r="75" spans="7:7" x14ac:dyDescent="0.25">
      <c r="G75" s="64"/>
    </row>
    <row r="76" spans="7:7" x14ac:dyDescent="0.25">
      <c r="G76" s="64"/>
    </row>
    <row r="77" spans="7:7" x14ac:dyDescent="0.25">
      <c r="G77" s="64"/>
    </row>
    <row r="78" spans="7:7" x14ac:dyDescent="0.25">
      <c r="G78" s="64"/>
    </row>
    <row r="79" spans="7:7" x14ac:dyDescent="0.25">
      <c r="G79" s="64"/>
    </row>
    <row r="80" spans="7:7" x14ac:dyDescent="0.25">
      <c r="G80" s="64"/>
    </row>
    <row r="81" spans="7:7" x14ac:dyDescent="0.25">
      <c r="G81" s="64"/>
    </row>
    <row r="82" spans="7:7" x14ac:dyDescent="0.25">
      <c r="G82" s="64"/>
    </row>
    <row r="83" spans="7:7" x14ac:dyDescent="0.25">
      <c r="G83" s="64"/>
    </row>
    <row r="84" spans="7:7" x14ac:dyDescent="0.25">
      <c r="G84" s="64"/>
    </row>
    <row r="85" spans="7:7" x14ac:dyDescent="0.25">
      <c r="G85" s="64"/>
    </row>
    <row r="86" spans="7:7" x14ac:dyDescent="0.25">
      <c r="G86" s="64"/>
    </row>
    <row r="87" spans="7:7" x14ac:dyDescent="0.25">
      <c r="G87" s="64"/>
    </row>
    <row r="88" spans="7:7" x14ac:dyDescent="0.25">
      <c r="G88" s="64"/>
    </row>
    <row r="89" spans="7:7" x14ac:dyDescent="0.25">
      <c r="G89" s="64"/>
    </row>
    <row r="90" spans="7:7" x14ac:dyDescent="0.25">
      <c r="G90" s="64"/>
    </row>
    <row r="91" spans="7:7" x14ac:dyDescent="0.25">
      <c r="G91" s="64"/>
    </row>
    <row r="92" spans="7:7" x14ac:dyDescent="0.25">
      <c r="G92" s="64"/>
    </row>
    <row r="93" spans="7:7" x14ac:dyDescent="0.25">
      <c r="G93" s="64"/>
    </row>
    <row r="94" spans="7:7" x14ac:dyDescent="0.25">
      <c r="G94" s="64"/>
    </row>
    <row r="95" spans="7:7" x14ac:dyDescent="0.25">
      <c r="G95" s="64"/>
    </row>
    <row r="96" spans="7:7" x14ac:dyDescent="0.25">
      <c r="G96" s="64"/>
    </row>
    <row r="97" spans="7:7" x14ac:dyDescent="0.25">
      <c r="G97" s="64"/>
    </row>
    <row r="98" spans="7:7" x14ac:dyDescent="0.25">
      <c r="G98" s="64"/>
    </row>
    <row r="99" spans="7:7" x14ac:dyDescent="0.25">
      <c r="G99" s="64"/>
    </row>
    <row r="100" spans="7:7" x14ac:dyDescent="0.25">
      <c r="G100" s="64"/>
    </row>
    <row r="101" spans="7:7" x14ac:dyDescent="0.25">
      <c r="G101" s="64"/>
    </row>
    <row r="102" spans="7:7" x14ac:dyDescent="0.25">
      <c r="G102" s="64"/>
    </row>
    <row r="103" spans="7:7" x14ac:dyDescent="0.25">
      <c r="G103" s="64"/>
    </row>
    <row r="104" spans="7:7" x14ac:dyDescent="0.25">
      <c r="G104" s="64"/>
    </row>
    <row r="105" spans="7:7" x14ac:dyDescent="0.25">
      <c r="G105" s="64"/>
    </row>
    <row r="106" spans="7:7" x14ac:dyDescent="0.25">
      <c r="G106" s="64"/>
    </row>
    <row r="107" spans="7:7" x14ac:dyDescent="0.25">
      <c r="G107" s="64"/>
    </row>
    <row r="108" spans="7:7" x14ac:dyDescent="0.25">
      <c r="G108" s="64"/>
    </row>
    <row r="109" spans="7:7" x14ac:dyDescent="0.25">
      <c r="G109" s="64"/>
    </row>
    <row r="110" spans="7:7" x14ac:dyDescent="0.25">
      <c r="G110" s="64"/>
    </row>
    <row r="111" spans="7:7" x14ac:dyDescent="0.25">
      <c r="G111" s="64"/>
    </row>
    <row r="112" spans="7:7" x14ac:dyDescent="0.25">
      <c r="G112" s="64"/>
    </row>
    <row r="113" spans="7:7" x14ac:dyDescent="0.25">
      <c r="G113" s="64"/>
    </row>
    <row r="114" spans="7:7" x14ac:dyDescent="0.25">
      <c r="G114" s="64"/>
    </row>
    <row r="115" spans="7:7" x14ac:dyDescent="0.25">
      <c r="G115" s="64"/>
    </row>
    <row r="116" spans="7:7" x14ac:dyDescent="0.25">
      <c r="G116" s="64"/>
    </row>
    <row r="117" spans="7:7" x14ac:dyDescent="0.25">
      <c r="G117" s="64"/>
    </row>
    <row r="118" spans="7:7" x14ac:dyDescent="0.25">
      <c r="G118" s="64"/>
    </row>
    <row r="119" spans="7:7" x14ac:dyDescent="0.25">
      <c r="G119" s="64"/>
    </row>
    <row r="120" spans="7:7" x14ac:dyDescent="0.25">
      <c r="G120" s="64"/>
    </row>
    <row r="121" spans="7:7" x14ac:dyDescent="0.25">
      <c r="G121" s="64"/>
    </row>
    <row r="122" spans="7:7" x14ac:dyDescent="0.25">
      <c r="G122" s="64"/>
    </row>
    <row r="123" spans="7:7" x14ac:dyDescent="0.25">
      <c r="G123" s="64"/>
    </row>
    <row r="124" spans="7:7" x14ac:dyDescent="0.25">
      <c r="G124" s="64"/>
    </row>
    <row r="125" spans="7:7" x14ac:dyDescent="0.25">
      <c r="G125" s="64"/>
    </row>
    <row r="126" spans="7:7" x14ac:dyDescent="0.25">
      <c r="G126" s="64"/>
    </row>
    <row r="127" spans="7:7" x14ac:dyDescent="0.25">
      <c r="G127" s="64"/>
    </row>
    <row r="128" spans="7:7" x14ac:dyDescent="0.25">
      <c r="G128" s="64"/>
    </row>
    <row r="129" spans="7:7" x14ac:dyDescent="0.25">
      <c r="G129" s="64"/>
    </row>
    <row r="130" spans="7:7" x14ac:dyDescent="0.25">
      <c r="G130" s="64"/>
    </row>
    <row r="131" spans="7:7" x14ac:dyDescent="0.25">
      <c r="G131" s="64"/>
    </row>
    <row r="132" spans="7:7" x14ac:dyDescent="0.25">
      <c r="G132" s="64"/>
    </row>
    <row r="133" spans="7:7" x14ac:dyDescent="0.25">
      <c r="G133" s="64"/>
    </row>
    <row r="134" spans="7:7" x14ac:dyDescent="0.25">
      <c r="G134" s="64"/>
    </row>
    <row r="135" spans="7:7" x14ac:dyDescent="0.25">
      <c r="G135" s="64"/>
    </row>
    <row r="136" spans="7:7" x14ac:dyDescent="0.25">
      <c r="G136" s="64"/>
    </row>
    <row r="137" spans="7:7" x14ac:dyDescent="0.25">
      <c r="G137" s="64"/>
    </row>
    <row r="138" spans="7:7" x14ac:dyDescent="0.25">
      <c r="G138" s="64"/>
    </row>
    <row r="139" spans="7:7" x14ac:dyDescent="0.25">
      <c r="G139" s="64"/>
    </row>
    <row r="140" spans="7:7" x14ac:dyDescent="0.25">
      <c r="G140" s="64"/>
    </row>
    <row r="141" spans="7:7" x14ac:dyDescent="0.25">
      <c r="G141" s="64"/>
    </row>
    <row r="142" spans="7:7" x14ac:dyDescent="0.25">
      <c r="G142" s="64"/>
    </row>
    <row r="143" spans="7:7" x14ac:dyDescent="0.25">
      <c r="G143" s="64"/>
    </row>
    <row r="144" spans="7:7" x14ac:dyDescent="0.25">
      <c r="G144" s="64"/>
    </row>
    <row r="145" spans="7:7" x14ac:dyDescent="0.25">
      <c r="G145" s="64"/>
    </row>
    <row r="146" spans="7:7" x14ac:dyDescent="0.25">
      <c r="G146" s="64"/>
    </row>
    <row r="147" spans="7:7" x14ac:dyDescent="0.25">
      <c r="G147" s="64"/>
    </row>
    <row r="148" spans="7:7" x14ac:dyDescent="0.25">
      <c r="G148" s="64"/>
    </row>
    <row r="149" spans="7:7" x14ac:dyDescent="0.25">
      <c r="G149" s="64"/>
    </row>
    <row r="150" spans="7:7" x14ac:dyDescent="0.25">
      <c r="G150" s="64"/>
    </row>
    <row r="151" spans="7:7" x14ac:dyDescent="0.25">
      <c r="G151" s="64"/>
    </row>
    <row r="152" spans="7:7" x14ac:dyDescent="0.25">
      <c r="G152" s="64"/>
    </row>
    <row r="153" spans="7:7" x14ac:dyDescent="0.25">
      <c r="G153" s="64"/>
    </row>
    <row r="154" spans="7:7" x14ac:dyDescent="0.25">
      <c r="G154" s="64"/>
    </row>
    <row r="155" spans="7:7" x14ac:dyDescent="0.25">
      <c r="G155" s="64"/>
    </row>
    <row r="156" spans="7:7" x14ac:dyDescent="0.25">
      <c r="G156" s="64"/>
    </row>
    <row r="157" spans="7:7" x14ac:dyDescent="0.25">
      <c r="G157" s="64"/>
    </row>
    <row r="158" spans="7:7" x14ac:dyDescent="0.25">
      <c r="G158" s="64"/>
    </row>
    <row r="159" spans="7:7" x14ac:dyDescent="0.25">
      <c r="G159" s="64"/>
    </row>
    <row r="160" spans="7:7" x14ac:dyDescent="0.25">
      <c r="G160" s="64"/>
    </row>
    <row r="161" spans="7:7" x14ac:dyDescent="0.25">
      <c r="G161" s="64"/>
    </row>
    <row r="162" spans="7:7" x14ac:dyDescent="0.25">
      <c r="G162" s="64"/>
    </row>
    <row r="163" spans="7:7" x14ac:dyDescent="0.25">
      <c r="G163" s="64"/>
    </row>
    <row r="164" spans="7:7" x14ac:dyDescent="0.25">
      <c r="G164" s="64"/>
    </row>
    <row r="165" spans="7:7" x14ac:dyDescent="0.25">
      <c r="G165" s="64"/>
    </row>
    <row r="166" spans="7:7" x14ac:dyDescent="0.25">
      <c r="G166" s="64"/>
    </row>
    <row r="167" spans="7:7" x14ac:dyDescent="0.25">
      <c r="G167" s="64"/>
    </row>
    <row r="168" spans="7:7" x14ac:dyDescent="0.25">
      <c r="G168" s="64"/>
    </row>
    <row r="169" spans="7:7" x14ac:dyDescent="0.25">
      <c r="G169" s="64"/>
    </row>
    <row r="170" spans="7:7" x14ac:dyDescent="0.25">
      <c r="G170" s="64"/>
    </row>
    <row r="171" spans="7:7" x14ac:dyDescent="0.25">
      <c r="G171" s="64"/>
    </row>
    <row r="172" spans="7:7" x14ac:dyDescent="0.25">
      <c r="G172" s="64"/>
    </row>
    <row r="173" spans="7:7" x14ac:dyDescent="0.25">
      <c r="G173" s="64"/>
    </row>
    <row r="174" spans="7:7" x14ac:dyDescent="0.25">
      <c r="G174" s="64"/>
    </row>
    <row r="175" spans="7:7" x14ac:dyDescent="0.25">
      <c r="G175" s="64"/>
    </row>
    <row r="176" spans="7:7" x14ac:dyDescent="0.25">
      <c r="G176" s="64"/>
    </row>
    <row r="177" spans="7:7" x14ac:dyDescent="0.25">
      <c r="G177" s="64"/>
    </row>
    <row r="178" spans="7:7" x14ac:dyDescent="0.25">
      <c r="G178" s="64"/>
    </row>
    <row r="179" spans="7:7" x14ac:dyDescent="0.25">
      <c r="G179" s="64"/>
    </row>
    <row r="180" spans="7:7" x14ac:dyDescent="0.25">
      <c r="G180" s="64"/>
    </row>
    <row r="181" spans="7:7" x14ac:dyDescent="0.25">
      <c r="G181" s="64"/>
    </row>
    <row r="182" spans="7:7" x14ac:dyDescent="0.25">
      <c r="G182" s="64"/>
    </row>
    <row r="183" spans="7:7" x14ac:dyDescent="0.25">
      <c r="G183" s="64"/>
    </row>
    <row r="184" spans="7:7" x14ac:dyDescent="0.25">
      <c r="G184" s="64"/>
    </row>
  </sheetData>
  <autoFilter ref="A4:M59" xr:uid="{456007C3-8189-421D-94DC-81D7832F4943}"/>
  <phoneticPr fontId="2" type="noConversion"/>
  <conditionalFormatting sqref="M4">
    <cfRule type="cellIs" dxfId="9" priority="6" operator="equal">
      <formula>"Updated"</formula>
    </cfRule>
    <cfRule type="cellIs" dxfId="8" priority="7" operator="equal">
      <formula>"Revised"</formula>
    </cfRule>
  </conditionalFormatting>
  <conditionalFormatting sqref="M1:M1048576">
    <cfRule type="cellIs" dxfId="7" priority="1" operator="equal">
      <formula>"Deleted"</formula>
    </cfRule>
    <cfRule type="cellIs" dxfId="6" priority="2" operator="equal">
      <formula>"Activate"</formula>
    </cfRule>
    <cfRule type="cellIs" dxfId="5" priority="3" operator="equal">
      <formula>"Delete"</formula>
    </cfRule>
    <cfRule type="cellIs" dxfId="4" priority="4" operator="equal">
      <formula>"Revised"</formula>
    </cfRule>
    <cfRule type="cellIs" dxfId="3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765CD731-4EFE-4B70-A6A3-0265ACDD9880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282A2FE9-5AD9-4A4D-A397-204AC4569429}">
          <x14:formula1>
            <xm:f>validation!$N$2:$N$151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67FC40DD-A859-49EF-A36F-D1A236CBF403}">
          <x14:formula1>
            <xm:f>validation!$O$2:$O$504</xm:f>
          </x14:formula1>
          <xm:sqref>H5:H10000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/>
  <dimension ref="B1:R76"/>
  <sheetViews>
    <sheetView showGridLines="0" workbookViewId="0">
      <selection activeCell="M24" sqref="M24"/>
    </sheetView>
  </sheetViews>
  <sheetFormatPr defaultRowHeight="14" x14ac:dyDescent="0.25"/>
  <cols>
    <col min="1" max="1" width="2.69921875" style="46" customWidth="1"/>
    <col min="2" max="2" width="20.19921875" style="61" customWidth="1"/>
    <col min="3" max="3" width="20.19921875" style="58" customWidth="1"/>
    <col min="4" max="4" width="11.19921875" style="52" bestFit="1" customWidth="1"/>
    <col min="5" max="5" width="12.5" style="46" bestFit="1" customWidth="1"/>
    <col min="6" max="6" width="11.59765625" style="46" bestFit="1" customWidth="1"/>
    <col min="7" max="7" width="10.69921875" style="52" bestFit="1" customWidth="1"/>
    <col min="8" max="8" width="26.8984375" style="46" bestFit="1" customWidth="1"/>
    <col min="9" max="9" width="9.296875" style="51" customWidth="1"/>
    <col min="10" max="18" width="9.296875" style="46" customWidth="1"/>
    <col min="19" max="19" width="8.796875" style="46"/>
    <col min="20" max="20" width="11.796875" style="46" customWidth="1"/>
    <col min="21" max="21" width="9.3984375" style="46" bestFit="1" customWidth="1"/>
    <col min="22" max="16384" width="8.796875" style="46"/>
  </cols>
  <sheetData>
    <row r="1" spans="2:18" ht="30.5" customHeight="1" x14ac:dyDescent="0.25">
      <c r="B1" s="58"/>
      <c r="I1" s="46"/>
    </row>
    <row r="2" spans="2:18" x14ac:dyDescent="0.25">
      <c r="B2" s="58"/>
      <c r="E2" s="47"/>
      <c r="I2" s="46"/>
    </row>
    <row r="3" spans="2:18" x14ac:dyDescent="0.25">
      <c r="B3" s="58"/>
      <c r="E3" s="47"/>
      <c r="I3" s="46"/>
    </row>
    <row r="4" spans="2:18" x14ac:dyDescent="0.25">
      <c r="B4" s="58"/>
      <c r="E4" s="47"/>
      <c r="I4" s="46"/>
    </row>
    <row r="5" spans="2:18" x14ac:dyDescent="0.25">
      <c r="B5" s="58"/>
      <c r="D5" s="46"/>
      <c r="G5" s="46"/>
      <c r="I5" s="62">
        <f>SUM(I7:R936)</f>
        <v>0</v>
      </c>
      <c r="J5" s="63">
        <f>SUM(PO관리!J5:J1048576)</f>
        <v>0</v>
      </c>
      <c r="K5" s="46" t="b">
        <f>I5=J5</f>
        <v>1</v>
      </c>
    </row>
    <row r="6" spans="2:18" x14ac:dyDescent="0.25">
      <c r="B6" s="59" t="s">
        <v>3253</v>
      </c>
      <c r="C6" s="59" t="s">
        <v>4</v>
      </c>
      <c r="D6" s="53" t="s">
        <v>2405</v>
      </c>
      <c r="E6" s="53" t="s">
        <v>2413</v>
      </c>
      <c r="F6" s="48" t="s">
        <v>3247</v>
      </c>
      <c r="G6" s="53" t="s">
        <v>3254</v>
      </c>
      <c r="H6" s="56" t="s">
        <v>3246</v>
      </c>
      <c r="I6" s="57" t="s">
        <v>2560</v>
      </c>
      <c r="J6" s="57" t="s">
        <v>3255</v>
      </c>
      <c r="K6" s="57" t="s">
        <v>3256</v>
      </c>
      <c r="L6" s="57" t="s">
        <v>3257</v>
      </c>
      <c r="M6" s="57" t="s">
        <v>2492</v>
      </c>
      <c r="N6" s="57" t="s">
        <v>2505</v>
      </c>
      <c r="O6" s="57" t="s">
        <v>2519</v>
      </c>
      <c r="P6" s="57" t="s">
        <v>2532</v>
      </c>
      <c r="Q6" s="57" t="s">
        <v>2545</v>
      </c>
      <c r="R6" s="57"/>
    </row>
    <row r="7" spans="2:18" x14ac:dyDescent="0.25">
      <c r="B7" s="60"/>
      <c r="C7" s="60"/>
      <c r="D7" s="54"/>
      <c r="E7" s="54"/>
      <c r="F7" s="50"/>
      <c r="G7" s="55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2:18" x14ac:dyDescent="0.25">
      <c r="B8" s="60"/>
      <c r="C8" s="60"/>
      <c r="D8" s="54"/>
      <c r="E8" s="54"/>
      <c r="F8" s="50"/>
      <c r="G8" s="55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2:18" x14ac:dyDescent="0.25">
      <c r="B9" s="60"/>
      <c r="C9" s="60"/>
      <c r="D9" s="54"/>
      <c r="E9" s="54"/>
      <c r="F9" s="50"/>
      <c r="G9" s="55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2:18" x14ac:dyDescent="0.25">
      <c r="B10" s="60"/>
      <c r="C10" s="60"/>
      <c r="D10" s="54"/>
      <c r="E10" s="54"/>
      <c r="F10" s="50"/>
      <c r="G10" s="55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2:18" x14ac:dyDescent="0.25">
      <c r="B11" s="60"/>
      <c r="C11" s="60"/>
      <c r="D11" s="54"/>
      <c r="E11" s="54"/>
      <c r="F11" s="50"/>
      <c r="G11" s="55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2:18" x14ac:dyDescent="0.25">
      <c r="B12" s="60"/>
      <c r="C12" s="60"/>
      <c r="D12" s="54"/>
      <c r="E12" s="54"/>
      <c r="F12" s="50"/>
      <c r="G12" s="55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2:18" x14ac:dyDescent="0.25">
      <c r="B13" s="60"/>
      <c r="C13" s="60"/>
      <c r="D13" s="54"/>
      <c r="E13" s="54"/>
      <c r="F13" s="50"/>
      <c r="G13" s="55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2:18" x14ac:dyDescent="0.25">
      <c r="B14" s="60"/>
      <c r="C14" s="60"/>
      <c r="D14" s="54"/>
      <c r="E14" s="54"/>
      <c r="F14" s="50"/>
      <c r="G14" s="55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2:18" x14ac:dyDescent="0.25">
      <c r="B15" s="60"/>
      <c r="C15" s="60"/>
      <c r="D15" s="54"/>
      <c r="E15" s="54"/>
      <c r="F15" s="50"/>
      <c r="G15" s="55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2:18" x14ac:dyDescent="0.25">
      <c r="B16" s="60"/>
      <c r="C16" s="60"/>
      <c r="D16" s="54"/>
      <c r="E16" s="54"/>
      <c r="F16" s="50"/>
      <c r="G16" s="55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2:18" x14ac:dyDescent="0.25">
      <c r="B17" s="60"/>
      <c r="C17" s="60"/>
      <c r="D17" s="54"/>
      <c r="E17" s="54"/>
      <c r="F17" s="50"/>
      <c r="G17" s="55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2:18" x14ac:dyDescent="0.25">
      <c r="B18" s="60"/>
      <c r="C18" s="60"/>
      <c r="D18" s="54"/>
      <c r="E18" s="54"/>
      <c r="F18" s="50"/>
      <c r="G18" s="55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2:18" x14ac:dyDescent="0.25">
      <c r="B19" s="60"/>
      <c r="C19" s="60"/>
      <c r="D19" s="54"/>
      <c r="E19" s="54"/>
      <c r="F19" s="50"/>
      <c r="G19" s="55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2:18" x14ac:dyDescent="0.25">
      <c r="B20" s="60"/>
      <c r="C20" s="60"/>
      <c r="D20" s="54"/>
      <c r="E20" s="54"/>
      <c r="F20" s="50"/>
      <c r="G20" s="55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2:18" x14ac:dyDescent="0.25">
      <c r="B21" s="60"/>
      <c r="C21" s="60"/>
      <c r="D21" s="54"/>
      <c r="E21" s="54"/>
      <c r="F21" s="50"/>
      <c r="G21" s="55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2:18" x14ac:dyDescent="0.25">
      <c r="B22" s="60"/>
      <c r="C22" s="60"/>
      <c r="D22" s="54"/>
      <c r="E22" s="54"/>
      <c r="F22" s="50"/>
      <c r="G22" s="55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2:18" x14ac:dyDescent="0.25">
      <c r="B23" s="60"/>
      <c r="C23" s="60"/>
      <c r="D23" s="54"/>
      <c r="E23" s="54"/>
      <c r="F23" s="50"/>
      <c r="G23" s="55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2:18" x14ac:dyDescent="0.25">
      <c r="B24" s="60"/>
      <c r="C24" s="60"/>
      <c r="D24" s="54"/>
      <c r="E24" s="54"/>
      <c r="F24" s="50"/>
      <c r="G24" s="55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2:18" x14ac:dyDescent="0.25">
      <c r="B25" s="60"/>
      <c r="C25" s="60"/>
      <c r="D25" s="54"/>
      <c r="E25" s="54"/>
      <c r="F25" s="50"/>
      <c r="G25" s="55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2:18" x14ac:dyDescent="0.25">
      <c r="B26" s="60"/>
      <c r="C26" s="60"/>
      <c r="D26" s="54"/>
      <c r="E26" s="54"/>
      <c r="F26" s="50"/>
      <c r="G26" s="55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2:18" x14ac:dyDescent="0.25">
      <c r="B27" s="60"/>
      <c r="C27" s="60"/>
      <c r="D27" s="54"/>
      <c r="E27" s="54"/>
      <c r="F27" s="50"/>
      <c r="G27" s="55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2:18" x14ac:dyDescent="0.25">
      <c r="B28" s="60"/>
      <c r="C28" s="60"/>
      <c r="D28" s="54"/>
      <c r="E28" s="54"/>
      <c r="F28" s="50"/>
      <c r="G28" s="55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2:18" x14ac:dyDescent="0.25">
      <c r="B29" s="60"/>
      <c r="C29" s="60"/>
      <c r="D29" s="54"/>
      <c r="E29" s="54"/>
      <c r="F29" s="50"/>
      <c r="G29" s="55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2:18" x14ac:dyDescent="0.25">
      <c r="B30" s="60"/>
      <c r="C30" s="60"/>
      <c r="D30" s="54"/>
      <c r="E30" s="54"/>
      <c r="F30" s="50"/>
      <c r="G30" s="55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2:18" x14ac:dyDescent="0.25">
      <c r="B31" s="60"/>
      <c r="C31" s="60"/>
      <c r="D31" s="54"/>
      <c r="E31" s="54"/>
      <c r="F31" s="50"/>
      <c r="G31" s="55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2:18" x14ac:dyDescent="0.25">
      <c r="B32" s="60"/>
      <c r="C32" s="60"/>
      <c r="D32" s="54"/>
      <c r="E32" s="54"/>
      <c r="F32" s="50"/>
      <c r="G32" s="55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2:18" x14ac:dyDescent="0.25">
      <c r="B33" s="60"/>
      <c r="C33" s="60"/>
      <c r="D33" s="54"/>
      <c r="E33" s="54"/>
      <c r="F33" s="50"/>
      <c r="G33" s="55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2:18" x14ac:dyDescent="0.25">
      <c r="B34" s="60"/>
      <c r="C34" s="60"/>
      <c r="D34" s="54"/>
      <c r="E34" s="54"/>
      <c r="F34" s="50"/>
      <c r="G34" s="55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2:18" x14ac:dyDescent="0.25">
      <c r="B35" s="60"/>
      <c r="C35" s="60"/>
      <c r="D35" s="54"/>
      <c r="E35" s="54"/>
      <c r="F35" s="50"/>
      <c r="G35" s="55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2:18" x14ac:dyDescent="0.25">
      <c r="B36" s="60"/>
      <c r="C36" s="60"/>
      <c r="D36" s="54"/>
      <c r="E36" s="54"/>
      <c r="F36" s="50"/>
      <c r="G36" s="55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2:18" x14ac:dyDescent="0.25">
      <c r="B37" s="60"/>
      <c r="C37" s="60"/>
      <c r="D37" s="54"/>
      <c r="E37" s="54"/>
      <c r="F37" s="50"/>
      <c r="G37" s="55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2:18" x14ac:dyDescent="0.25">
      <c r="B38" s="60"/>
      <c r="C38" s="60"/>
      <c r="D38" s="54"/>
      <c r="E38" s="54"/>
      <c r="F38" s="50"/>
      <c r="G38" s="55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2:18" x14ac:dyDescent="0.25">
      <c r="B39" s="60"/>
      <c r="C39" s="60"/>
      <c r="D39" s="54"/>
      <c r="E39" s="54"/>
      <c r="F39" s="50"/>
      <c r="G39" s="55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2:18" x14ac:dyDescent="0.25">
      <c r="B40" s="60"/>
      <c r="C40" s="60"/>
      <c r="D40" s="54"/>
      <c r="E40" s="54"/>
      <c r="F40" s="50"/>
      <c r="G40" s="55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2:18" x14ac:dyDescent="0.25">
      <c r="B41" s="60"/>
      <c r="C41" s="60"/>
      <c r="D41" s="54"/>
      <c r="E41" s="54"/>
      <c r="F41" s="50"/>
      <c r="G41" s="55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2:18" x14ac:dyDescent="0.25">
      <c r="B42" s="60"/>
      <c r="C42" s="60"/>
      <c r="D42" s="54"/>
      <c r="E42" s="54"/>
      <c r="F42" s="50"/>
      <c r="G42" s="55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2:18" x14ac:dyDescent="0.25">
      <c r="B43" s="60"/>
      <c r="C43" s="60"/>
      <c r="D43" s="54"/>
      <c r="E43" s="54"/>
      <c r="F43" s="50"/>
      <c r="G43" s="55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2:18" x14ac:dyDescent="0.25">
      <c r="B44" s="60"/>
      <c r="C44" s="60"/>
      <c r="D44" s="54"/>
      <c r="E44" s="54"/>
      <c r="F44" s="50"/>
      <c r="G44" s="55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2:18" x14ac:dyDescent="0.25">
      <c r="B45" s="60"/>
      <c r="C45" s="60"/>
      <c r="D45" s="54"/>
      <c r="E45" s="54"/>
      <c r="F45" s="50"/>
      <c r="G45" s="55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2:18" x14ac:dyDescent="0.25">
      <c r="B46" s="60"/>
      <c r="C46" s="60"/>
      <c r="D46" s="54"/>
      <c r="E46" s="54"/>
      <c r="F46" s="50"/>
      <c r="G46" s="55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2:18" x14ac:dyDescent="0.25">
      <c r="B47" s="60"/>
      <c r="C47" s="60"/>
      <c r="D47" s="54"/>
      <c r="E47" s="54"/>
      <c r="F47" s="50"/>
      <c r="G47" s="55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2:18" x14ac:dyDescent="0.25">
      <c r="B48" s="60"/>
      <c r="C48" s="60"/>
      <c r="D48" s="54"/>
      <c r="E48" s="54"/>
      <c r="F48" s="50"/>
      <c r="G48" s="55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2:18" x14ac:dyDescent="0.25">
      <c r="B49" s="60"/>
      <c r="C49" s="60"/>
      <c r="D49" s="54"/>
      <c r="E49" s="54"/>
      <c r="F49" s="50"/>
      <c r="G49" s="55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2:18" x14ac:dyDescent="0.25">
      <c r="B50" s="60"/>
      <c r="C50" s="60"/>
      <c r="D50" s="54"/>
      <c r="E50" s="54"/>
      <c r="F50" s="50"/>
      <c r="G50" s="55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2:18" x14ac:dyDescent="0.25">
      <c r="B51" s="60"/>
      <c r="C51" s="60"/>
      <c r="D51" s="54"/>
      <c r="E51" s="54"/>
      <c r="F51" s="50"/>
      <c r="G51" s="55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2:18" x14ac:dyDescent="0.25">
      <c r="B52" s="60"/>
      <c r="C52" s="60"/>
      <c r="D52" s="54"/>
      <c r="E52" s="54"/>
      <c r="F52" s="50"/>
      <c r="G52" s="55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2:18" x14ac:dyDescent="0.25">
      <c r="B53" s="60"/>
      <c r="C53" s="60"/>
      <c r="D53" s="54"/>
      <c r="E53" s="54"/>
      <c r="F53" s="50"/>
      <c r="G53" s="55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2:18" x14ac:dyDescent="0.25">
      <c r="B54" s="60"/>
      <c r="C54" s="60"/>
      <c r="D54" s="54"/>
      <c r="E54" s="54"/>
      <c r="F54" s="50"/>
      <c r="G54" s="55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2:18" x14ac:dyDescent="0.25">
      <c r="B55" s="60"/>
      <c r="C55" s="60"/>
      <c r="D55" s="54"/>
      <c r="E55" s="54"/>
      <c r="F55" s="50"/>
      <c r="G55" s="55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2:18" x14ac:dyDescent="0.25">
      <c r="B56" s="60"/>
      <c r="C56" s="60"/>
      <c r="D56" s="54"/>
      <c r="E56" s="54"/>
      <c r="F56" s="50"/>
      <c r="G56" s="55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2:18" x14ac:dyDescent="0.25">
      <c r="B57" s="60"/>
      <c r="C57" s="60"/>
      <c r="D57" s="54"/>
      <c r="E57" s="54"/>
      <c r="F57" s="50"/>
      <c r="G57" s="55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2:18" x14ac:dyDescent="0.25">
      <c r="B58" s="60"/>
      <c r="C58" s="60"/>
      <c r="D58" s="54"/>
      <c r="E58" s="54"/>
      <c r="F58" s="50"/>
      <c r="G58" s="55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2:18" x14ac:dyDescent="0.25">
      <c r="B59" s="60"/>
      <c r="C59" s="60"/>
      <c r="D59" s="54"/>
      <c r="E59" s="54"/>
      <c r="F59" s="50"/>
      <c r="G59" s="55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2:18" x14ac:dyDescent="0.25">
      <c r="B60" s="60"/>
      <c r="C60" s="60"/>
      <c r="D60" s="54"/>
      <c r="E60" s="54"/>
      <c r="F60" s="50"/>
      <c r="G60" s="55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2:18" x14ac:dyDescent="0.25">
      <c r="B61" s="60"/>
      <c r="C61" s="60"/>
      <c r="D61" s="54"/>
      <c r="E61" s="54"/>
      <c r="F61" s="50"/>
      <c r="G61" s="55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2:18" x14ac:dyDescent="0.25">
      <c r="B62" s="60"/>
      <c r="C62" s="60"/>
      <c r="D62" s="54"/>
      <c r="E62" s="54"/>
      <c r="F62" s="50"/>
      <c r="G62" s="55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2:18" x14ac:dyDescent="0.25">
      <c r="B63" s="60"/>
      <c r="C63" s="60"/>
      <c r="D63" s="54"/>
      <c r="E63" s="54"/>
      <c r="F63" s="50"/>
      <c r="G63" s="55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2:18" x14ac:dyDescent="0.25">
      <c r="B64" s="60"/>
      <c r="C64" s="60"/>
      <c r="D64" s="54"/>
      <c r="E64" s="54"/>
      <c r="F64" s="50"/>
      <c r="G64" s="55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2:18" x14ac:dyDescent="0.25">
      <c r="B65" s="60"/>
      <c r="C65" s="60"/>
      <c r="D65" s="54"/>
      <c r="E65" s="54"/>
      <c r="F65" s="50"/>
      <c r="G65" s="55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2:18" x14ac:dyDescent="0.25">
      <c r="B66" s="60"/>
      <c r="C66" s="60"/>
      <c r="D66" s="54"/>
      <c r="E66" s="54"/>
      <c r="F66" s="50"/>
      <c r="G66" s="55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2:18" x14ac:dyDescent="0.25">
      <c r="B67" s="60"/>
      <c r="C67" s="60"/>
      <c r="D67" s="54"/>
      <c r="E67" s="54"/>
      <c r="F67" s="50"/>
      <c r="G67" s="55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2:18" x14ac:dyDescent="0.25">
      <c r="B68" s="60"/>
      <c r="C68" s="60"/>
      <c r="D68" s="54"/>
      <c r="E68" s="54"/>
      <c r="F68" s="50"/>
      <c r="G68" s="55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2:18" x14ac:dyDescent="0.25">
      <c r="B69" s="60"/>
      <c r="C69" s="60"/>
      <c r="D69" s="54"/>
      <c r="E69" s="54"/>
      <c r="F69" s="50"/>
      <c r="G69" s="55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2:18" x14ac:dyDescent="0.25">
      <c r="B70" s="60"/>
      <c r="C70" s="60"/>
      <c r="D70" s="54"/>
      <c r="E70" s="54"/>
      <c r="F70" s="50"/>
      <c r="G70" s="55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2:18" x14ac:dyDescent="0.25">
      <c r="B71" s="60"/>
      <c r="C71" s="60"/>
      <c r="D71" s="54"/>
      <c r="E71" s="54"/>
      <c r="F71" s="50"/>
      <c r="G71" s="55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2:18" x14ac:dyDescent="0.25">
      <c r="B72" s="60"/>
      <c r="C72" s="60"/>
      <c r="D72" s="54"/>
      <c r="E72" s="54"/>
      <c r="F72" s="50"/>
      <c r="G72" s="55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</row>
    <row r="73" spans="2:18" x14ac:dyDescent="0.25">
      <c r="B73" s="60"/>
      <c r="C73" s="60"/>
      <c r="D73" s="54"/>
      <c r="E73" s="54"/>
      <c r="F73" s="50"/>
      <c r="G73" s="55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</row>
    <row r="74" spans="2:18" x14ac:dyDescent="0.25">
      <c r="B74" s="60"/>
      <c r="C74" s="60"/>
      <c r="D74" s="54"/>
      <c r="E74" s="54"/>
      <c r="F74" s="50"/>
      <c r="G74" s="55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</row>
    <row r="75" spans="2:18" x14ac:dyDescent="0.25">
      <c r="B75" s="60"/>
      <c r="C75" s="60"/>
      <c r="D75" s="54"/>
      <c r="E75" s="54"/>
      <c r="F75" s="50"/>
      <c r="G75" s="55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</row>
    <row r="76" spans="2:18" x14ac:dyDescent="0.25">
      <c r="B76" s="60"/>
      <c r="C76" s="60"/>
      <c r="D76" s="54"/>
      <c r="E76" s="54"/>
      <c r="F76" s="50"/>
      <c r="G76" s="55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</row>
  </sheetData>
  <phoneticPr fontId="2" type="noConversion"/>
  <conditionalFormatting sqref="K5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3238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3047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3048</v>
      </c>
    </row>
    <row r="9" spans="1:3" x14ac:dyDescent="0.25">
      <c r="A9" t="s">
        <v>1775</v>
      </c>
    </row>
    <row r="10" spans="1:3" x14ac:dyDescent="0.25">
      <c r="A10" t="s">
        <v>3049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3050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3051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3052</v>
      </c>
    </row>
    <row r="39" spans="1:1" x14ac:dyDescent="0.25">
      <c r="A39" t="s">
        <v>3053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3054</v>
      </c>
    </row>
    <row r="43" spans="1:1" x14ac:dyDescent="0.25">
      <c r="A43" t="s">
        <v>1700</v>
      </c>
    </row>
    <row r="44" spans="1:1" x14ac:dyDescent="0.25">
      <c r="A44" t="s">
        <v>3055</v>
      </c>
    </row>
    <row r="45" spans="1:1" x14ac:dyDescent="0.25">
      <c r="A45" t="s">
        <v>3056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3057</v>
      </c>
    </row>
    <row r="57" spans="1:1" x14ac:dyDescent="0.25">
      <c r="A57" t="s">
        <v>1860</v>
      </c>
    </row>
    <row r="58" spans="1:1" x14ac:dyDescent="0.25">
      <c r="A58" t="s">
        <v>3058</v>
      </c>
    </row>
    <row r="59" spans="1:1" x14ac:dyDescent="0.25">
      <c r="A59" t="s">
        <v>1786</v>
      </c>
    </row>
    <row r="60" spans="1:1" x14ac:dyDescent="0.25">
      <c r="A60" t="s">
        <v>3059</v>
      </c>
    </row>
    <row r="61" spans="1:1" x14ac:dyDescent="0.25">
      <c r="A61" t="s">
        <v>3060</v>
      </c>
    </row>
    <row r="62" spans="1:1" x14ac:dyDescent="0.25">
      <c r="A62" t="s">
        <v>3061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3062</v>
      </c>
    </row>
    <row r="70" spans="1:1" x14ac:dyDescent="0.25">
      <c r="A70" t="s">
        <v>1785</v>
      </c>
    </row>
    <row r="71" spans="1:1" x14ac:dyDescent="0.25">
      <c r="A71" t="s">
        <v>3063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3064</v>
      </c>
    </row>
    <row r="128" spans="1:1" x14ac:dyDescent="0.25">
      <c r="A128" t="s">
        <v>3065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3066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3067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3068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3069</v>
      </c>
    </row>
    <row r="178" spans="1:1" x14ac:dyDescent="0.25">
      <c r="A178" t="s">
        <v>3070</v>
      </c>
    </row>
    <row r="179" spans="1:1" x14ac:dyDescent="0.25">
      <c r="A179" t="s">
        <v>3071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3072</v>
      </c>
    </row>
    <row r="195" spans="1:1" x14ac:dyDescent="0.25">
      <c r="A195" t="s">
        <v>3073</v>
      </c>
    </row>
    <row r="196" spans="1:1" x14ac:dyDescent="0.25">
      <c r="A196" t="s">
        <v>3074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3075</v>
      </c>
    </row>
    <row r="200" spans="1:1" x14ac:dyDescent="0.25">
      <c r="A200" t="s">
        <v>3076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3077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3078</v>
      </c>
    </row>
    <row r="230" spans="1:1" x14ac:dyDescent="0.25">
      <c r="A230" t="s">
        <v>1954</v>
      </c>
    </row>
    <row r="231" spans="1:1" x14ac:dyDescent="0.25">
      <c r="A231" t="s">
        <v>3079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3080</v>
      </c>
    </row>
    <row r="247" spans="1:1" x14ac:dyDescent="0.25">
      <c r="A247" t="s">
        <v>1913</v>
      </c>
    </row>
    <row r="248" spans="1:1" x14ac:dyDescent="0.25">
      <c r="A248" t="s">
        <v>3081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3082</v>
      </c>
    </row>
    <row r="258" spans="1:1" x14ac:dyDescent="0.25">
      <c r="A258" t="s">
        <v>3083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3084</v>
      </c>
    </row>
    <row r="264" spans="1:1" x14ac:dyDescent="0.25">
      <c r="A264" t="s">
        <v>3085</v>
      </c>
    </row>
    <row r="265" spans="1:1" x14ac:dyDescent="0.25">
      <c r="A265" t="s">
        <v>1957</v>
      </c>
    </row>
    <row r="266" spans="1:1" x14ac:dyDescent="0.25">
      <c r="A266" t="s">
        <v>3086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3087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3088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3089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3090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3091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3092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3093</v>
      </c>
    </row>
    <row r="329" spans="1:1" x14ac:dyDescent="0.25">
      <c r="A329" t="s">
        <v>3094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3095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3096</v>
      </c>
    </row>
    <row r="342" spans="1:1" x14ac:dyDescent="0.25">
      <c r="A342" t="s">
        <v>2025</v>
      </c>
    </row>
    <row r="343" spans="1:1" x14ac:dyDescent="0.25">
      <c r="A343" t="s">
        <v>3097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3098</v>
      </c>
    </row>
    <row r="348" spans="1:1" x14ac:dyDescent="0.25">
      <c r="A348" t="s">
        <v>3099</v>
      </c>
    </row>
    <row r="349" spans="1:1" x14ac:dyDescent="0.25">
      <c r="A349" t="s">
        <v>3100</v>
      </c>
    </row>
    <row r="350" spans="1:1" x14ac:dyDescent="0.25">
      <c r="A350" t="s">
        <v>3101</v>
      </c>
    </row>
    <row r="351" spans="1:1" x14ac:dyDescent="0.25">
      <c r="A351" t="s">
        <v>3102</v>
      </c>
    </row>
    <row r="352" spans="1:1" x14ac:dyDescent="0.25">
      <c r="A352" t="s">
        <v>3103</v>
      </c>
    </row>
    <row r="353" spans="1:1" x14ac:dyDescent="0.25">
      <c r="A353" t="s">
        <v>3104</v>
      </c>
    </row>
    <row r="354" spans="1:1" x14ac:dyDescent="0.25">
      <c r="A354" t="s">
        <v>3105</v>
      </c>
    </row>
    <row r="355" spans="1:1" x14ac:dyDescent="0.25">
      <c r="A355" t="s">
        <v>3106</v>
      </c>
    </row>
    <row r="356" spans="1:1" x14ac:dyDescent="0.25">
      <c r="A356" t="s">
        <v>3107</v>
      </c>
    </row>
    <row r="357" spans="1:1" x14ac:dyDescent="0.25">
      <c r="A357" t="s">
        <v>3108</v>
      </c>
    </row>
    <row r="358" spans="1:1" x14ac:dyDescent="0.25">
      <c r="A358" t="s">
        <v>3109</v>
      </c>
    </row>
    <row r="359" spans="1:1" x14ac:dyDescent="0.25">
      <c r="A359" t="s">
        <v>3110</v>
      </c>
    </row>
    <row r="360" spans="1:1" x14ac:dyDescent="0.25">
      <c r="A360" t="s">
        <v>3111</v>
      </c>
    </row>
    <row r="361" spans="1:1" x14ac:dyDescent="0.25">
      <c r="A361" t="s">
        <v>3112</v>
      </c>
    </row>
    <row r="362" spans="1:1" x14ac:dyDescent="0.25">
      <c r="A362" t="s">
        <v>3113</v>
      </c>
    </row>
    <row r="363" spans="1:1" x14ac:dyDescent="0.25">
      <c r="A363" t="s">
        <v>3114</v>
      </c>
    </row>
    <row r="364" spans="1:1" x14ac:dyDescent="0.25">
      <c r="A364" t="s">
        <v>3115</v>
      </c>
    </row>
    <row r="365" spans="1:1" x14ac:dyDescent="0.25">
      <c r="A365" t="s">
        <v>3116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3117</v>
      </c>
    </row>
    <row r="370" spans="1:1" x14ac:dyDescent="0.25">
      <c r="A370" t="s">
        <v>3118</v>
      </c>
    </row>
    <row r="371" spans="1:1" x14ac:dyDescent="0.25">
      <c r="A371" t="s">
        <v>3119</v>
      </c>
    </row>
    <row r="372" spans="1:1" x14ac:dyDescent="0.25">
      <c r="A372" t="s">
        <v>3120</v>
      </c>
    </row>
    <row r="373" spans="1:1" x14ac:dyDescent="0.25">
      <c r="A373" t="s">
        <v>3121</v>
      </c>
    </row>
    <row r="374" spans="1:1" x14ac:dyDescent="0.25">
      <c r="A374" t="s">
        <v>3122</v>
      </c>
    </row>
    <row r="375" spans="1:1" x14ac:dyDescent="0.25">
      <c r="A375" t="s">
        <v>3123</v>
      </c>
    </row>
    <row r="376" spans="1:1" x14ac:dyDescent="0.25">
      <c r="A376" t="s">
        <v>3124</v>
      </c>
    </row>
    <row r="377" spans="1:1" x14ac:dyDescent="0.25">
      <c r="A377" t="s">
        <v>3125</v>
      </c>
    </row>
    <row r="378" spans="1:1" x14ac:dyDescent="0.25">
      <c r="A378" t="s">
        <v>3126</v>
      </c>
    </row>
    <row r="379" spans="1:1" x14ac:dyDescent="0.25">
      <c r="A379" t="s">
        <v>3127</v>
      </c>
    </row>
    <row r="380" spans="1:1" x14ac:dyDescent="0.25">
      <c r="A380" t="s">
        <v>3128</v>
      </c>
    </row>
    <row r="381" spans="1:1" x14ac:dyDescent="0.25">
      <c r="A381" t="s">
        <v>3129</v>
      </c>
    </row>
    <row r="382" spans="1:1" x14ac:dyDescent="0.25">
      <c r="A382" t="s">
        <v>3130</v>
      </c>
    </row>
    <row r="383" spans="1:1" x14ac:dyDescent="0.25">
      <c r="A383" t="s">
        <v>3131</v>
      </c>
    </row>
    <row r="384" spans="1:1" x14ac:dyDescent="0.25">
      <c r="A384" t="s">
        <v>3132</v>
      </c>
    </row>
    <row r="385" spans="1:1" x14ac:dyDescent="0.25">
      <c r="A385" t="s">
        <v>3133</v>
      </c>
    </row>
    <row r="386" spans="1:1" x14ac:dyDescent="0.25">
      <c r="A386" t="s">
        <v>3134</v>
      </c>
    </row>
    <row r="387" spans="1:1" x14ac:dyDescent="0.25">
      <c r="A387" t="s">
        <v>3135</v>
      </c>
    </row>
    <row r="388" spans="1:1" x14ac:dyDescent="0.25">
      <c r="A388" t="s">
        <v>3136</v>
      </c>
    </row>
    <row r="389" spans="1:1" x14ac:dyDescent="0.25">
      <c r="A389" t="s">
        <v>3137</v>
      </c>
    </row>
    <row r="390" spans="1:1" x14ac:dyDescent="0.25">
      <c r="A390" t="s">
        <v>3138</v>
      </c>
    </row>
    <row r="391" spans="1:1" x14ac:dyDescent="0.25">
      <c r="A391" t="s">
        <v>3139</v>
      </c>
    </row>
    <row r="392" spans="1:1" x14ac:dyDescent="0.25">
      <c r="A392" t="s">
        <v>3140</v>
      </c>
    </row>
    <row r="393" spans="1:1" x14ac:dyDescent="0.25">
      <c r="A393" t="s">
        <v>3141</v>
      </c>
    </row>
    <row r="394" spans="1:1" x14ac:dyDescent="0.25">
      <c r="A394" t="s">
        <v>3142</v>
      </c>
    </row>
    <row r="395" spans="1:1" x14ac:dyDescent="0.25">
      <c r="A395" t="s">
        <v>3143</v>
      </c>
    </row>
    <row r="396" spans="1:1" x14ac:dyDescent="0.25">
      <c r="A396" t="s">
        <v>2063</v>
      </c>
    </row>
    <row r="397" spans="1:1" x14ac:dyDescent="0.25">
      <c r="A397" t="s">
        <v>3144</v>
      </c>
    </row>
    <row r="398" spans="1:1" x14ac:dyDescent="0.25">
      <c r="A398" t="s">
        <v>3145</v>
      </c>
    </row>
    <row r="399" spans="1:1" x14ac:dyDescent="0.25">
      <c r="A399" t="s">
        <v>3146</v>
      </c>
    </row>
    <row r="400" spans="1:1" x14ac:dyDescent="0.25">
      <c r="A400" t="s">
        <v>3147</v>
      </c>
    </row>
    <row r="401" spans="1:1" x14ac:dyDescent="0.25">
      <c r="A401" t="s">
        <v>3148</v>
      </c>
    </row>
    <row r="402" spans="1:1" x14ac:dyDescent="0.25">
      <c r="A402" t="s">
        <v>3149</v>
      </c>
    </row>
    <row r="403" spans="1:1" x14ac:dyDescent="0.25">
      <c r="A403" t="s">
        <v>3150</v>
      </c>
    </row>
    <row r="404" spans="1:1" x14ac:dyDescent="0.25">
      <c r="A404" t="s">
        <v>3151</v>
      </c>
    </row>
    <row r="405" spans="1:1" x14ac:dyDescent="0.25">
      <c r="A405" t="s">
        <v>3152</v>
      </c>
    </row>
    <row r="406" spans="1:1" x14ac:dyDescent="0.25">
      <c r="A406" t="s">
        <v>3153</v>
      </c>
    </row>
    <row r="407" spans="1:1" x14ac:dyDescent="0.25">
      <c r="A407" t="s">
        <v>3154</v>
      </c>
    </row>
    <row r="408" spans="1:1" x14ac:dyDescent="0.25">
      <c r="A408" t="s">
        <v>2069</v>
      </c>
    </row>
    <row r="409" spans="1:1" x14ac:dyDescent="0.25">
      <c r="A409" t="s">
        <v>3155</v>
      </c>
    </row>
    <row r="410" spans="1:1" x14ac:dyDescent="0.25">
      <c r="A410" t="s">
        <v>3156</v>
      </c>
    </row>
    <row r="411" spans="1:1" x14ac:dyDescent="0.25">
      <c r="A411" t="s">
        <v>3157</v>
      </c>
    </row>
    <row r="412" spans="1:1" x14ac:dyDescent="0.25">
      <c r="A412" t="s">
        <v>3158</v>
      </c>
    </row>
    <row r="413" spans="1:1" x14ac:dyDescent="0.25">
      <c r="A413" t="s">
        <v>3159</v>
      </c>
    </row>
    <row r="414" spans="1:1" x14ac:dyDescent="0.25">
      <c r="A414" t="s">
        <v>3160</v>
      </c>
    </row>
    <row r="415" spans="1:1" x14ac:dyDescent="0.25">
      <c r="A415" t="s">
        <v>3161</v>
      </c>
    </row>
    <row r="416" spans="1:1" x14ac:dyDescent="0.25">
      <c r="A416" t="s">
        <v>3162</v>
      </c>
    </row>
    <row r="417" spans="1:1" x14ac:dyDescent="0.25">
      <c r="A417" t="s">
        <v>3163</v>
      </c>
    </row>
    <row r="418" spans="1:1" x14ac:dyDescent="0.25">
      <c r="A418" t="s">
        <v>2082</v>
      </c>
    </row>
    <row r="419" spans="1:1" x14ac:dyDescent="0.25">
      <c r="A419" t="s">
        <v>3164</v>
      </c>
    </row>
    <row r="420" spans="1:1" x14ac:dyDescent="0.25">
      <c r="A420" t="s">
        <v>3165</v>
      </c>
    </row>
    <row r="421" spans="1:1" x14ac:dyDescent="0.25">
      <c r="A421" t="s">
        <v>3166</v>
      </c>
    </row>
    <row r="422" spans="1:1" x14ac:dyDescent="0.25">
      <c r="A422" t="s">
        <v>3167</v>
      </c>
    </row>
    <row r="423" spans="1:1" x14ac:dyDescent="0.25">
      <c r="A423" t="s">
        <v>3168</v>
      </c>
    </row>
    <row r="424" spans="1:1" x14ac:dyDescent="0.25">
      <c r="A424" t="s">
        <v>3169</v>
      </c>
    </row>
    <row r="425" spans="1:1" x14ac:dyDescent="0.25">
      <c r="A425" t="s">
        <v>3170</v>
      </c>
    </row>
    <row r="426" spans="1:1" x14ac:dyDescent="0.25">
      <c r="A426" t="s">
        <v>3171</v>
      </c>
    </row>
    <row r="427" spans="1:1" x14ac:dyDescent="0.25">
      <c r="A427" t="s">
        <v>3172</v>
      </c>
    </row>
    <row r="428" spans="1:1" x14ac:dyDescent="0.25">
      <c r="A428" t="s">
        <v>3173</v>
      </c>
    </row>
    <row r="429" spans="1:1" x14ac:dyDescent="0.25">
      <c r="A429" t="s">
        <v>3174</v>
      </c>
    </row>
    <row r="430" spans="1:1" x14ac:dyDescent="0.25">
      <c r="A430" t="s">
        <v>3175</v>
      </c>
    </row>
    <row r="431" spans="1:1" x14ac:dyDescent="0.25">
      <c r="A431" t="s">
        <v>3176</v>
      </c>
    </row>
    <row r="432" spans="1:1" x14ac:dyDescent="0.25">
      <c r="A432" t="s">
        <v>3177</v>
      </c>
    </row>
    <row r="433" spans="1:1" x14ac:dyDescent="0.25">
      <c r="A433" t="s">
        <v>3178</v>
      </c>
    </row>
    <row r="434" spans="1:1" x14ac:dyDescent="0.25">
      <c r="A434" t="s">
        <v>3179</v>
      </c>
    </row>
    <row r="435" spans="1:1" x14ac:dyDescent="0.25">
      <c r="A435" t="s">
        <v>3180</v>
      </c>
    </row>
    <row r="436" spans="1:1" x14ac:dyDescent="0.25">
      <c r="A436" t="s">
        <v>3181</v>
      </c>
    </row>
    <row r="437" spans="1:1" x14ac:dyDescent="0.25">
      <c r="A437" t="s">
        <v>3182</v>
      </c>
    </row>
    <row r="438" spans="1:1" x14ac:dyDescent="0.25">
      <c r="A438" t="s">
        <v>3183</v>
      </c>
    </row>
    <row r="439" spans="1:1" x14ac:dyDescent="0.25">
      <c r="A439" t="s">
        <v>3184</v>
      </c>
    </row>
    <row r="440" spans="1:1" x14ac:dyDescent="0.25">
      <c r="A440" t="s">
        <v>3185</v>
      </c>
    </row>
    <row r="441" spans="1:1" x14ac:dyDescent="0.25">
      <c r="A441" t="s">
        <v>3186</v>
      </c>
    </row>
    <row r="442" spans="1:1" x14ac:dyDescent="0.25">
      <c r="A442" t="s">
        <v>3187</v>
      </c>
    </row>
    <row r="443" spans="1:1" x14ac:dyDescent="0.25">
      <c r="A443" t="s">
        <v>3188</v>
      </c>
    </row>
    <row r="444" spans="1:1" x14ac:dyDescent="0.25">
      <c r="A444" t="s">
        <v>3189</v>
      </c>
    </row>
    <row r="445" spans="1:1" x14ac:dyDescent="0.25">
      <c r="A445" t="s">
        <v>3190</v>
      </c>
    </row>
    <row r="446" spans="1:1" x14ac:dyDescent="0.25">
      <c r="A446" t="s">
        <v>3191</v>
      </c>
    </row>
    <row r="447" spans="1:1" x14ac:dyDescent="0.25">
      <c r="A447" t="s">
        <v>3192</v>
      </c>
    </row>
    <row r="448" spans="1:1" x14ac:dyDescent="0.25">
      <c r="A448" t="s">
        <v>3193</v>
      </c>
    </row>
    <row r="449" spans="1:1" x14ac:dyDescent="0.25">
      <c r="A449" t="s">
        <v>3194</v>
      </c>
    </row>
    <row r="450" spans="1:1" x14ac:dyDescent="0.25">
      <c r="A450" t="s">
        <v>3195</v>
      </c>
    </row>
    <row r="451" spans="1:1" x14ac:dyDescent="0.25">
      <c r="A451" t="s">
        <v>3196</v>
      </c>
    </row>
    <row r="452" spans="1:1" x14ac:dyDescent="0.25">
      <c r="A452" t="s">
        <v>3197</v>
      </c>
    </row>
    <row r="453" spans="1:1" x14ac:dyDescent="0.25">
      <c r="A453" t="s">
        <v>3198</v>
      </c>
    </row>
    <row r="454" spans="1:1" x14ac:dyDescent="0.25">
      <c r="A454" t="s">
        <v>3199</v>
      </c>
    </row>
    <row r="455" spans="1:1" x14ac:dyDescent="0.25">
      <c r="A455" t="s">
        <v>3200</v>
      </c>
    </row>
    <row r="456" spans="1:1" x14ac:dyDescent="0.25">
      <c r="A456" t="s">
        <v>3201</v>
      </c>
    </row>
    <row r="457" spans="1:1" x14ac:dyDescent="0.25">
      <c r="A457" t="s">
        <v>3202</v>
      </c>
    </row>
    <row r="458" spans="1:1" x14ac:dyDescent="0.25">
      <c r="A458" t="s">
        <v>3203</v>
      </c>
    </row>
    <row r="459" spans="1:1" x14ac:dyDescent="0.25">
      <c r="A459" t="s">
        <v>3204</v>
      </c>
    </row>
    <row r="460" spans="1:1" x14ac:dyDescent="0.25">
      <c r="A460" t="s">
        <v>3205</v>
      </c>
    </row>
    <row r="461" spans="1:1" x14ac:dyDescent="0.25">
      <c r="A461" t="s">
        <v>3206</v>
      </c>
    </row>
    <row r="462" spans="1:1" x14ac:dyDescent="0.25">
      <c r="A462" t="s">
        <v>3207</v>
      </c>
    </row>
    <row r="463" spans="1:1" x14ac:dyDescent="0.25">
      <c r="A463" t="s">
        <v>3208</v>
      </c>
    </row>
    <row r="464" spans="1:1" x14ac:dyDescent="0.25">
      <c r="A464" t="s">
        <v>3209</v>
      </c>
    </row>
    <row r="465" spans="1:1" x14ac:dyDescent="0.25">
      <c r="A465" t="s">
        <v>3210</v>
      </c>
    </row>
    <row r="466" spans="1:1" x14ac:dyDescent="0.25">
      <c r="A466" t="s">
        <v>3211</v>
      </c>
    </row>
    <row r="467" spans="1:1" x14ac:dyDescent="0.25">
      <c r="A467" t="s">
        <v>3212</v>
      </c>
    </row>
    <row r="468" spans="1:1" x14ac:dyDescent="0.25">
      <c r="A468" t="s">
        <v>3213</v>
      </c>
    </row>
    <row r="469" spans="1:1" x14ac:dyDescent="0.25">
      <c r="A469" t="s">
        <v>3214</v>
      </c>
    </row>
    <row r="470" spans="1:1" x14ac:dyDescent="0.25">
      <c r="A470" t="s">
        <v>3215</v>
      </c>
    </row>
    <row r="471" spans="1:1" x14ac:dyDescent="0.25">
      <c r="A471" t="s">
        <v>3216</v>
      </c>
    </row>
    <row r="472" spans="1:1" x14ac:dyDescent="0.25">
      <c r="A472" t="s">
        <v>3217</v>
      </c>
    </row>
    <row r="473" spans="1:1" x14ac:dyDescent="0.25">
      <c r="A473" t="s">
        <v>3218</v>
      </c>
    </row>
    <row r="474" spans="1:1" x14ac:dyDescent="0.25">
      <c r="A474" t="s">
        <v>3219</v>
      </c>
    </row>
    <row r="475" spans="1:1" x14ac:dyDescent="0.25">
      <c r="A475" t="s">
        <v>3220</v>
      </c>
    </row>
    <row r="476" spans="1:1" x14ac:dyDescent="0.25">
      <c r="A476" t="s">
        <v>3221</v>
      </c>
    </row>
    <row r="477" spans="1:1" x14ac:dyDescent="0.25">
      <c r="A477" t="s">
        <v>3222</v>
      </c>
    </row>
    <row r="478" spans="1:1" x14ac:dyDescent="0.25">
      <c r="A478" t="s">
        <v>3223</v>
      </c>
    </row>
    <row r="479" spans="1:1" x14ac:dyDescent="0.25">
      <c r="A479" t="s">
        <v>3224</v>
      </c>
    </row>
    <row r="480" spans="1:1" x14ac:dyDescent="0.25">
      <c r="A480" t="s">
        <v>3225</v>
      </c>
    </row>
    <row r="481" spans="1:1" x14ac:dyDescent="0.25">
      <c r="A481" t="s">
        <v>3226</v>
      </c>
    </row>
    <row r="482" spans="1:1" x14ac:dyDescent="0.25">
      <c r="A482" t="s">
        <v>3229</v>
      </c>
    </row>
    <row r="483" spans="1:1" x14ac:dyDescent="0.25">
      <c r="A483" t="s">
        <v>3230</v>
      </c>
    </row>
    <row r="484" spans="1:1" x14ac:dyDescent="0.25">
      <c r="A484" t="s">
        <v>3227</v>
      </c>
    </row>
    <row r="485" spans="1:1" x14ac:dyDescent="0.25">
      <c r="A485" t="s">
        <v>3231</v>
      </c>
    </row>
    <row r="486" spans="1:1" x14ac:dyDescent="0.25">
      <c r="A486" t="s">
        <v>3232</v>
      </c>
    </row>
    <row r="487" spans="1:1" x14ac:dyDescent="0.25">
      <c r="A487" t="s">
        <v>3234</v>
      </c>
    </row>
    <row r="488" spans="1:1" x14ac:dyDescent="0.25">
      <c r="A488" t="s">
        <v>3235</v>
      </c>
    </row>
    <row r="489" spans="1:1" x14ac:dyDescent="0.25">
      <c r="A489" t="s">
        <v>3236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24" sqref="I24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2908</v>
      </c>
      <c r="G1" s="25" t="s">
        <v>2133</v>
      </c>
      <c r="H1" t="s">
        <v>3239</v>
      </c>
      <c r="I1" s="26" t="str">
        <f>"id : "&amp;J1</f>
        <v>id : 632</v>
      </c>
      <c r="J1" s="27">
        <v>632</v>
      </c>
      <c r="K1" s="27" t="str">
        <f>"Gender : "&amp;L1</f>
        <v>Gender : Womens</v>
      </c>
      <c r="L1" s="32" t="s">
        <v>2907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E2" t="s">
        <v>3243</v>
      </c>
      <c r="F2" t="s">
        <v>2281</v>
      </c>
      <c r="G2">
        <v>2019</v>
      </c>
      <c r="H2">
        <v>2019</v>
      </c>
      <c r="I2" s="28" t="str">
        <f>"Indent No.: "&amp;J2</f>
        <v>Indent No.: DHGK-2132</v>
      </c>
      <c r="J2" s="29" t="s">
        <v>3278</v>
      </c>
      <c r="K2" s="29" t="str">
        <f>"Fabric Type : "&amp;L2</f>
        <v>Fabric Type : Knit</v>
      </c>
      <c r="L2" s="33" t="s">
        <v>3241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E3" t="s">
        <v>3244</v>
      </c>
      <c r="F3" t="s">
        <v>2282</v>
      </c>
      <c r="G3">
        <v>2020</v>
      </c>
      <c r="H3">
        <v>2020</v>
      </c>
      <c r="I3" s="28" t="str">
        <f>"Brand name : "&amp;J3</f>
        <v>Brand name : Lands End</v>
      </c>
      <c r="J3" s="29" t="s">
        <v>3240</v>
      </c>
      <c r="K3" s="29" t="str">
        <f>"Garment Type : "&amp;L3</f>
        <v>Garment Type : Swimwear</v>
      </c>
      <c r="L3" s="33" t="s">
        <v>3242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>
        <v>2021</v>
      </c>
      <c r="H4">
        <v>2021</v>
      </c>
      <c r="I4" s="28" t="str">
        <f>"Design No.: "&amp;J4</f>
        <v>Design No.: 102675</v>
      </c>
      <c r="J4" s="29" t="s">
        <v>3279</v>
      </c>
      <c r="K4" s="29" t="str">
        <f>"Order Type : "&amp;L4</f>
        <v>Order Type : Bulk</v>
      </c>
      <c r="L4" s="33" t="s">
        <v>2906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>
        <v>2022</v>
      </c>
      <c r="H5">
        <v>2022</v>
      </c>
      <c r="I5" s="28" t="str">
        <f>"Season : "&amp;J5</f>
        <v>Season : SS</v>
      </c>
      <c r="J5" s="29" t="s">
        <v>2369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3263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504"/>
  <sheetViews>
    <sheetView workbookViewId="0">
      <pane ySplit="1" topLeftCell="A2" activePane="bottomLeft" state="frozen"/>
      <selection pane="bottomLeft" activeCell="A2" sqref="A2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2910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3306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2221</v>
      </c>
      <c r="J4" s="44"/>
      <c r="K4" s="22" t="s">
        <v>2427</v>
      </c>
      <c r="L4" s="22" t="s">
        <v>2434</v>
      </c>
      <c r="M4" s="22" t="s">
        <v>2923</v>
      </c>
      <c r="N4" s="22" t="s">
        <v>3310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2222</v>
      </c>
      <c r="J5" s="44"/>
      <c r="K5" s="22" t="s">
        <v>2428</v>
      </c>
      <c r="L5" s="22" t="s">
        <v>2435</v>
      </c>
      <c r="M5" s="22" t="s">
        <v>2926</v>
      </c>
      <c r="N5" s="22" t="s">
        <v>3311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2223</v>
      </c>
      <c r="J6" s="44"/>
      <c r="K6" s="22" t="s">
        <v>2429</v>
      </c>
      <c r="L6" s="22" t="s">
        <v>2436</v>
      </c>
      <c r="M6" s="22" t="s">
        <v>3042</v>
      </c>
      <c r="N6" s="22" t="s">
        <v>3307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3303</v>
      </c>
      <c r="O7" s="22" t="s">
        <v>2460</v>
      </c>
    </row>
    <row r="8" spans="1:15" ht="26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2924</v>
      </c>
      <c r="N8" s="65" t="s">
        <v>3299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2921</v>
      </c>
      <c r="N9" s="65" t="s">
        <v>3272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3304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2920</v>
      </c>
      <c r="N11" s="22" t="s">
        <v>3312</v>
      </c>
      <c r="O11" s="22" t="s">
        <v>2464</v>
      </c>
    </row>
    <row r="12" spans="1:15" ht="39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3043</v>
      </c>
      <c r="N12" s="65" t="s">
        <v>3313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2922</v>
      </c>
      <c r="N13" s="22" t="s">
        <v>3314</v>
      </c>
      <c r="O13" s="22" t="s">
        <v>2466</v>
      </c>
    </row>
    <row r="14" spans="1:15" ht="39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65" t="s">
        <v>3305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2925</v>
      </c>
      <c r="N15" s="22" t="s">
        <v>2935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2927</v>
      </c>
      <c r="N16" s="22" t="s">
        <v>3266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2911</v>
      </c>
      <c r="M17" s="22" t="s">
        <v>3044</v>
      </c>
      <c r="N17" s="22" t="s">
        <v>2936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3045</v>
      </c>
      <c r="N18" s="22" t="s">
        <v>2937</v>
      </c>
      <c r="O18" s="22" t="s">
        <v>2471</v>
      </c>
    </row>
    <row r="19" spans="1:15" ht="26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65" t="s">
        <v>3280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3295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2938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2939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2940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2941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2942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2943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2933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2944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2945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2946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2947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2931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2423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2948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3233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2949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2950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2951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2952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2953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2954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3228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2955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2956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3276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2957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2958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2959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2960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2961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2962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2963</v>
      </c>
      <c r="O52" s="22" t="s">
        <v>3027</v>
      </c>
    </row>
    <row r="53" spans="1:15" x14ac:dyDescent="0.25">
      <c r="A53" s="22" t="s">
        <v>2349</v>
      </c>
      <c r="I53" s="22" t="s">
        <v>2270</v>
      </c>
      <c r="J53" s="44"/>
      <c r="N53" s="22" t="s">
        <v>3265</v>
      </c>
      <c r="O53" s="22" t="s">
        <v>3027</v>
      </c>
    </row>
    <row r="54" spans="1:15" x14ac:dyDescent="0.25">
      <c r="A54" s="22" t="s">
        <v>2350</v>
      </c>
      <c r="N54" s="22" t="s">
        <v>3273</v>
      </c>
      <c r="O54" s="22" t="s">
        <v>2505</v>
      </c>
    </row>
    <row r="55" spans="1:15" x14ac:dyDescent="0.25">
      <c r="A55" s="22" t="s">
        <v>2351</v>
      </c>
      <c r="N55" s="22" t="s">
        <v>2964</v>
      </c>
      <c r="O55" s="22" t="s">
        <v>2506</v>
      </c>
    </row>
    <row r="56" spans="1:15" x14ac:dyDescent="0.25">
      <c r="A56" s="22" t="s">
        <v>2352</v>
      </c>
      <c r="N56" s="22" t="s">
        <v>2965</v>
      </c>
      <c r="O56" s="22" t="s">
        <v>2507</v>
      </c>
    </row>
    <row r="57" spans="1:15" x14ac:dyDescent="0.25">
      <c r="A57" s="22" t="s">
        <v>2353</v>
      </c>
      <c r="N57" s="22" t="s">
        <v>2966</v>
      </c>
      <c r="O57" s="22" t="s">
        <v>2508</v>
      </c>
    </row>
    <row r="58" spans="1:15" x14ac:dyDescent="0.25">
      <c r="N58" s="22" t="s">
        <v>3262</v>
      </c>
      <c r="O58" s="22" t="s">
        <v>2509</v>
      </c>
    </row>
    <row r="59" spans="1:15" x14ac:dyDescent="0.25">
      <c r="N59" s="22" t="s">
        <v>3270</v>
      </c>
      <c r="O59" s="22" t="s">
        <v>2510</v>
      </c>
    </row>
    <row r="60" spans="1:15" x14ac:dyDescent="0.25">
      <c r="N60" s="22" t="s">
        <v>3268</v>
      </c>
      <c r="O60" s="22" t="s">
        <v>2511</v>
      </c>
    </row>
    <row r="61" spans="1:15" x14ac:dyDescent="0.25">
      <c r="N61" s="22" t="s">
        <v>2967</v>
      </c>
      <c r="O61" s="22" t="s">
        <v>2512</v>
      </c>
    </row>
    <row r="62" spans="1:15" x14ac:dyDescent="0.25">
      <c r="N62" s="22" t="s">
        <v>3267</v>
      </c>
      <c r="O62" s="22" t="s">
        <v>2513</v>
      </c>
    </row>
    <row r="63" spans="1:15" x14ac:dyDescent="0.25">
      <c r="N63" s="22" t="s">
        <v>2968</v>
      </c>
      <c r="O63" s="22" t="s">
        <v>2514</v>
      </c>
    </row>
    <row r="64" spans="1:15" x14ac:dyDescent="0.25">
      <c r="N64" s="22" t="s">
        <v>2969</v>
      </c>
      <c r="O64" s="22" t="s">
        <v>2515</v>
      </c>
    </row>
    <row r="65" spans="14:15" x14ac:dyDescent="0.25">
      <c r="N65" s="22" t="s">
        <v>2970</v>
      </c>
      <c r="O65" s="22" t="s">
        <v>2516</v>
      </c>
    </row>
    <row r="66" spans="14:15" ht="26" x14ac:dyDescent="0.25">
      <c r="N66" s="65" t="s">
        <v>3308</v>
      </c>
      <c r="O66" s="22" t="s">
        <v>2517</v>
      </c>
    </row>
    <row r="67" spans="14:15" ht="78" x14ac:dyDescent="0.25">
      <c r="N67" s="65" t="s">
        <v>3261</v>
      </c>
      <c r="O67" s="22" t="s">
        <v>2518</v>
      </c>
    </row>
    <row r="68" spans="14:15" ht="65" x14ac:dyDescent="0.25">
      <c r="N68" s="65" t="s">
        <v>3258</v>
      </c>
      <c r="O68" s="22" t="s">
        <v>3028</v>
      </c>
    </row>
    <row r="69" spans="14:15" x14ac:dyDescent="0.25">
      <c r="N69" s="22" t="s">
        <v>2971</v>
      </c>
      <c r="O69" s="22" t="s">
        <v>2519</v>
      </c>
    </row>
    <row r="70" spans="14:15" x14ac:dyDescent="0.25">
      <c r="N70" s="22" t="s">
        <v>2972</v>
      </c>
      <c r="O70" s="22" t="s">
        <v>2520</v>
      </c>
    </row>
    <row r="71" spans="14:15" ht="26" x14ac:dyDescent="0.25">
      <c r="N71" s="65" t="s">
        <v>2973</v>
      </c>
      <c r="O71" s="22" t="s">
        <v>2521</v>
      </c>
    </row>
    <row r="72" spans="14:15" x14ac:dyDescent="0.25">
      <c r="N72" s="65" t="s">
        <v>2974</v>
      </c>
      <c r="O72" s="22" t="s">
        <v>2522</v>
      </c>
    </row>
    <row r="73" spans="14:15" x14ac:dyDescent="0.25">
      <c r="N73" s="22" t="s">
        <v>2929</v>
      </c>
      <c r="O73" s="22" t="s">
        <v>2523</v>
      </c>
    </row>
    <row r="74" spans="14:15" x14ac:dyDescent="0.25">
      <c r="N74" s="65" t="s">
        <v>2975</v>
      </c>
      <c r="O74" s="22" t="s">
        <v>2524</v>
      </c>
    </row>
    <row r="75" spans="14:15" ht="39" x14ac:dyDescent="0.25">
      <c r="N75" s="65" t="s">
        <v>2976</v>
      </c>
      <c r="O75" s="22" t="s">
        <v>2525</v>
      </c>
    </row>
    <row r="76" spans="14:15" ht="52" x14ac:dyDescent="0.25">
      <c r="N76" s="65" t="s">
        <v>2977</v>
      </c>
      <c r="O76" s="22" t="s">
        <v>2526</v>
      </c>
    </row>
    <row r="77" spans="14:15" x14ac:dyDescent="0.25">
      <c r="N77" s="22" t="s">
        <v>2978</v>
      </c>
      <c r="O77" s="22" t="s">
        <v>2527</v>
      </c>
    </row>
    <row r="78" spans="14:15" x14ac:dyDescent="0.25">
      <c r="N78" s="22" t="s">
        <v>2979</v>
      </c>
      <c r="O78" s="22" t="s">
        <v>2528</v>
      </c>
    </row>
    <row r="79" spans="14:15" ht="26" x14ac:dyDescent="0.25">
      <c r="N79" s="65" t="s">
        <v>3281</v>
      </c>
      <c r="O79" s="22" t="s">
        <v>2529</v>
      </c>
    </row>
    <row r="80" spans="14:15" x14ac:dyDescent="0.25">
      <c r="N80" s="22" t="s">
        <v>3296</v>
      </c>
      <c r="O80" s="22" t="s">
        <v>2530</v>
      </c>
    </row>
    <row r="81" spans="14:15" x14ac:dyDescent="0.25">
      <c r="N81" s="22" t="s">
        <v>3301</v>
      </c>
      <c r="O81" s="22" t="s">
        <v>2531</v>
      </c>
    </row>
    <row r="82" spans="14:15" x14ac:dyDescent="0.25">
      <c r="N82" s="65" t="s">
        <v>2980</v>
      </c>
      <c r="O82" s="22" t="s">
        <v>3029</v>
      </c>
    </row>
    <row r="83" spans="14:15" x14ac:dyDescent="0.25">
      <c r="N83" s="22" t="s">
        <v>2981</v>
      </c>
      <c r="O83" s="22" t="s">
        <v>2532</v>
      </c>
    </row>
    <row r="84" spans="14:15" x14ac:dyDescent="0.25">
      <c r="N84" s="22" t="s">
        <v>2982</v>
      </c>
      <c r="O84" s="22" t="s">
        <v>2533</v>
      </c>
    </row>
    <row r="85" spans="14:15" x14ac:dyDescent="0.25">
      <c r="N85" s="22" t="s">
        <v>2983</v>
      </c>
      <c r="O85" s="22" t="s">
        <v>2534</v>
      </c>
    </row>
    <row r="86" spans="14:15" x14ac:dyDescent="0.25">
      <c r="N86" s="22" t="s">
        <v>2984</v>
      </c>
      <c r="O86" s="22" t="s">
        <v>2535</v>
      </c>
    </row>
    <row r="87" spans="14:15" ht="52" x14ac:dyDescent="0.25">
      <c r="N87" s="65" t="s">
        <v>3282</v>
      </c>
      <c r="O87" s="22" t="s">
        <v>2536</v>
      </c>
    </row>
    <row r="88" spans="14:15" x14ac:dyDescent="0.25">
      <c r="N88" s="22" t="s">
        <v>3297</v>
      </c>
      <c r="O88" s="22" t="s">
        <v>2537</v>
      </c>
    </row>
    <row r="89" spans="14:15" x14ac:dyDescent="0.25">
      <c r="N89" s="22" t="s">
        <v>3309</v>
      </c>
      <c r="O89" s="22" t="s">
        <v>2538</v>
      </c>
    </row>
    <row r="90" spans="14:15" x14ac:dyDescent="0.25">
      <c r="N90" s="22" t="s">
        <v>2985</v>
      </c>
      <c r="O90" s="22" t="s">
        <v>2539</v>
      </c>
    </row>
    <row r="91" spans="14:15" x14ac:dyDescent="0.25">
      <c r="N91" s="22" t="s">
        <v>2986</v>
      </c>
      <c r="O91" s="22" t="s">
        <v>2540</v>
      </c>
    </row>
    <row r="92" spans="14:15" x14ac:dyDescent="0.25">
      <c r="N92" s="22" t="s">
        <v>2987</v>
      </c>
      <c r="O92" s="22" t="s">
        <v>2541</v>
      </c>
    </row>
    <row r="93" spans="14:15" x14ac:dyDescent="0.25">
      <c r="N93" s="22" t="s">
        <v>2988</v>
      </c>
      <c r="O93" s="22" t="s">
        <v>2542</v>
      </c>
    </row>
    <row r="94" spans="14:15" x14ac:dyDescent="0.25">
      <c r="N94" s="22" t="s">
        <v>2934</v>
      </c>
      <c r="O94" s="22" t="s">
        <v>2543</v>
      </c>
    </row>
    <row r="95" spans="14:15" x14ac:dyDescent="0.25">
      <c r="N95" s="22" t="s">
        <v>2989</v>
      </c>
      <c r="O95" s="22" t="s">
        <v>3283</v>
      </c>
    </row>
    <row r="96" spans="14:15" x14ac:dyDescent="0.25">
      <c r="N96" s="22" t="s">
        <v>2990</v>
      </c>
      <c r="O96" s="22" t="s">
        <v>2544</v>
      </c>
    </row>
    <row r="97" spans="14:15" x14ac:dyDescent="0.25">
      <c r="N97" s="22" t="s">
        <v>2932</v>
      </c>
      <c r="O97" s="22" t="s">
        <v>2545</v>
      </c>
    </row>
    <row r="98" spans="14:15" x14ac:dyDescent="0.25">
      <c r="N98" s="22" t="s">
        <v>2991</v>
      </c>
      <c r="O98" s="22" t="s">
        <v>2546</v>
      </c>
    </row>
    <row r="99" spans="14:15" x14ac:dyDescent="0.25">
      <c r="N99" s="22" t="s">
        <v>2992</v>
      </c>
      <c r="O99" s="22" t="s">
        <v>2547</v>
      </c>
    </row>
    <row r="100" spans="14:15" x14ac:dyDescent="0.25">
      <c r="N100" s="22" t="s">
        <v>2993</v>
      </c>
      <c r="O100" s="22" t="s">
        <v>2548</v>
      </c>
    </row>
    <row r="101" spans="14:15" x14ac:dyDescent="0.25">
      <c r="N101" s="22" t="s">
        <v>2994</v>
      </c>
      <c r="O101" s="22" t="s">
        <v>2549</v>
      </c>
    </row>
    <row r="102" spans="14:15" x14ac:dyDescent="0.25">
      <c r="N102" s="22" t="s">
        <v>2995</v>
      </c>
      <c r="O102" s="22" t="s">
        <v>2550</v>
      </c>
    </row>
    <row r="103" spans="14:15" x14ac:dyDescent="0.25">
      <c r="N103" s="22" t="s">
        <v>2996</v>
      </c>
      <c r="O103" s="22" t="s">
        <v>2551</v>
      </c>
    </row>
    <row r="104" spans="14:15" x14ac:dyDescent="0.25">
      <c r="N104" s="22" t="s">
        <v>2997</v>
      </c>
      <c r="O104" s="22" t="s">
        <v>2552</v>
      </c>
    </row>
    <row r="105" spans="14:15" x14ac:dyDescent="0.25">
      <c r="N105" s="22" t="s">
        <v>2998</v>
      </c>
      <c r="O105" s="22" t="s">
        <v>2553</v>
      </c>
    </row>
    <row r="106" spans="14:15" x14ac:dyDescent="0.25">
      <c r="N106" s="22" t="s">
        <v>2928</v>
      </c>
      <c r="O106" s="22" t="s">
        <v>2554</v>
      </c>
    </row>
    <row r="107" spans="14:15" x14ac:dyDescent="0.25">
      <c r="N107" s="22" t="s">
        <v>2999</v>
      </c>
      <c r="O107" s="22" t="s">
        <v>2555</v>
      </c>
    </row>
    <row r="108" spans="14:15" x14ac:dyDescent="0.25">
      <c r="N108" s="22" t="s">
        <v>3000</v>
      </c>
      <c r="O108" s="22" t="s">
        <v>2556</v>
      </c>
    </row>
    <row r="109" spans="14:15" x14ac:dyDescent="0.25">
      <c r="N109" s="22" t="s">
        <v>3001</v>
      </c>
      <c r="O109" s="22" t="s">
        <v>2557</v>
      </c>
    </row>
    <row r="110" spans="14:15" x14ac:dyDescent="0.25">
      <c r="N110" s="22" t="s">
        <v>3275</v>
      </c>
      <c r="O110" s="22" t="s">
        <v>3284</v>
      </c>
    </row>
    <row r="111" spans="14:15" x14ac:dyDescent="0.25">
      <c r="N111" s="22" t="s">
        <v>3277</v>
      </c>
      <c r="O111" s="22" t="s">
        <v>2558</v>
      </c>
    </row>
    <row r="112" spans="14:15" x14ac:dyDescent="0.25">
      <c r="N112" s="22" t="s">
        <v>3002</v>
      </c>
      <c r="O112" s="22" t="s">
        <v>2559</v>
      </c>
    </row>
    <row r="113" spans="14:15" x14ac:dyDescent="0.25">
      <c r="N113" s="22" t="s">
        <v>3271</v>
      </c>
      <c r="O113" s="22" t="s">
        <v>2560</v>
      </c>
    </row>
    <row r="114" spans="14:15" x14ac:dyDescent="0.25">
      <c r="N114" s="22" t="s">
        <v>3003</v>
      </c>
      <c r="O114" s="22" t="s">
        <v>2561</v>
      </c>
    </row>
    <row r="115" spans="14:15" x14ac:dyDescent="0.25">
      <c r="N115" s="22" t="s">
        <v>3004</v>
      </c>
      <c r="O115" s="22" t="s">
        <v>2562</v>
      </c>
    </row>
    <row r="116" spans="14:15" x14ac:dyDescent="0.25">
      <c r="N116" s="22" t="s">
        <v>2421</v>
      </c>
      <c r="O116" s="22" t="s">
        <v>2563</v>
      </c>
    </row>
    <row r="117" spans="14:15" x14ac:dyDescent="0.25">
      <c r="N117" s="22" t="s">
        <v>3005</v>
      </c>
      <c r="O117" s="22" t="s">
        <v>2564</v>
      </c>
    </row>
    <row r="118" spans="14:15" x14ac:dyDescent="0.25">
      <c r="N118" s="22" t="s">
        <v>2912</v>
      </c>
      <c r="O118" s="22" t="s">
        <v>2565</v>
      </c>
    </row>
    <row r="119" spans="14:15" x14ac:dyDescent="0.25">
      <c r="N119" s="22" t="s">
        <v>3006</v>
      </c>
      <c r="O119" s="22" t="s">
        <v>2566</v>
      </c>
    </row>
    <row r="120" spans="14:15" x14ac:dyDescent="0.25">
      <c r="N120" s="22" t="s">
        <v>3007</v>
      </c>
      <c r="O120" s="22" t="s">
        <v>2567</v>
      </c>
    </row>
    <row r="121" spans="14:15" x14ac:dyDescent="0.25">
      <c r="N121" s="22" t="s">
        <v>3008</v>
      </c>
      <c r="O121" s="22" t="s">
        <v>2568</v>
      </c>
    </row>
    <row r="122" spans="14:15" x14ac:dyDescent="0.25">
      <c r="N122" s="22" t="s">
        <v>3274</v>
      </c>
      <c r="O122" s="22" t="s">
        <v>2569</v>
      </c>
    </row>
    <row r="123" spans="14:15" x14ac:dyDescent="0.25">
      <c r="N123" s="22" t="s">
        <v>3009</v>
      </c>
      <c r="O123" s="22" t="s">
        <v>2570</v>
      </c>
    </row>
    <row r="124" spans="14:15" x14ac:dyDescent="0.25">
      <c r="N124" s="22" t="s">
        <v>3010</v>
      </c>
      <c r="O124" s="22" t="s">
        <v>2571</v>
      </c>
    </row>
    <row r="125" spans="14:15" x14ac:dyDescent="0.25">
      <c r="N125" s="22" t="s">
        <v>3011</v>
      </c>
      <c r="O125" s="22" t="s">
        <v>2572</v>
      </c>
    </row>
    <row r="126" spans="14:15" x14ac:dyDescent="0.25">
      <c r="N126" s="22" t="s">
        <v>3012</v>
      </c>
      <c r="O126" s="22" t="s">
        <v>2573</v>
      </c>
    </row>
    <row r="127" spans="14:15" x14ac:dyDescent="0.25">
      <c r="N127" s="22" t="s">
        <v>3013</v>
      </c>
      <c r="O127" s="22" t="s">
        <v>2574</v>
      </c>
    </row>
    <row r="128" spans="14:15" x14ac:dyDescent="0.25">
      <c r="N128" s="22" t="s">
        <v>3014</v>
      </c>
      <c r="O128" s="22" t="s">
        <v>3285</v>
      </c>
    </row>
    <row r="129" spans="14:15" x14ac:dyDescent="0.25">
      <c r="N129" s="22" t="s">
        <v>3237</v>
      </c>
      <c r="O129" s="22" t="s">
        <v>2575</v>
      </c>
    </row>
    <row r="130" spans="14:15" x14ac:dyDescent="0.25">
      <c r="N130" s="22" t="s">
        <v>3015</v>
      </c>
      <c r="O130" s="22" t="s">
        <v>2576</v>
      </c>
    </row>
    <row r="131" spans="14:15" x14ac:dyDescent="0.25">
      <c r="N131" s="22" t="s">
        <v>3245</v>
      </c>
      <c r="O131" s="22" t="s">
        <v>2577</v>
      </c>
    </row>
    <row r="132" spans="14:15" x14ac:dyDescent="0.25">
      <c r="N132" s="22" t="s">
        <v>3264</v>
      </c>
      <c r="O132" s="22" t="s">
        <v>2578</v>
      </c>
    </row>
    <row r="133" spans="14:15" x14ac:dyDescent="0.25">
      <c r="N133" s="22" t="s">
        <v>3260</v>
      </c>
      <c r="O133" s="22" t="s">
        <v>2579</v>
      </c>
    </row>
    <row r="134" spans="14:15" x14ac:dyDescent="0.25">
      <c r="N134" s="22" t="s">
        <v>3259</v>
      </c>
      <c r="O134" s="22" t="s">
        <v>2580</v>
      </c>
    </row>
    <row r="135" spans="14:15" x14ac:dyDescent="0.25">
      <c r="N135" s="22" t="s">
        <v>3016</v>
      </c>
      <c r="O135" s="22" t="s">
        <v>2581</v>
      </c>
    </row>
    <row r="136" spans="14:15" x14ac:dyDescent="0.25">
      <c r="N136" s="22" t="s">
        <v>3017</v>
      </c>
      <c r="O136" s="22" t="s">
        <v>2582</v>
      </c>
    </row>
    <row r="137" spans="14:15" x14ac:dyDescent="0.25">
      <c r="N137" s="22" t="s">
        <v>3018</v>
      </c>
      <c r="O137" s="22" t="s">
        <v>2583</v>
      </c>
    </row>
    <row r="138" spans="14:15" x14ac:dyDescent="0.25">
      <c r="N138" s="22" t="s">
        <v>3019</v>
      </c>
      <c r="O138" s="22" t="s">
        <v>3286</v>
      </c>
    </row>
    <row r="139" spans="14:15" x14ac:dyDescent="0.25">
      <c r="N139" s="22" t="s">
        <v>3020</v>
      </c>
      <c r="O139" s="22" t="s">
        <v>2584</v>
      </c>
    </row>
    <row r="140" spans="14:15" x14ac:dyDescent="0.25">
      <c r="N140" s="22" t="s">
        <v>3021</v>
      </c>
      <c r="O140" s="22" t="s">
        <v>2585</v>
      </c>
    </row>
    <row r="141" spans="14:15" x14ac:dyDescent="0.25">
      <c r="N141" s="22" t="s">
        <v>3298</v>
      </c>
      <c r="O141" s="22" t="s">
        <v>2586</v>
      </c>
    </row>
    <row r="142" spans="14:15" x14ac:dyDescent="0.25">
      <c r="N142" s="22" t="s">
        <v>3300</v>
      </c>
      <c r="O142" s="22" t="s">
        <v>2587</v>
      </c>
    </row>
    <row r="143" spans="14:15" x14ac:dyDescent="0.25">
      <c r="N143" s="22" t="s">
        <v>3022</v>
      </c>
      <c r="O143" s="22" t="s">
        <v>2588</v>
      </c>
    </row>
    <row r="144" spans="14:15" x14ac:dyDescent="0.25">
      <c r="N144" s="22" t="s">
        <v>3023</v>
      </c>
      <c r="O144" s="22" t="s">
        <v>2589</v>
      </c>
    </row>
    <row r="145" spans="14:15" x14ac:dyDescent="0.25">
      <c r="N145" s="22" t="s">
        <v>3269</v>
      </c>
      <c r="O145" s="22" t="s">
        <v>2590</v>
      </c>
    </row>
    <row r="146" spans="14:15" x14ac:dyDescent="0.25">
      <c r="N146" s="22" t="s">
        <v>3302</v>
      </c>
      <c r="O146" s="22" t="s">
        <v>2591</v>
      </c>
    </row>
    <row r="147" spans="14:15" x14ac:dyDescent="0.25">
      <c r="N147" s="22" t="s">
        <v>3024</v>
      </c>
      <c r="O147" s="22" t="s">
        <v>2592</v>
      </c>
    </row>
    <row r="148" spans="14:15" x14ac:dyDescent="0.25">
      <c r="N148" s="22" t="s">
        <v>2930</v>
      </c>
      <c r="O148" s="22" t="s">
        <v>2593</v>
      </c>
    </row>
    <row r="149" spans="14:15" x14ac:dyDescent="0.25">
      <c r="N149" s="22" t="s">
        <v>3025</v>
      </c>
      <c r="O149" s="22" t="s">
        <v>2594</v>
      </c>
    </row>
    <row r="150" spans="14:15" x14ac:dyDescent="0.25">
      <c r="N150" s="22" t="s">
        <v>3026</v>
      </c>
      <c r="O150" s="22" t="s">
        <v>2595</v>
      </c>
    </row>
    <row r="151" spans="14:15" x14ac:dyDescent="0.25">
      <c r="N151" s="22" t="s">
        <v>2909</v>
      </c>
      <c r="O151" s="22" t="s">
        <v>2596</v>
      </c>
    </row>
    <row r="152" spans="14:15" x14ac:dyDescent="0.25">
      <c r="O152" s="22" t="s">
        <v>2597</v>
      </c>
    </row>
    <row r="153" spans="14:15" x14ac:dyDescent="0.25">
      <c r="O153" s="22" t="s">
        <v>2598</v>
      </c>
    </row>
    <row r="154" spans="14:15" x14ac:dyDescent="0.25">
      <c r="O154" s="22" t="s">
        <v>3287</v>
      </c>
    </row>
    <row r="155" spans="14:15" x14ac:dyDescent="0.25">
      <c r="O155" s="22" t="s">
        <v>2599</v>
      </c>
    </row>
    <row r="156" spans="14:15" x14ac:dyDescent="0.25">
      <c r="O156" s="22" t="s">
        <v>2600</v>
      </c>
    </row>
    <row r="157" spans="14:15" x14ac:dyDescent="0.25">
      <c r="O157" s="22" t="s">
        <v>2601</v>
      </c>
    </row>
    <row r="158" spans="14:15" x14ac:dyDescent="0.25">
      <c r="O158" s="22" t="s">
        <v>2602</v>
      </c>
    </row>
    <row r="159" spans="14:15" x14ac:dyDescent="0.25">
      <c r="O159" s="22" t="s">
        <v>2603</v>
      </c>
    </row>
    <row r="160" spans="14:15" x14ac:dyDescent="0.25">
      <c r="O160" s="22" t="s">
        <v>2604</v>
      </c>
    </row>
    <row r="161" spans="15:15" x14ac:dyDescent="0.25">
      <c r="O161" s="22" t="s">
        <v>2605</v>
      </c>
    </row>
    <row r="162" spans="15:15" x14ac:dyDescent="0.25">
      <c r="O162" s="22" t="s">
        <v>2606</v>
      </c>
    </row>
    <row r="163" spans="15:15" x14ac:dyDescent="0.25">
      <c r="O163" s="22" t="s">
        <v>2606</v>
      </c>
    </row>
    <row r="164" spans="15:15" x14ac:dyDescent="0.25">
      <c r="O164" s="22" t="s">
        <v>2607</v>
      </c>
    </row>
    <row r="165" spans="15:15" x14ac:dyDescent="0.25">
      <c r="O165" s="22" t="s">
        <v>2608</v>
      </c>
    </row>
    <row r="166" spans="15:15" x14ac:dyDescent="0.25">
      <c r="O166" s="22" t="s">
        <v>2609</v>
      </c>
    </row>
    <row r="167" spans="15:15" x14ac:dyDescent="0.25">
      <c r="O167" s="22" t="s">
        <v>2610</v>
      </c>
    </row>
    <row r="168" spans="15:15" x14ac:dyDescent="0.25">
      <c r="O168" s="22" t="s">
        <v>2611</v>
      </c>
    </row>
    <row r="169" spans="15:15" x14ac:dyDescent="0.25">
      <c r="O169" s="22" t="s">
        <v>2612</v>
      </c>
    </row>
    <row r="170" spans="15:15" x14ac:dyDescent="0.25">
      <c r="O170" s="22" t="s">
        <v>2613</v>
      </c>
    </row>
    <row r="171" spans="15:15" x14ac:dyDescent="0.25">
      <c r="O171" s="22" t="s">
        <v>3288</v>
      </c>
    </row>
    <row r="172" spans="15:15" x14ac:dyDescent="0.25">
      <c r="O172" s="22" t="s">
        <v>2614</v>
      </c>
    </row>
    <row r="173" spans="15:15" x14ac:dyDescent="0.25">
      <c r="O173" s="22" t="s">
        <v>2615</v>
      </c>
    </row>
    <row r="174" spans="15:15" x14ac:dyDescent="0.25">
      <c r="O174" s="22" t="s">
        <v>2616</v>
      </c>
    </row>
    <row r="175" spans="15:15" x14ac:dyDescent="0.25">
      <c r="O175" s="22" t="s">
        <v>2617</v>
      </c>
    </row>
    <row r="176" spans="15:15" x14ac:dyDescent="0.25">
      <c r="O176" s="22" t="s">
        <v>2618</v>
      </c>
    </row>
    <row r="177" spans="15:15" x14ac:dyDescent="0.25">
      <c r="O177" s="22" t="s">
        <v>2619</v>
      </c>
    </row>
    <row r="178" spans="15:15" x14ac:dyDescent="0.25">
      <c r="O178" s="22" t="s">
        <v>2620</v>
      </c>
    </row>
    <row r="179" spans="15:15" x14ac:dyDescent="0.25">
      <c r="O179" s="22" t="s">
        <v>2621</v>
      </c>
    </row>
    <row r="180" spans="15:15" x14ac:dyDescent="0.25">
      <c r="O180" s="22" t="s">
        <v>2622</v>
      </c>
    </row>
    <row r="181" spans="15:15" x14ac:dyDescent="0.25">
      <c r="O181" s="22" t="s">
        <v>2623</v>
      </c>
    </row>
    <row r="182" spans="15:15" x14ac:dyDescent="0.25">
      <c r="O182" s="22" t="s">
        <v>2624</v>
      </c>
    </row>
    <row r="183" spans="15:15" x14ac:dyDescent="0.25">
      <c r="O183" s="22" t="s">
        <v>2624</v>
      </c>
    </row>
    <row r="184" spans="15:15" x14ac:dyDescent="0.25">
      <c r="O184" s="22" t="s">
        <v>2625</v>
      </c>
    </row>
    <row r="185" spans="15:15" x14ac:dyDescent="0.25">
      <c r="O185" s="22" t="s">
        <v>2626</v>
      </c>
    </row>
    <row r="186" spans="15:15" x14ac:dyDescent="0.25">
      <c r="O186" s="22" t="s">
        <v>2627</v>
      </c>
    </row>
    <row r="187" spans="15:15" x14ac:dyDescent="0.25">
      <c r="O187" s="22" t="s">
        <v>2628</v>
      </c>
    </row>
    <row r="188" spans="15:15" x14ac:dyDescent="0.25">
      <c r="O188" s="22" t="s">
        <v>2629</v>
      </c>
    </row>
    <row r="189" spans="15:15" x14ac:dyDescent="0.25">
      <c r="O189" s="22" t="s">
        <v>2630</v>
      </c>
    </row>
    <row r="190" spans="15:15" x14ac:dyDescent="0.25">
      <c r="O190" s="22" t="s">
        <v>2631</v>
      </c>
    </row>
    <row r="191" spans="15:15" x14ac:dyDescent="0.25">
      <c r="O191" s="22" t="s">
        <v>2632</v>
      </c>
    </row>
    <row r="192" spans="15:15" x14ac:dyDescent="0.25">
      <c r="O192" s="22" t="s">
        <v>2633</v>
      </c>
    </row>
    <row r="193" spans="15:15" x14ac:dyDescent="0.25">
      <c r="O193" s="22" t="s">
        <v>2634</v>
      </c>
    </row>
    <row r="194" spans="15:15" x14ac:dyDescent="0.25">
      <c r="O194" s="22" t="s">
        <v>2635</v>
      </c>
    </row>
    <row r="195" spans="15:15" x14ac:dyDescent="0.25">
      <c r="O195" s="22" t="s">
        <v>2636</v>
      </c>
    </row>
    <row r="196" spans="15:15" x14ac:dyDescent="0.25">
      <c r="O196" s="22" t="s">
        <v>2636</v>
      </c>
    </row>
    <row r="197" spans="15:15" x14ac:dyDescent="0.25">
      <c r="O197" s="22" t="s">
        <v>2637</v>
      </c>
    </row>
    <row r="198" spans="15:15" x14ac:dyDescent="0.25">
      <c r="O198" s="22" t="s">
        <v>2638</v>
      </c>
    </row>
    <row r="199" spans="15:15" x14ac:dyDescent="0.25">
      <c r="O199" s="22" t="s">
        <v>2639</v>
      </c>
    </row>
    <row r="200" spans="15:15" x14ac:dyDescent="0.25">
      <c r="O200" s="22" t="s">
        <v>2640</v>
      </c>
    </row>
    <row r="201" spans="15:15" x14ac:dyDescent="0.25">
      <c r="O201" s="22" t="s">
        <v>2641</v>
      </c>
    </row>
    <row r="202" spans="15:15" x14ac:dyDescent="0.25">
      <c r="O202" s="22" t="s">
        <v>2642</v>
      </c>
    </row>
    <row r="203" spans="15:15" x14ac:dyDescent="0.25">
      <c r="O203" s="22" t="s">
        <v>2643</v>
      </c>
    </row>
    <row r="204" spans="15:15" x14ac:dyDescent="0.25">
      <c r="O204" s="22" t="s">
        <v>2644</v>
      </c>
    </row>
    <row r="205" spans="15:15" x14ac:dyDescent="0.25">
      <c r="O205" s="22" t="s">
        <v>2645</v>
      </c>
    </row>
    <row r="206" spans="15:15" x14ac:dyDescent="0.25">
      <c r="O206" s="22" t="s">
        <v>2646</v>
      </c>
    </row>
    <row r="207" spans="15:15" x14ac:dyDescent="0.25">
      <c r="O207" s="22" t="s">
        <v>2647</v>
      </c>
    </row>
    <row r="208" spans="15:15" x14ac:dyDescent="0.25">
      <c r="O208" s="22" t="s">
        <v>2648</v>
      </c>
    </row>
    <row r="209" spans="15:15" x14ac:dyDescent="0.25">
      <c r="O209" s="22" t="s">
        <v>2649</v>
      </c>
    </row>
    <row r="210" spans="15:15" x14ac:dyDescent="0.25">
      <c r="O210" s="22" t="s">
        <v>2650</v>
      </c>
    </row>
    <row r="211" spans="15:15" x14ac:dyDescent="0.25">
      <c r="O211" s="22" t="s">
        <v>2651</v>
      </c>
    </row>
    <row r="212" spans="15:15" x14ac:dyDescent="0.25">
      <c r="O212" s="22" t="s">
        <v>2652</v>
      </c>
    </row>
    <row r="213" spans="15:15" x14ac:dyDescent="0.25">
      <c r="O213" s="22" t="s">
        <v>2653</v>
      </c>
    </row>
    <row r="214" spans="15:15" x14ac:dyDescent="0.25">
      <c r="O214" s="22" t="s">
        <v>2654</v>
      </c>
    </row>
    <row r="215" spans="15:15" x14ac:dyDescent="0.25">
      <c r="O215" s="22" t="s">
        <v>2655</v>
      </c>
    </row>
    <row r="216" spans="15:15" x14ac:dyDescent="0.25">
      <c r="O216" s="22" t="s">
        <v>2656</v>
      </c>
    </row>
    <row r="217" spans="15:15" x14ac:dyDescent="0.25">
      <c r="O217" s="22" t="s">
        <v>2657</v>
      </c>
    </row>
    <row r="218" spans="15:15" x14ac:dyDescent="0.25">
      <c r="O218" s="22" t="s">
        <v>2658</v>
      </c>
    </row>
    <row r="219" spans="15:15" x14ac:dyDescent="0.25">
      <c r="O219" s="22" t="s">
        <v>2659</v>
      </c>
    </row>
    <row r="220" spans="15:15" x14ac:dyDescent="0.25">
      <c r="O220" s="22" t="s">
        <v>2660</v>
      </c>
    </row>
    <row r="221" spans="15:15" x14ac:dyDescent="0.25">
      <c r="O221" s="22" t="s">
        <v>2661</v>
      </c>
    </row>
    <row r="222" spans="15:15" x14ac:dyDescent="0.25">
      <c r="O222" s="22" t="s">
        <v>2662</v>
      </c>
    </row>
    <row r="223" spans="15:15" x14ac:dyDescent="0.25">
      <c r="O223" s="22" t="s">
        <v>2662</v>
      </c>
    </row>
    <row r="224" spans="15:15" x14ac:dyDescent="0.25">
      <c r="O224" s="22" t="s">
        <v>2663</v>
      </c>
    </row>
    <row r="225" spans="15:15" x14ac:dyDescent="0.25">
      <c r="O225" s="22" t="s">
        <v>2664</v>
      </c>
    </row>
    <row r="226" spans="15:15" x14ac:dyDescent="0.25">
      <c r="O226" s="22" t="s">
        <v>2665</v>
      </c>
    </row>
    <row r="227" spans="15:15" x14ac:dyDescent="0.25">
      <c r="O227" s="22" t="s">
        <v>2666</v>
      </c>
    </row>
    <row r="228" spans="15:15" x14ac:dyDescent="0.25">
      <c r="O228" s="22" t="s">
        <v>2667</v>
      </c>
    </row>
    <row r="229" spans="15:15" x14ac:dyDescent="0.25">
      <c r="O229" s="22" t="s">
        <v>2668</v>
      </c>
    </row>
    <row r="230" spans="15:15" x14ac:dyDescent="0.25">
      <c r="O230" s="22" t="s">
        <v>2669</v>
      </c>
    </row>
    <row r="231" spans="15:15" x14ac:dyDescent="0.25">
      <c r="O231" s="22" t="s">
        <v>2670</v>
      </c>
    </row>
    <row r="232" spans="15:15" x14ac:dyDescent="0.25">
      <c r="O232" s="22" t="s">
        <v>2671</v>
      </c>
    </row>
    <row r="233" spans="15:15" x14ac:dyDescent="0.25">
      <c r="O233" s="22" t="s">
        <v>2672</v>
      </c>
    </row>
    <row r="234" spans="15:15" x14ac:dyDescent="0.25">
      <c r="O234" s="22" t="s">
        <v>2673</v>
      </c>
    </row>
    <row r="235" spans="15:15" x14ac:dyDescent="0.25">
      <c r="O235" s="22" t="s">
        <v>2674</v>
      </c>
    </row>
    <row r="236" spans="15:15" x14ac:dyDescent="0.25">
      <c r="O236" s="22" t="s">
        <v>2674</v>
      </c>
    </row>
    <row r="237" spans="15:15" x14ac:dyDescent="0.25">
      <c r="O237" s="22" t="s">
        <v>2675</v>
      </c>
    </row>
    <row r="238" spans="15:15" x14ac:dyDescent="0.25">
      <c r="O238" s="22" t="s">
        <v>2676</v>
      </c>
    </row>
    <row r="239" spans="15:15" x14ac:dyDescent="0.25">
      <c r="O239" s="22" t="s">
        <v>2677</v>
      </c>
    </row>
    <row r="240" spans="15:15" x14ac:dyDescent="0.25">
      <c r="O240" s="22" t="s">
        <v>2678</v>
      </c>
    </row>
    <row r="241" spans="15:15" x14ac:dyDescent="0.25">
      <c r="O241" s="22" t="s">
        <v>2679</v>
      </c>
    </row>
    <row r="242" spans="15:15" x14ac:dyDescent="0.25">
      <c r="O242" s="22" t="s">
        <v>2680</v>
      </c>
    </row>
    <row r="243" spans="15:15" x14ac:dyDescent="0.25">
      <c r="O243" s="22" t="s">
        <v>2681</v>
      </c>
    </row>
    <row r="244" spans="15:15" x14ac:dyDescent="0.25">
      <c r="O244" s="22" t="s">
        <v>2682</v>
      </c>
    </row>
    <row r="245" spans="15:15" x14ac:dyDescent="0.25">
      <c r="O245" s="22" t="s">
        <v>2683</v>
      </c>
    </row>
    <row r="246" spans="15:15" x14ac:dyDescent="0.25">
      <c r="O246" s="22" t="s">
        <v>2684</v>
      </c>
    </row>
    <row r="247" spans="15:15" x14ac:dyDescent="0.25">
      <c r="O247" s="22" t="s">
        <v>2685</v>
      </c>
    </row>
    <row r="248" spans="15:15" x14ac:dyDescent="0.25">
      <c r="O248" s="22" t="s">
        <v>2685</v>
      </c>
    </row>
    <row r="249" spans="15:15" x14ac:dyDescent="0.25">
      <c r="O249" s="22" t="s">
        <v>2686</v>
      </c>
    </row>
    <row r="250" spans="15:15" x14ac:dyDescent="0.25">
      <c r="O250" s="22" t="s">
        <v>2687</v>
      </c>
    </row>
    <row r="251" spans="15:15" x14ac:dyDescent="0.25">
      <c r="O251" s="22" t="s">
        <v>2688</v>
      </c>
    </row>
    <row r="252" spans="15:15" x14ac:dyDescent="0.25">
      <c r="O252" s="22" t="s">
        <v>2689</v>
      </c>
    </row>
    <row r="253" spans="15:15" x14ac:dyDescent="0.25">
      <c r="O253" s="22" t="s">
        <v>2690</v>
      </c>
    </row>
    <row r="254" spans="15:15" x14ac:dyDescent="0.25">
      <c r="O254" s="22" t="s">
        <v>2691</v>
      </c>
    </row>
    <row r="255" spans="15:15" x14ac:dyDescent="0.25">
      <c r="O255" s="22" t="s">
        <v>2692</v>
      </c>
    </row>
    <row r="256" spans="15:15" x14ac:dyDescent="0.25">
      <c r="O256" s="22" t="s">
        <v>2693</v>
      </c>
    </row>
    <row r="257" spans="15:15" x14ac:dyDescent="0.25">
      <c r="O257" s="22" t="s">
        <v>2694</v>
      </c>
    </row>
    <row r="258" spans="15:15" x14ac:dyDescent="0.25">
      <c r="O258" s="22" t="s">
        <v>3289</v>
      </c>
    </row>
    <row r="259" spans="15:15" x14ac:dyDescent="0.25">
      <c r="O259" s="22" t="s">
        <v>3290</v>
      </c>
    </row>
    <row r="260" spans="15:15" x14ac:dyDescent="0.25">
      <c r="O260" s="22" t="s">
        <v>3291</v>
      </c>
    </row>
    <row r="261" spans="15:15" x14ac:dyDescent="0.25">
      <c r="O261" s="22" t="s">
        <v>3292</v>
      </c>
    </row>
    <row r="262" spans="15:15" x14ac:dyDescent="0.25">
      <c r="O262" s="22" t="s">
        <v>3293</v>
      </c>
    </row>
    <row r="263" spans="15:15" x14ac:dyDescent="0.25">
      <c r="O263" s="22" t="s">
        <v>3294</v>
      </c>
    </row>
    <row r="264" spans="15:15" x14ac:dyDescent="0.25">
      <c r="O264" s="22" t="s">
        <v>3046</v>
      </c>
    </row>
    <row r="265" spans="15:15" x14ac:dyDescent="0.25">
      <c r="O265" s="22" t="s">
        <v>3030</v>
      </c>
    </row>
    <row r="266" spans="15:15" x14ac:dyDescent="0.25">
      <c r="O266" s="22" t="s">
        <v>3031</v>
      </c>
    </row>
    <row r="267" spans="15:15" x14ac:dyDescent="0.25">
      <c r="O267" s="22" t="s">
        <v>3032</v>
      </c>
    </row>
    <row r="268" spans="15:15" x14ac:dyDescent="0.25">
      <c r="O268" s="22" t="s">
        <v>3033</v>
      </c>
    </row>
    <row r="269" spans="15:15" x14ac:dyDescent="0.25">
      <c r="O269" s="22" t="s">
        <v>3034</v>
      </c>
    </row>
    <row r="270" spans="15:15" x14ac:dyDescent="0.25">
      <c r="O270" s="22" t="s">
        <v>3035</v>
      </c>
    </row>
    <row r="271" spans="15:15" x14ac:dyDescent="0.25">
      <c r="O271" s="22" t="s">
        <v>3036</v>
      </c>
    </row>
    <row r="272" spans="15:15" x14ac:dyDescent="0.25">
      <c r="O272" s="22" t="s">
        <v>3037</v>
      </c>
    </row>
    <row r="273" spans="15:15" x14ac:dyDescent="0.25">
      <c r="O273" s="22" t="s">
        <v>3038</v>
      </c>
    </row>
    <row r="274" spans="15:15" x14ac:dyDescent="0.25">
      <c r="O274" s="22" t="s">
        <v>2695</v>
      </c>
    </row>
    <row r="275" spans="15:15" x14ac:dyDescent="0.25">
      <c r="O275" s="22" t="s">
        <v>2696</v>
      </c>
    </row>
    <row r="276" spans="15:15" x14ac:dyDescent="0.25">
      <c r="O276" s="22" t="s">
        <v>2697</v>
      </c>
    </row>
    <row r="277" spans="15:15" x14ac:dyDescent="0.25">
      <c r="O277" s="22" t="s">
        <v>2698</v>
      </c>
    </row>
    <row r="278" spans="15:15" x14ac:dyDescent="0.25">
      <c r="O278" s="22" t="s">
        <v>2699</v>
      </c>
    </row>
    <row r="279" spans="15:15" x14ac:dyDescent="0.25">
      <c r="O279" s="22" t="s">
        <v>2700</v>
      </c>
    </row>
    <row r="280" spans="15:15" x14ac:dyDescent="0.25">
      <c r="O280" s="22" t="s">
        <v>2701</v>
      </c>
    </row>
    <row r="281" spans="15:15" x14ac:dyDescent="0.25">
      <c r="O281" s="22" t="s">
        <v>2702</v>
      </c>
    </row>
    <row r="282" spans="15:15" x14ac:dyDescent="0.25">
      <c r="O282" s="22" t="s">
        <v>2703</v>
      </c>
    </row>
    <row r="283" spans="15:15" x14ac:dyDescent="0.25">
      <c r="O283" s="22" t="s">
        <v>2704</v>
      </c>
    </row>
    <row r="284" spans="15:15" x14ac:dyDescent="0.25">
      <c r="O284" s="22" t="s">
        <v>2705</v>
      </c>
    </row>
    <row r="285" spans="15:15" x14ac:dyDescent="0.25">
      <c r="O285" s="22" t="s">
        <v>2706</v>
      </c>
    </row>
    <row r="286" spans="15:15" x14ac:dyDescent="0.25">
      <c r="O286" s="22" t="s">
        <v>2707</v>
      </c>
    </row>
    <row r="287" spans="15:15" x14ac:dyDescent="0.25">
      <c r="O287" s="22" t="s">
        <v>2708</v>
      </c>
    </row>
    <row r="288" spans="15:15" x14ac:dyDescent="0.25">
      <c r="O288" s="22" t="s">
        <v>2709</v>
      </c>
    </row>
    <row r="289" spans="15:15" x14ac:dyDescent="0.25">
      <c r="O289" s="22" t="s">
        <v>2710</v>
      </c>
    </row>
    <row r="290" spans="15:15" x14ac:dyDescent="0.25">
      <c r="O290" s="22" t="s">
        <v>2711</v>
      </c>
    </row>
    <row r="291" spans="15:15" x14ac:dyDescent="0.25">
      <c r="O291" s="22" t="s">
        <v>2712</v>
      </c>
    </row>
    <row r="292" spans="15:15" x14ac:dyDescent="0.25">
      <c r="O292" s="22" t="s">
        <v>2713</v>
      </c>
    </row>
    <row r="293" spans="15:15" x14ac:dyDescent="0.25">
      <c r="O293" s="22" t="s">
        <v>2714</v>
      </c>
    </row>
    <row r="294" spans="15:15" x14ac:dyDescent="0.25">
      <c r="O294" s="22" t="s">
        <v>2715</v>
      </c>
    </row>
    <row r="295" spans="15:15" x14ac:dyDescent="0.25">
      <c r="O295" s="22" t="s">
        <v>2716</v>
      </c>
    </row>
    <row r="296" spans="15:15" x14ac:dyDescent="0.25">
      <c r="O296" s="22" t="s">
        <v>2717</v>
      </c>
    </row>
    <row r="297" spans="15:15" x14ac:dyDescent="0.25">
      <c r="O297" s="22" t="s">
        <v>2718</v>
      </c>
    </row>
    <row r="298" spans="15:15" x14ac:dyDescent="0.25">
      <c r="O298" s="22" t="s">
        <v>2719</v>
      </c>
    </row>
    <row r="299" spans="15:15" x14ac:dyDescent="0.25">
      <c r="O299" s="22" t="s">
        <v>2720</v>
      </c>
    </row>
    <row r="300" spans="15:15" x14ac:dyDescent="0.25">
      <c r="O300" s="22" t="s">
        <v>2721</v>
      </c>
    </row>
    <row r="301" spans="15:15" x14ac:dyDescent="0.25">
      <c r="O301" s="22" t="s">
        <v>2722</v>
      </c>
    </row>
    <row r="302" spans="15:15" x14ac:dyDescent="0.25">
      <c r="O302" s="22" t="s">
        <v>2723</v>
      </c>
    </row>
    <row r="303" spans="15:15" x14ac:dyDescent="0.25">
      <c r="O303" s="22" t="s">
        <v>2724</v>
      </c>
    </row>
    <row r="304" spans="15:15" x14ac:dyDescent="0.25">
      <c r="O304" s="22" t="s">
        <v>2725</v>
      </c>
    </row>
    <row r="305" spans="15:15" x14ac:dyDescent="0.25">
      <c r="O305" s="22" t="s">
        <v>2726</v>
      </c>
    </row>
    <row r="306" spans="15:15" x14ac:dyDescent="0.25">
      <c r="O306" s="22" t="s">
        <v>2727</v>
      </c>
    </row>
    <row r="307" spans="15:15" x14ac:dyDescent="0.25">
      <c r="O307" s="22" t="s">
        <v>2728</v>
      </c>
    </row>
    <row r="308" spans="15:15" x14ac:dyDescent="0.25">
      <c r="O308" s="22" t="s">
        <v>2729</v>
      </c>
    </row>
    <row r="309" spans="15:15" x14ac:dyDescent="0.25">
      <c r="O309" s="22" t="s">
        <v>2730</v>
      </c>
    </row>
    <row r="310" spans="15:15" x14ac:dyDescent="0.25">
      <c r="O310" s="22" t="s">
        <v>2731</v>
      </c>
    </row>
    <row r="311" spans="15:15" x14ac:dyDescent="0.25">
      <c r="O311" s="22" t="s">
        <v>2732</v>
      </c>
    </row>
    <row r="312" spans="15:15" x14ac:dyDescent="0.25">
      <c r="O312" s="22" t="s">
        <v>2733</v>
      </c>
    </row>
    <row r="313" spans="15:15" x14ac:dyDescent="0.25">
      <c r="O313" s="22" t="s">
        <v>2734</v>
      </c>
    </row>
    <row r="314" spans="15:15" x14ac:dyDescent="0.25">
      <c r="O314" s="22" t="s">
        <v>2735</v>
      </c>
    </row>
    <row r="315" spans="15:15" x14ac:dyDescent="0.25">
      <c r="O315" s="22" t="s">
        <v>2736</v>
      </c>
    </row>
    <row r="316" spans="15:15" x14ac:dyDescent="0.25">
      <c r="O316" s="22" t="s">
        <v>2737</v>
      </c>
    </row>
    <row r="317" spans="15:15" x14ac:dyDescent="0.25">
      <c r="O317" s="22" t="s">
        <v>2738</v>
      </c>
    </row>
    <row r="318" spans="15:15" x14ac:dyDescent="0.25">
      <c r="O318" s="22" t="s">
        <v>2739</v>
      </c>
    </row>
    <row r="319" spans="15:15" x14ac:dyDescent="0.25">
      <c r="O319" s="22" t="s">
        <v>2740</v>
      </c>
    </row>
    <row r="320" spans="15:15" x14ac:dyDescent="0.25">
      <c r="O320" s="22" t="s">
        <v>2741</v>
      </c>
    </row>
    <row r="321" spans="15:15" x14ac:dyDescent="0.25">
      <c r="O321" s="22" t="s">
        <v>2742</v>
      </c>
    </row>
    <row r="322" spans="15:15" x14ac:dyDescent="0.25">
      <c r="O322" s="22" t="s">
        <v>2743</v>
      </c>
    </row>
    <row r="323" spans="15:15" x14ac:dyDescent="0.25">
      <c r="O323" s="22" t="s">
        <v>2744</v>
      </c>
    </row>
    <row r="324" spans="15:15" x14ac:dyDescent="0.25">
      <c r="O324" s="22" t="s">
        <v>2745</v>
      </c>
    </row>
    <row r="325" spans="15:15" x14ac:dyDescent="0.25">
      <c r="O325" s="22" t="s">
        <v>2746</v>
      </c>
    </row>
    <row r="326" spans="15:15" x14ac:dyDescent="0.25">
      <c r="O326" s="22" t="s">
        <v>2747</v>
      </c>
    </row>
    <row r="327" spans="15:15" x14ac:dyDescent="0.25">
      <c r="O327" s="22" t="s">
        <v>2748</v>
      </c>
    </row>
    <row r="328" spans="15:15" x14ac:dyDescent="0.25">
      <c r="O328" s="22" t="s">
        <v>2749</v>
      </c>
    </row>
    <row r="329" spans="15:15" x14ac:dyDescent="0.25">
      <c r="O329" s="22" t="s">
        <v>2750</v>
      </c>
    </row>
    <row r="330" spans="15:15" x14ac:dyDescent="0.25">
      <c r="O330" s="22" t="s">
        <v>2751</v>
      </c>
    </row>
    <row r="331" spans="15:15" x14ac:dyDescent="0.25">
      <c r="O331" s="22" t="s">
        <v>2752</v>
      </c>
    </row>
    <row r="332" spans="15:15" x14ac:dyDescent="0.25">
      <c r="O332" s="22" t="s">
        <v>2753</v>
      </c>
    </row>
    <row r="333" spans="15:15" x14ac:dyDescent="0.25">
      <c r="O333" s="22" t="s">
        <v>2754</v>
      </c>
    </row>
    <row r="334" spans="15:15" x14ac:dyDescent="0.25">
      <c r="O334" s="22" t="s">
        <v>2755</v>
      </c>
    </row>
    <row r="335" spans="15:15" x14ac:dyDescent="0.25">
      <c r="O335" s="22" t="s">
        <v>2756</v>
      </c>
    </row>
    <row r="336" spans="15:15" x14ac:dyDescent="0.25">
      <c r="O336" s="22" t="s">
        <v>2757</v>
      </c>
    </row>
    <row r="337" spans="15:15" x14ac:dyDescent="0.25">
      <c r="O337" s="22" t="s">
        <v>2758</v>
      </c>
    </row>
    <row r="338" spans="15:15" x14ac:dyDescent="0.25">
      <c r="O338" s="22" t="s">
        <v>2759</v>
      </c>
    </row>
    <row r="339" spans="15:15" x14ac:dyDescent="0.25">
      <c r="O339" s="22" t="s">
        <v>2760</v>
      </c>
    </row>
    <row r="340" spans="15:15" x14ac:dyDescent="0.25">
      <c r="O340" s="22" t="s">
        <v>2761</v>
      </c>
    </row>
    <row r="341" spans="15:15" x14ac:dyDescent="0.25">
      <c r="O341" s="22" t="s">
        <v>2762</v>
      </c>
    </row>
    <row r="342" spans="15:15" x14ac:dyDescent="0.25">
      <c r="O342" s="22" t="s">
        <v>2763</v>
      </c>
    </row>
    <row r="343" spans="15:15" x14ac:dyDescent="0.25">
      <c r="O343" s="22" t="s">
        <v>2764</v>
      </c>
    </row>
    <row r="344" spans="15:15" x14ac:dyDescent="0.25">
      <c r="O344" s="22" t="s">
        <v>2765</v>
      </c>
    </row>
    <row r="345" spans="15:15" x14ac:dyDescent="0.25">
      <c r="O345" s="22" t="s">
        <v>2766</v>
      </c>
    </row>
    <row r="346" spans="15:15" x14ac:dyDescent="0.25">
      <c r="O346" s="22" t="s">
        <v>2767</v>
      </c>
    </row>
    <row r="347" spans="15:15" x14ac:dyDescent="0.25">
      <c r="O347" s="22" t="s">
        <v>2768</v>
      </c>
    </row>
    <row r="348" spans="15:15" x14ac:dyDescent="0.25">
      <c r="O348" s="22" t="s">
        <v>2769</v>
      </c>
    </row>
    <row r="349" spans="15:15" x14ac:dyDescent="0.25">
      <c r="O349" s="22" t="s">
        <v>2770</v>
      </c>
    </row>
    <row r="350" spans="15:15" x14ac:dyDescent="0.25">
      <c r="O350" s="22" t="s">
        <v>2771</v>
      </c>
    </row>
    <row r="351" spans="15:15" x14ac:dyDescent="0.25">
      <c r="O351" s="22" t="s">
        <v>2772</v>
      </c>
    </row>
    <row r="352" spans="15:15" x14ac:dyDescent="0.25">
      <c r="O352" s="22" t="s">
        <v>2773</v>
      </c>
    </row>
    <row r="353" spans="15:15" x14ac:dyDescent="0.25">
      <c r="O353" s="22" t="s">
        <v>2774</v>
      </c>
    </row>
    <row r="354" spans="15:15" x14ac:dyDescent="0.25">
      <c r="O354" s="22" t="s">
        <v>2775</v>
      </c>
    </row>
    <row r="355" spans="15:15" x14ac:dyDescent="0.25">
      <c r="O355" s="22" t="s">
        <v>2776</v>
      </c>
    </row>
    <row r="356" spans="15:15" x14ac:dyDescent="0.25">
      <c r="O356" s="22" t="s">
        <v>2777</v>
      </c>
    </row>
    <row r="357" spans="15:15" x14ac:dyDescent="0.25">
      <c r="O357" s="22" t="s">
        <v>2778</v>
      </c>
    </row>
    <row r="358" spans="15:15" x14ac:dyDescent="0.25">
      <c r="O358" s="22" t="s">
        <v>2779</v>
      </c>
    </row>
    <row r="359" spans="15:15" x14ac:dyDescent="0.25">
      <c r="O359" s="22" t="s">
        <v>2780</v>
      </c>
    </row>
    <row r="360" spans="15:15" x14ac:dyDescent="0.25">
      <c r="O360" s="22" t="s">
        <v>2781</v>
      </c>
    </row>
    <row r="361" spans="15:15" x14ac:dyDescent="0.25">
      <c r="O361" s="22" t="s">
        <v>2782</v>
      </c>
    </row>
    <row r="362" spans="15:15" x14ac:dyDescent="0.25">
      <c r="O362" s="22" t="s">
        <v>2783</v>
      </c>
    </row>
    <row r="363" spans="15:15" x14ac:dyDescent="0.25">
      <c r="O363" s="22" t="s">
        <v>3039</v>
      </c>
    </row>
    <row r="364" spans="15:15" x14ac:dyDescent="0.25">
      <c r="O364" s="22" t="s">
        <v>3039</v>
      </c>
    </row>
    <row r="365" spans="15:15" x14ac:dyDescent="0.25">
      <c r="O365" s="22" t="s">
        <v>2784</v>
      </c>
    </row>
    <row r="366" spans="15:15" x14ac:dyDescent="0.25">
      <c r="O366" s="22" t="s">
        <v>2785</v>
      </c>
    </row>
    <row r="367" spans="15:15" x14ac:dyDescent="0.25">
      <c r="O367" s="22" t="s">
        <v>2786</v>
      </c>
    </row>
    <row r="368" spans="15:15" x14ac:dyDescent="0.25">
      <c r="O368" s="22" t="s">
        <v>2787</v>
      </c>
    </row>
    <row r="369" spans="15:15" x14ac:dyDescent="0.25">
      <c r="O369" s="22" t="s">
        <v>2788</v>
      </c>
    </row>
    <row r="370" spans="15:15" x14ac:dyDescent="0.25">
      <c r="O370" s="22" t="s">
        <v>2789</v>
      </c>
    </row>
    <row r="371" spans="15:15" x14ac:dyDescent="0.25">
      <c r="O371" s="22" t="s">
        <v>2790</v>
      </c>
    </row>
    <row r="372" spans="15:15" x14ac:dyDescent="0.25">
      <c r="O372" s="22" t="s">
        <v>2791</v>
      </c>
    </row>
    <row r="373" spans="15:15" x14ac:dyDescent="0.25">
      <c r="O373" s="22" t="s">
        <v>2792</v>
      </c>
    </row>
    <row r="374" spans="15:15" x14ac:dyDescent="0.25">
      <c r="O374" s="22" t="s">
        <v>2793</v>
      </c>
    </row>
    <row r="375" spans="15:15" x14ac:dyDescent="0.25">
      <c r="O375" s="22" t="s">
        <v>2794</v>
      </c>
    </row>
    <row r="376" spans="15:15" x14ac:dyDescent="0.25">
      <c r="O376" s="22" t="s">
        <v>2795</v>
      </c>
    </row>
    <row r="377" spans="15:15" x14ac:dyDescent="0.25">
      <c r="O377" s="22" t="s">
        <v>2796</v>
      </c>
    </row>
    <row r="378" spans="15:15" x14ac:dyDescent="0.25">
      <c r="O378" s="22" t="s">
        <v>2797</v>
      </c>
    </row>
    <row r="379" spans="15:15" x14ac:dyDescent="0.25">
      <c r="O379" s="22" t="s">
        <v>2798</v>
      </c>
    </row>
    <row r="380" spans="15:15" x14ac:dyDescent="0.25">
      <c r="O380" s="22" t="s">
        <v>2799</v>
      </c>
    </row>
    <row r="381" spans="15:15" x14ac:dyDescent="0.25">
      <c r="O381" s="22" t="s">
        <v>2800</v>
      </c>
    </row>
    <row r="382" spans="15:15" x14ac:dyDescent="0.25">
      <c r="O382" s="22" t="s">
        <v>2801</v>
      </c>
    </row>
    <row r="383" spans="15:15" x14ac:dyDescent="0.25">
      <c r="O383" s="22" t="s">
        <v>2802</v>
      </c>
    </row>
    <row r="384" spans="15:15" x14ac:dyDescent="0.25">
      <c r="O384" s="22" t="s">
        <v>2803</v>
      </c>
    </row>
    <row r="385" spans="15:15" x14ac:dyDescent="0.25">
      <c r="O385" s="22" t="s">
        <v>2804</v>
      </c>
    </row>
    <row r="386" spans="15:15" x14ac:dyDescent="0.25">
      <c r="O386" s="22" t="s">
        <v>2805</v>
      </c>
    </row>
    <row r="387" spans="15:15" x14ac:dyDescent="0.25">
      <c r="O387" s="22" t="s">
        <v>2806</v>
      </c>
    </row>
    <row r="388" spans="15:15" x14ac:dyDescent="0.25">
      <c r="O388" s="22" t="s">
        <v>2807</v>
      </c>
    </row>
    <row r="389" spans="15:15" x14ac:dyDescent="0.25">
      <c r="O389" s="22" t="s">
        <v>3040</v>
      </c>
    </row>
    <row r="390" spans="15:15" x14ac:dyDescent="0.25">
      <c r="O390" s="22" t="s">
        <v>3040</v>
      </c>
    </row>
    <row r="391" spans="15:15" x14ac:dyDescent="0.25">
      <c r="O391" s="22" t="s">
        <v>2808</v>
      </c>
    </row>
    <row r="392" spans="15:15" x14ac:dyDescent="0.25">
      <c r="O392" s="22" t="s">
        <v>2809</v>
      </c>
    </row>
    <row r="393" spans="15:15" x14ac:dyDescent="0.25">
      <c r="O393" s="22" t="s">
        <v>2810</v>
      </c>
    </row>
    <row r="394" spans="15:15" x14ac:dyDescent="0.25">
      <c r="O394" s="22" t="s">
        <v>2811</v>
      </c>
    </row>
    <row r="395" spans="15:15" x14ac:dyDescent="0.25">
      <c r="O395" s="22" t="s">
        <v>2812</v>
      </c>
    </row>
    <row r="396" spans="15:15" x14ac:dyDescent="0.25">
      <c r="O396" s="22" t="s">
        <v>2813</v>
      </c>
    </row>
    <row r="397" spans="15:15" x14ac:dyDescent="0.25">
      <c r="O397" s="22" t="s">
        <v>2814</v>
      </c>
    </row>
    <row r="398" spans="15:15" x14ac:dyDescent="0.25">
      <c r="O398" s="22" t="s">
        <v>2815</v>
      </c>
    </row>
    <row r="399" spans="15:15" x14ac:dyDescent="0.25">
      <c r="O399" s="22" t="s">
        <v>2816</v>
      </c>
    </row>
    <row r="400" spans="15:15" x14ac:dyDescent="0.25">
      <c r="O400" s="22" t="s">
        <v>2817</v>
      </c>
    </row>
    <row r="401" spans="15:15" x14ac:dyDescent="0.25">
      <c r="O401" s="22" t="s">
        <v>2818</v>
      </c>
    </row>
    <row r="402" spans="15:15" x14ac:dyDescent="0.25">
      <c r="O402" s="22" t="s">
        <v>2819</v>
      </c>
    </row>
    <row r="403" spans="15:15" x14ac:dyDescent="0.25">
      <c r="O403" s="22" t="s">
        <v>2820</v>
      </c>
    </row>
    <row r="404" spans="15:15" x14ac:dyDescent="0.25">
      <c r="O404" s="22" t="s">
        <v>2821</v>
      </c>
    </row>
    <row r="405" spans="15:15" x14ac:dyDescent="0.25">
      <c r="O405" s="22" t="s">
        <v>2822</v>
      </c>
    </row>
    <row r="406" spans="15:15" x14ac:dyDescent="0.25">
      <c r="O406" s="22" t="s">
        <v>2823</v>
      </c>
    </row>
    <row r="407" spans="15:15" x14ac:dyDescent="0.25">
      <c r="O407" s="22" t="s">
        <v>2824</v>
      </c>
    </row>
    <row r="408" spans="15:15" x14ac:dyDescent="0.25">
      <c r="O408" s="22" t="s">
        <v>3041</v>
      </c>
    </row>
    <row r="409" spans="15:15" x14ac:dyDescent="0.25">
      <c r="O409" s="22" t="s">
        <v>3041</v>
      </c>
    </row>
    <row r="410" spans="15:15" x14ac:dyDescent="0.25">
      <c r="O410" s="22" t="s">
        <v>2825</v>
      </c>
    </row>
    <row r="411" spans="15:15" x14ac:dyDescent="0.25">
      <c r="O411" s="22" t="s">
        <v>2826</v>
      </c>
    </row>
    <row r="412" spans="15:15" x14ac:dyDescent="0.25">
      <c r="O412" s="22" t="s">
        <v>2827</v>
      </c>
    </row>
    <row r="413" spans="15:15" x14ac:dyDescent="0.25">
      <c r="O413" s="22" t="s">
        <v>2828</v>
      </c>
    </row>
    <row r="414" spans="15:15" x14ac:dyDescent="0.25">
      <c r="O414" s="22" t="s">
        <v>2829</v>
      </c>
    </row>
    <row r="415" spans="15:15" x14ac:dyDescent="0.25">
      <c r="O415" s="22" t="s">
        <v>3251</v>
      </c>
    </row>
    <row r="416" spans="15:15" x14ac:dyDescent="0.25">
      <c r="O416" s="22" t="s">
        <v>2830</v>
      </c>
    </row>
    <row r="417" spans="15:15" x14ac:dyDescent="0.25">
      <c r="O417" s="22" t="s">
        <v>2831</v>
      </c>
    </row>
    <row r="418" spans="15:15" x14ac:dyDescent="0.25">
      <c r="O418" s="22" t="s">
        <v>2832</v>
      </c>
    </row>
    <row r="419" spans="15:15" x14ac:dyDescent="0.25">
      <c r="O419" s="22" t="s">
        <v>2833</v>
      </c>
    </row>
    <row r="420" spans="15:15" x14ac:dyDescent="0.25">
      <c r="O420" s="22" t="s">
        <v>2834</v>
      </c>
    </row>
    <row r="421" spans="15:15" x14ac:dyDescent="0.25">
      <c r="O421" s="22" t="s">
        <v>2835</v>
      </c>
    </row>
    <row r="422" spans="15:15" x14ac:dyDescent="0.25">
      <c r="O422" s="22" t="s">
        <v>2836</v>
      </c>
    </row>
    <row r="423" spans="15:15" x14ac:dyDescent="0.25">
      <c r="O423" s="22" t="s">
        <v>2914</v>
      </c>
    </row>
    <row r="424" spans="15:15" x14ac:dyDescent="0.25">
      <c r="O424" s="22" t="s">
        <v>2837</v>
      </c>
    </row>
    <row r="425" spans="15:15" x14ac:dyDescent="0.25">
      <c r="O425" s="22" t="s">
        <v>2838</v>
      </c>
    </row>
    <row r="426" spans="15:15" x14ac:dyDescent="0.25">
      <c r="O426" s="22" t="s">
        <v>2839</v>
      </c>
    </row>
    <row r="427" spans="15:15" x14ac:dyDescent="0.25">
      <c r="O427" s="22" t="s">
        <v>2840</v>
      </c>
    </row>
    <row r="428" spans="15:15" x14ac:dyDescent="0.25">
      <c r="O428" s="22" t="s">
        <v>2841</v>
      </c>
    </row>
    <row r="429" spans="15:15" x14ac:dyDescent="0.25">
      <c r="O429" s="22" t="s">
        <v>3250</v>
      </c>
    </row>
    <row r="430" spans="15:15" x14ac:dyDescent="0.25">
      <c r="O430" s="22" t="s">
        <v>2842</v>
      </c>
    </row>
    <row r="431" spans="15:15" x14ac:dyDescent="0.25">
      <c r="O431" s="22" t="s">
        <v>2843</v>
      </c>
    </row>
    <row r="432" spans="15:15" x14ac:dyDescent="0.25">
      <c r="O432" s="22" t="s">
        <v>2844</v>
      </c>
    </row>
    <row r="433" spans="15:15" x14ac:dyDescent="0.25">
      <c r="O433" s="22" t="s">
        <v>2845</v>
      </c>
    </row>
    <row r="434" spans="15:15" x14ac:dyDescent="0.25">
      <c r="O434" s="22" t="s">
        <v>2915</v>
      </c>
    </row>
    <row r="435" spans="15:15" x14ac:dyDescent="0.25">
      <c r="O435" s="22" t="s">
        <v>2424</v>
      </c>
    </row>
    <row r="436" spans="15:15" x14ac:dyDescent="0.25">
      <c r="O436" s="22" t="s">
        <v>2846</v>
      </c>
    </row>
    <row r="437" spans="15:15" x14ac:dyDescent="0.25">
      <c r="O437" s="22" t="s">
        <v>2847</v>
      </c>
    </row>
    <row r="438" spans="15:15" x14ac:dyDescent="0.25">
      <c r="O438" s="22" t="s">
        <v>2848</v>
      </c>
    </row>
    <row r="439" spans="15:15" x14ac:dyDescent="0.25">
      <c r="O439" s="22" t="s">
        <v>2849</v>
      </c>
    </row>
    <row r="440" spans="15:15" x14ac:dyDescent="0.25">
      <c r="O440" s="22" t="s">
        <v>3249</v>
      </c>
    </row>
    <row r="441" spans="15:15" x14ac:dyDescent="0.25">
      <c r="O441" s="22" t="s">
        <v>2850</v>
      </c>
    </row>
    <row r="442" spans="15:15" x14ac:dyDescent="0.25">
      <c r="O442" s="22" t="s">
        <v>2851</v>
      </c>
    </row>
    <row r="443" spans="15:15" x14ac:dyDescent="0.25">
      <c r="O443" s="22" t="s">
        <v>2852</v>
      </c>
    </row>
    <row r="444" spans="15:15" x14ac:dyDescent="0.25">
      <c r="O444" s="22" t="s">
        <v>2853</v>
      </c>
    </row>
    <row r="445" spans="15:15" x14ac:dyDescent="0.25">
      <c r="O445" s="22" t="s">
        <v>2854</v>
      </c>
    </row>
    <row r="446" spans="15:15" x14ac:dyDescent="0.25">
      <c r="O446" s="22" t="s">
        <v>2855</v>
      </c>
    </row>
    <row r="447" spans="15:15" x14ac:dyDescent="0.25">
      <c r="O447" s="22" t="s">
        <v>2856</v>
      </c>
    </row>
    <row r="448" spans="15:15" x14ac:dyDescent="0.25">
      <c r="O448" s="22" t="s">
        <v>2916</v>
      </c>
    </row>
    <row r="449" spans="15:15" x14ac:dyDescent="0.25">
      <c r="O449" s="22" t="s">
        <v>2857</v>
      </c>
    </row>
    <row r="450" spans="15:15" x14ac:dyDescent="0.25">
      <c r="O450" s="22" t="s">
        <v>2917</v>
      </c>
    </row>
    <row r="451" spans="15:15" x14ac:dyDescent="0.25">
      <c r="O451" s="22" t="s">
        <v>2918</v>
      </c>
    </row>
    <row r="452" spans="15:15" x14ac:dyDescent="0.25">
      <c r="O452" s="22" t="s">
        <v>2858</v>
      </c>
    </row>
    <row r="453" spans="15:15" x14ac:dyDescent="0.25">
      <c r="O453" s="22" t="s">
        <v>2859</v>
      </c>
    </row>
    <row r="454" spans="15:15" x14ac:dyDescent="0.25">
      <c r="O454" s="22" t="s">
        <v>2860</v>
      </c>
    </row>
    <row r="455" spans="15:15" x14ac:dyDescent="0.25">
      <c r="O455" s="22" t="s">
        <v>2861</v>
      </c>
    </row>
    <row r="456" spans="15:15" x14ac:dyDescent="0.25">
      <c r="O456" s="22" t="s">
        <v>3252</v>
      </c>
    </row>
    <row r="457" spans="15:15" x14ac:dyDescent="0.25">
      <c r="O457" s="22" t="s">
        <v>2862</v>
      </c>
    </row>
    <row r="458" spans="15:15" x14ac:dyDescent="0.25">
      <c r="O458" s="22" t="s">
        <v>2863</v>
      </c>
    </row>
    <row r="459" spans="15:15" x14ac:dyDescent="0.25">
      <c r="O459" s="22" t="s">
        <v>2864</v>
      </c>
    </row>
    <row r="460" spans="15:15" x14ac:dyDescent="0.25">
      <c r="O460" s="22" t="s">
        <v>2865</v>
      </c>
    </row>
    <row r="461" spans="15:15" x14ac:dyDescent="0.25">
      <c r="O461" s="22" t="s">
        <v>2866</v>
      </c>
    </row>
    <row r="462" spans="15:15" x14ac:dyDescent="0.25">
      <c r="O462" s="22" t="s">
        <v>2422</v>
      </c>
    </row>
    <row r="463" spans="15:15" x14ac:dyDescent="0.25">
      <c r="O463" s="22" t="s">
        <v>2867</v>
      </c>
    </row>
    <row r="464" spans="15:15" x14ac:dyDescent="0.25">
      <c r="O464" s="22" t="s">
        <v>2868</v>
      </c>
    </row>
    <row r="465" spans="15:15" x14ac:dyDescent="0.25">
      <c r="O465" s="22" t="s">
        <v>2869</v>
      </c>
    </row>
    <row r="466" spans="15:15" x14ac:dyDescent="0.25">
      <c r="O466" s="22" t="s">
        <v>3248</v>
      </c>
    </row>
    <row r="467" spans="15:15" x14ac:dyDescent="0.25">
      <c r="O467" s="22" t="s">
        <v>2870</v>
      </c>
    </row>
    <row r="468" spans="15:15" x14ac:dyDescent="0.25">
      <c r="O468" s="22" t="s">
        <v>2871</v>
      </c>
    </row>
    <row r="469" spans="15:15" x14ac:dyDescent="0.25">
      <c r="O469" s="22" t="s">
        <v>2872</v>
      </c>
    </row>
    <row r="470" spans="15:15" x14ac:dyDescent="0.25">
      <c r="O470" s="22" t="s">
        <v>2873</v>
      </c>
    </row>
    <row r="471" spans="15:15" x14ac:dyDescent="0.25">
      <c r="O471" s="22" t="s">
        <v>2874</v>
      </c>
    </row>
    <row r="472" spans="15:15" x14ac:dyDescent="0.25">
      <c r="O472" s="22" t="s">
        <v>2913</v>
      </c>
    </row>
    <row r="473" spans="15:15" x14ac:dyDescent="0.25">
      <c r="O473" s="22" t="s">
        <v>2875</v>
      </c>
    </row>
    <row r="474" spans="15:15" x14ac:dyDescent="0.25">
      <c r="O474" s="22" t="s">
        <v>2876</v>
      </c>
    </row>
    <row r="475" spans="15:15" x14ac:dyDescent="0.25">
      <c r="O475" s="22" t="s">
        <v>2877</v>
      </c>
    </row>
    <row r="476" spans="15:15" x14ac:dyDescent="0.25">
      <c r="O476" s="22" t="s">
        <v>2878</v>
      </c>
    </row>
    <row r="477" spans="15:15" x14ac:dyDescent="0.25">
      <c r="O477" s="22" t="s">
        <v>2879</v>
      </c>
    </row>
    <row r="478" spans="15:15" x14ac:dyDescent="0.25">
      <c r="O478" s="22" t="s">
        <v>2880</v>
      </c>
    </row>
    <row r="479" spans="15:15" x14ac:dyDescent="0.25">
      <c r="O479" s="22" t="s">
        <v>2881</v>
      </c>
    </row>
    <row r="480" spans="15:15" x14ac:dyDescent="0.25">
      <c r="O480" s="22" t="s">
        <v>2919</v>
      </c>
    </row>
    <row r="481" spans="15:15" x14ac:dyDescent="0.25">
      <c r="O481" s="22" t="s">
        <v>2882</v>
      </c>
    </row>
    <row r="482" spans="15:15" x14ac:dyDescent="0.25">
      <c r="O482" s="22" t="s">
        <v>2883</v>
      </c>
    </row>
    <row r="483" spans="15:15" x14ac:dyDescent="0.25">
      <c r="O483" s="22" t="s">
        <v>2884</v>
      </c>
    </row>
    <row r="484" spans="15:15" x14ac:dyDescent="0.25">
      <c r="O484" s="22" t="s">
        <v>2885</v>
      </c>
    </row>
    <row r="485" spans="15:15" x14ac:dyDescent="0.25">
      <c r="O485" s="22" t="s">
        <v>2886</v>
      </c>
    </row>
    <row r="486" spans="15:15" x14ac:dyDescent="0.25">
      <c r="O486" s="22" t="s">
        <v>2887</v>
      </c>
    </row>
    <row r="487" spans="15:15" x14ac:dyDescent="0.25">
      <c r="O487" s="22" t="s">
        <v>2888</v>
      </c>
    </row>
    <row r="488" spans="15:15" x14ac:dyDescent="0.25">
      <c r="O488" s="22" t="s">
        <v>2889</v>
      </c>
    </row>
    <row r="489" spans="15:15" x14ac:dyDescent="0.25">
      <c r="O489" s="22" t="s">
        <v>2890</v>
      </c>
    </row>
    <row r="490" spans="15:15" x14ac:dyDescent="0.25">
      <c r="O490" s="22" t="s">
        <v>2891</v>
      </c>
    </row>
    <row r="491" spans="15:15" x14ac:dyDescent="0.25">
      <c r="O491" s="22" t="s">
        <v>2892</v>
      </c>
    </row>
    <row r="492" spans="15:15" x14ac:dyDescent="0.25">
      <c r="O492" s="22" t="s">
        <v>2893</v>
      </c>
    </row>
    <row r="493" spans="15:15" x14ac:dyDescent="0.25">
      <c r="O493" s="22" t="s">
        <v>2894</v>
      </c>
    </row>
    <row r="494" spans="15:15" x14ac:dyDescent="0.25">
      <c r="O494" s="22" t="s">
        <v>2895</v>
      </c>
    </row>
    <row r="495" spans="15:15" x14ac:dyDescent="0.25">
      <c r="O495" s="22" t="s">
        <v>2896</v>
      </c>
    </row>
    <row r="496" spans="15:15" x14ac:dyDescent="0.25">
      <c r="O496" s="22" t="s">
        <v>2897</v>
      </c>
    </row>
    <row r="497" spans="15:15" x14ac:dyDescent="0.25">
      <c r="O497" s="22" t="s">
        <v>2898</v>
      </c>
    </row>
    <row r="498" spans="15:15" x14ac:dyDescent="0.25">
      <c r="O498" s="22" t="s">
        <v>2899</v>
      </c>
    </row>
    <row r="499" spans="15:15" x14ac:dyDescent="0.25">
      <c r="O499" s="22" t="s">
        <v>2900</v>
      </c>
    </row>
    <row r="500" spans="15:15" x14ac:dyDescent="0.25">
      <c r="O500" s="22" t="s">
        <v>2901</v>
      </c>
    </row>
    <row r="501" spans="15:15" x14ac:dyDescent="0.25">
      <c r="O501" s="22" t="s">
        <v>2902</v>
      </c>
    </row>
    <row r="502" spans="15:15" x14ac:dyDescent="0.25">
      <c r="O502" s="22" t="s">
        <v>2903</v>
      </c>
    </row>
    <row r="503" spans="15:15" x14ac:dyDescent="0.25">
      <c r="O503" s="22" t="s">
        <v>2904</v>
      </c>
    </row>
    <row r="504" spans="15:15" x14ac:dyDescent="0.25">
      <c r="O504" s="22" t="s">
        <v>2905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5</vt:i4>
      </vt:variant>
    </vt:vector>
  </HeadingPairs>
  <TitlesOfParts>
    <vt:vector size="13" baseType="lpstr">
      <vt:lpstr>메인</vt:lpstr>
      <vt:lpstr>인덴트관리</vt:lpstr>
      <vt:lpstr>PO관리</vt:lpstr>
      <vt:lpstr>PO관리툴</vt:lpstr>
      <vt:lpstr>dupl_po</vt:lpstr>
      <vt:lpstr>code</vt:lpstr>
      <vt:lpstr>validation</vt:lpstr>
      <vt:lpstr>매출채권</vt:lpstr>
      <vt:lpstr>부서명</vt:lpstr>
      <vt:lpstr>시즌년도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2021-10-27T08:42:21Z</dcterms:modified>
</cp:coreProperties>
</file>