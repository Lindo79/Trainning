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BB8725E1-02B7-4BDD-A155-C61ECE52DCEA}" xr6:coauthVersionLast="47" xr6:coauthVersionMax="47" xr10:uidLastSave="{00000000-0000-0000-0000-000000000000}"/>
  <bookViews>
    <workbookView xWindow="38290" yWindow="-110" windowWidth="29020" windowHeight="15820" activeTab="3" xr2:uid="{76938E8D-66E0-49BD-A941-AB682D8F9E78}"/>
  </bookViews>
  <sheets>
    <sheet name="메인" sheetId="8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r:id="rId6"/>
    <sheet name="회사관리" sheetId="33" r:id="rId7"/>
    <sheet name="Order Recap" sheetId="14" state="hidden" r:id="rId8"/>
    <sheet name="dupl_po" sheetId="12" state="hidden" r:id="rId9"/>
    <sheet name="code" sheetId="7" state="hidden" r:id="rId10"/>
    <sheet name="validation" sheetId="11" state="hidden" r:id="rId11"/>
    <sheet name="매출채권" sheetId="4" state="hidden" r:id="rId12"/>
  </sheets>
  <functionGroups builtInGroupCount="19"/>
  <definedNames>
    <definedName name="_xlnm._FilterDatabase" localSheetId="3" hidden="1">PO관리!$A$4:$M$931</definedName>
    <definedName name="_xlnm._FilterDatabase" localSheetId="4" hidden="1">PO관리툴!$B$6:$Q$201</definedName>
    <definedName name="_xlnm._FilterDatabase" localSheetId="2" hidden="1">인덴트관리!$A$4:$N$4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code!$B$2:$B$7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" i="8" l="1"/>
  <c r="I5" i="13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<sst xmlns="http://schemas.openxmlformats.org/spreadsheetml/2006/main" count="17894" uniqueCount="4408">
  <si>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</si>
  <si>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</si>
  <si>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</si>
  <si>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</si>
  <si>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</si>
  <si>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</si>
  <si>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</si>
  <si>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</si>
  <si>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</si>
  <si>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</si>
  <si>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</si>
  <si>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</si>
  <si>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</si>
  <si>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</si>
  <si>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</si>
  <si>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</si>
  <si>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</si>
  <si>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</si>
  <si>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</si>
  <si>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</si>
  <si>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</si>
  <si>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</si>
  <si>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</si>
  <si>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</si>
  <si>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</si>
  <si>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</si>
  <si>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</si>
  <si>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</si>
  <si>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</si>
  <si>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</si>
  <si>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</si>
  <si>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</si>
  <si>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</si>
  <si>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</si>
  <si>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</si>
  <si>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</si>
  <si>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</si>
  <si>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</si>
  <si>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</si>
  <si>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</si>
  <si>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</si>
  <si>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</si>
  <si>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</si>
  <si>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</si>
  <si>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</si>
  <si>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</si>
  <si>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</si>
  <si>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</si>
  <si>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</si>
  <si>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</si>
  <si>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</si>
  <si>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</si>
  <si>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</si>
  <si>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</si>
  <si>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</si>
  <si>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</si>
  <si>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</si>
  <si>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</si>
  <si>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</si>
  <si>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</si>
  <si>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</si>
  <si>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</si>
  <si>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</si>
  <si>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</si>
  <si>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</si>
  <si>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</si>
  <si>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</si>
  <si>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</si>
  <si>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</si>
  <si>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</si>
  <si>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</si>
  <si>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</si>
  <si>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</si>
  <si>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</si>
  <si>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</si>
  <si>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</si>
  <si>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</si>
  <si>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</si>
  <si>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</si>
  <si>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</si>
  <si>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</si>
  <si>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</si>
  <si>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</si>
  <si>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</si>
  <si>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</si>
  <si>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</si>
  <si>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</si>
  <si>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</si>
  <si>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</si>
  <si>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</si>
  <si>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</si>
  <si>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</si>
  <si>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</si>
  <si>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</si>
  <si>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</si>
  <si>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</si>
  <si>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</si>
  <si>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</si>
  <si>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</si>
  <si>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</si>
  <si>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</si>
  <si>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</si>
  <si>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</si>
  <si>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</si>
  <si>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</si>
  <si>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</si>
  <si>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</si>
  <si>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</si>
  <si>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</si>
  <si>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</si>
  <si>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</si>
  <si>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</si>
  <si>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</si>
  <si>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</si>
  <si>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</si>
  <si>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</si>
  <si>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</si>
  <si>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</si>
  <si>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</si>
  <si>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</si>
  <si>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</si>
  <si>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</si>
  <si>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</si>
  <si>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</si>
  <si>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</si>
  <si>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</si>
  <si>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</si>
  <si>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</si>
  <si>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</si>
  <si>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</si>
  <si>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</si>
  <si>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</si>
  <si>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</si>
  <si>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</si>
  <si>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</si>
  <si>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</si>
  <si>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</si>
  <si>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</si>
  <si>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</si>
  <si>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</si>
  <si>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</si>
  <si>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</si>
  <si>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</si>
  <si>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</si>
  <si>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</si>
  <si>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</si>
  <si>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</si>
  <si>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</si>
  <si>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</si>
  <si>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</si>
  <si>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</si>
  <si>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</si>
  <si>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</si>
  <si>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</si>
  <si>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</si>
  <si>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</si>
  <si>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</si>
  <si>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</si>
  <si>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</si>
  <si>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</si>
  <si>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</si>
  <si>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</si>
  <si>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</si>
  <si>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</si>
  <si>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</si>
  <si>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</si>
  <si>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</si>
  <si>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</si>
  <si>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</si>
  <si>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</si>
  <si>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</si>
  <si>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</si>
  <si>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</si>
  <si>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</si>
  <si>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</si>
  <si>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</si>
  <si>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</si>
  <si>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</si>
  <si>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</si>
  <si>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</si>
  <si>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</si>
  <si>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</si>
  <si>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</si>
  <si>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</si>
  <si>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</si>
  <si>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</si>
  <si>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</si>
  <si>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</si>
  <si>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</si>
  <si>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</si>
  <si>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</si>
  <si>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</si>
  <si>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</si>
  <si>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</si>
  <si>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</si>
  <si>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</si>
  <si>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</si>
  <si>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</si>
  <si>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</si>
  <si>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</si>
  <si>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</si>
  <si>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</si>
  <si>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</si>
  <si>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</si>
  <si>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</si>
  <si>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</si>
  <si>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</si>
  <si>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</si>
  <si>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</si>
  <si>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</si>
  <si>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</si>
  <si>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</si>
  <si>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</si>
  <si>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</si>
  <si>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</si>
  <si>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</si>
  <si>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</si>
  <si>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</si>
  <si>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</si>
  <si>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</si>
  <si>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</si>
  <si>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</si>
  <si>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</si>
  <si>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</si>
  <si>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</si>
  <si>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</si>
  <si>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</si>
  <si>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</si>
  <si>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</si>
  <si>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</si>
  <si>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</si>
  <si>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</si>
  <si>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</si>
  <si>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</si>
  <si>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</si>
  <si>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</si>
  <si>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</si>
  <si>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</si>
  <si>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</si>
  <si>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</si>
  <si>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</si>
  <si>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</si>
  <si>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</si>
  <si>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</si>
  <si>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</si>
  <si>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</si>
  <si>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</si>
  <si>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</si>
  <si>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</si>
  <si>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</si>
  <si>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</si>
  <si>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</si>
  <si>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</si>
  <si>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</si>
  <si>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</si>
  <si>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</si>
  <si>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</si>
  <si>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</si>
  <si>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</si>
  <si>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</si>
  <si>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</si>
  <si>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</si>
  <si>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</si>
  <si>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</si>
  <si>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</si>
  <si>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</si>
  <si>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</si>
  <si>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</si>
  <si>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</si>
  <si>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</si>
  <si>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</si>
  <si>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</si>
  <si>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</si>
  <si>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</si>
  <si>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</si>
  <si>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</si>
  <si>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</si>
  <si>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</si>
  <si>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</si>
  <si>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</si>
  <si>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</si>
  <si>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</si>
  <si>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</si>
  <si>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</si>
  <si>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</si>
  <si>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</si>
  <si>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</si>
  <si>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</si>
  <si>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</si>
  <si>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</si>
  <si>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</si>
  <si>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</si>
  <si>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</si>
  <si>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</si>
  <si>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</si>
  <si>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</si>
  <si>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</si>
  <si>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</si>
  <si>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</si>
  <si>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</si>
  <si>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</si>
  <si>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</si>
  <si>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</si>
  <si>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</si>
  <si>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</si>
  <si>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</si>
  <si>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</si>
  <si>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</si>
  <si>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</si>
  <si>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</si>
  <si>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</si>
  <si>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</si>
  <si>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</si>
  <si>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</si>
  <si>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</si>
  <si>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</si>
  <si>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</si>
  <si>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</si>
  <si>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</si>
  <si>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</si>
  <si>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</si>
  <si>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</si>
  <si>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</si>
  <si>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</si>
  <si>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</si>
  <si>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</si>
  <si>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</si>
  <si>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</si>
  <si>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</si>
  <si>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</si>
  <si>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</si>
  <si>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</si>
  <si>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</si>
  <si>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</si>
  <si>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</si>
  <si>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</si>
  <si>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</si>
  <si>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</si>
  <si>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</si>
  <si>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</si>
  <si>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</si>
  <si>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</si>
  <si>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</si>
  <si>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</si>
  <si>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</si>
  <si>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</si>
  <si>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</si>
  <si>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</si>
  <si>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</si>
  <si>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</si>
  <si>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</si>
  <si>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</si>
  <si>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</si>
  <si>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</si>
  <si>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</si>
  <si>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</si>
  <si>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</si>
  <si>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</si>
  <si>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</si>
  <si>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</si>
  <si>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</si>
  <si>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</si>
  <si>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</si>
  <si>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</si>
  <si>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</si>
  <si>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</si>
  <si>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</si>
  <si>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</si>
  <si>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</si>
  <si>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</si>
  <si>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</si>
  <si>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</si>
  <si>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</si>
  <si>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</si>
  <si>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</si>
  <si>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</si>
  <si>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</si>
  <si>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</si>
  <si>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</si>
  <si>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</si>
  <si>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</si>
  <si>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</si>
  <si>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</si>
  <si>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</si>
  <si>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</si>
  <si>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</si>
  <si>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</si>
  <si>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</si>
  <si>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</si>
  <si>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</si>
  <si>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</si>
  <si>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</si>
  <si>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</si>
  <si>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</si>
  <si>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</si>
  <si>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</si>
  <si>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</si>
  <si>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</si>
  <si>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</si>
  <si>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</si>
  <si>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</si>
  <si>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</si>
  <si>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</si>
  <si>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</si>
  <si>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</si>
  <si>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</si>
  <si>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</si>
  <si>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</si>
  <si>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</si>
  <si>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</si>
  <si>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</si>
  <si>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</si>
  <si>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</si>
  <si>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</si>
  <si>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</si>
  <si>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</si>
  <si>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</si>
  <si>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</si>
  <si>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</si>
  <si>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</si>
  <si>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</si>
  <si>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</si>
  <si>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</si>
  <si>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</si>
  <si>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</si>
  <si>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</si>
  <si>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</si>
  <si>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</si>
  <si>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</si>
  <si>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</si>
  <si>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</si>
  <si>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</si>
  <si>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</si>
  <si>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</si>
  <si>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</si>
  <si>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</si>
  <si>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</si>
  <si>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</si>
  <si>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</si>
  <si>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</si>
  <si>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</si>
  <si>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</si>
  <si>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</si>
  <si>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</si>
  <si>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</si>
  <si>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</si>
  <si>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</si>
  <si>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</si>
  <si>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</si>
  <si>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</si>
  <si>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</si>
  <si>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</si>
  <si>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</si>
  <si>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</si>
  <si>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</si>
  <si>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</si>
  <si>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</si>
  <si>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</si>
  <si>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</si>
  <si>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</si>
  <si>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</si>
  <si>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</si>
  <si>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</si>
  <si>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</si>
  <si>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</si>
  <si>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</si>
  <si>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</si>
  <si>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</si>
  <si>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</si>
  <si>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</si>
  <si>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</si>
  <si>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</si>
  <si>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</si>
  <si>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</si>
  <si>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</si>
  <si>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</si>
  <si>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</si>
  <si>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</si>
  <si>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</si>
  <si>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</si>
  <si>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</si>
  <si>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</si>
  <si>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</si>
  <si>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</si>
  <si>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</si>
  <si>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</si>
  <si>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</si>
  <si>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</si>
  <si>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</si>
  <si>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</si>
  <si>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</si>
  <si>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</si>
  <si>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</si>
  <si>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</si>
  <si>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</si>
  <si>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</si>
  <si>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</si>
  <si>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</si>
  <si>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</si>
  <si>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</si>
  <si>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</si>
  <si>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</si>
  <si>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</si>
  <si>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</si>
  <si>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</si>
  <si>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</si>
  <si>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</si>
  <si>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</si>
  <si>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</si>
  <si>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</si>
  <si>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</si>
  <si>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</si>
  <si>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</si>
  <si>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</si>
  <si>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</si>
  <si>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</si>
  <si>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</si>
  <si>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</si>
  <si>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</si>
  <si>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</si>
  <si>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</si>
  <si>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</si>
  <si>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</si>
  <si>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</si>
  <si>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</si>
  <si>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</si>
  <si>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</si>
  <si>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</si>
  <si>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</si>
  <si>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</si>
  <si>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</si>
  <si>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</si>
  <si>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</si>
  <si>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</si>
  <si>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</si>
  <si>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</si>
  <si>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</si>
  <si>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</si>
  <si>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</si>
  <si>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</si>
  <si>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</si>
  <si>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</si>
  <si>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</si>
  <si>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</si>
  <si>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</si>
  <si>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</si>
  <si>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</si>
  <si>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</si>
  <si>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</si>
  <si>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</si>
  <si>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</si>
  <si>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</si>
  <si>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</si>
  <si>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</si>
  <si>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</si>
  <si>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</si>
  <si>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</si>
  <si>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</si>
  <si>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</si>
  <si>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</si>
  <si>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</si>
  <si>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</si>
  <si>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</si>
  <si>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</si>
  <si>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</si>
  <si>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</si>
  <si>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</si>
  <si>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</si>
  <si>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</si>
  <si>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</si>
  <si>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</si>
  <si>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</si>
  <si>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</si>
  <si>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</si>
  <si>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</si>
  <si>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</si>
  <si>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</si>
  <si>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</si>
  <si>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</si>
  <si>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</si>
  <si>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</si>
  <si>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</si>
  <si>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</si>
  <si>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</si>
  <si>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</si>
  <si>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</si>
  <si>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</si>
  <si>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</si>
  <si>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</si>
  <si>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</si>
  <si>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</si>
  <si>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</si>
  <si>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</si>
  <si>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</si>
  <si>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</si>
  <si>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</si>
  <si>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</si>
  <si>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</si>
  <si>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</si>
  <si>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</si>
  <si>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</si>
  <si>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</si>
  <si>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</si>
  <si>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</si>
  <si>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</si>
  <si>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</si>
  <si>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</si>
  <si>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</si>
  <si>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</si>
  <si>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</si>
  <si>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</si>
  <si>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</si>
  <si>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</si>
  <si>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</si>
  <si>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</si>
  <si>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</si>
  <si>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</si>
  <si>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</si>
  <si>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</si>
  <si>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</si>
  <si>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</si>
  <si>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</si>
  <si>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</si>
  <si>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</si>
  <si>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</si>
  <si>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</si>
  <si>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</si>
  <si>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</si>
  <si>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</si>
  <si>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</si>
  <si>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</si>
  <si>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</si>
  <si>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</si>
  <si>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</si>
  <si>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</si>
  <si>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</si>
  <si>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</si>
  <si>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</si>
  <si>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</si>
  <si>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</si>
  <si>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</si>
  <si>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</si>
  <si>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</si>
  <si>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</si>
  <si>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</si>
  <si>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</si>
  <si>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</si>
  <si>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</si>
  <si>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</si>
  <si>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</si>
  <si>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</si>
  <si>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</si>
  <si>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</si>
  <si>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</si>
  <si>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</si>
  <si>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</si>
  <si>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</si>
  <si>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</si>
  <si>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</si>
  <si>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</si>
  <si>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</si>
  <si>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</si>
  <si>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</si>
  <si>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</si>
  <si>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</si>
  <si>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</si>
  <si>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</si>
  <si>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</si>
  <si>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</si>
  <si>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</si>
  <si>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</si>
  <si>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</si>
  <si>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</si>
  <si>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</si>
  <si>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</si>
  <si>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</si>
  <si>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</si>
  <si>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</si>
  <si>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</si>
  <si>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</si>
  <si>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</si>
  <si>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</si>
  <si>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</si>
  <si>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</si>
  <si>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</si>
  <si>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</si>
  <si>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</si>
  <si>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</si>
  <si>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</si>
  <si>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</si>
  <si>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</si>
  <si>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</si>
  <si>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</si>
  <si>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</si>
  <si>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</si>
  <si>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</si>
  <si>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</si>
  <si>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</si>
  <si>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</si>
  <si>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</si>
  <si>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</si>
  <si>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</si>
  <si>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</si>
  <si>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</si>
  <si>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</si>
  <si>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</si>
  <si>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</si>
  <si>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</si>
  <si>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</si>
  <si>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</si>
  <si>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</si>
  <si>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</si>
  <si>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</si>
  <si>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</si>
  <si>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</si>
  <si>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</si>
  <si>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</si>
  <si>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</si>
  <si>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</si>
  <si>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</si>
  <si>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</si>
  <si>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</si>
  <si>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</si>
  <si>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</si>
  <si>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</si>
  <si>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</si>
  <si>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</si>
  <si>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</si>
  <si>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</si>
  <si>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</si>
  <si>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</si>
  <si>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</si>
  <si>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</si>
  <si>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</si>
  <si>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</si>
  <si>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</si>
  <si>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</si>
  <si>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</si>
  <si>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</si>
  <si>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</si>
  <si>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</si>
  <si>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</si>
  <si>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</si>
  <si>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</si>
  <si>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</si>
  <si>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</si>
  <si>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</si>
  <si>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</si>
  <si>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</si>
  <si>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</si>
  <si>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</si>
  <si>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</si>
  <si>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</si>
  <si>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</si>
  <si>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</si>
  <si>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</si>
  <si>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</si>
  <si>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</si>
  <si>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</si>
  <si>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</si>
  <si>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</si>
  <si>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</si>
  <si>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</si>
  <si>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</si>
  <si>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</si>
  <si>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</si>
  <si>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</si>
  <si>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</si>
  <si>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</si>
  <si>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</si>
  <si>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</si>
  <si>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</si>
  <si>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</si>
  <si>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</si>
  <si>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</si>
  <si>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</si>
  <si>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</si>
  <si>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</si>
  <si>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</si>
  <si>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</si>
  <si>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</si>
  <si>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</si>
  <si>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</si>
  <si>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</si>
  <si>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</si>
  <si>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</si>
  <si>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</si>
  <si>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</si>
  <si>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</si>
  <si>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</si>
  <si>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</si>
  <si>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</si>
  <si>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</si>
  <si>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</si>
  <si>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</si>
  <si>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</si>
  <si>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</si>
  <si>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</si>
  <si>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</si>
  <si>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</si>
  <si>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</si>
  <si>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</si>
  <si>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</si>
  <si>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</si>
  <si>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</si>
  <si>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</si>
  <si>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</si>
  <si>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</si>
  <si>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</si>
  <si>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</si>
  <si>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</si>
  <si>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</si>
  <si>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</si>
  <si>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</si>
  <si>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</si>
  <si>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</si>
  <si>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</si>
  <si>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</si>
  <si>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</si>
  <si>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</si>
  <si>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</si>
  <si>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</si>
  <si>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</si>
  <si>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</si>
  <si>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</si>
  <si>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</si>
  <si>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</si>
  <si>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</si>
  <si>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</si>
  <si>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</si>
  <si>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</si>
  <si>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</si>
  <si>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</si>
  <si>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</si>
  <si>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</si>
  <si>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</si>
  <si>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</si>
  <si>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</si>
  <si>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</si>
  <si>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</si>
  <si>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</si>
  <si>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</si>
  <si>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</si>
  <si>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</si>
  <si>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</si>
  <si>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</si>
  <si>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</si>
  <si>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</si>
  <si>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</si>
  <si>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</si>
  <si>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</si>
  <si>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</si>
  <si>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</si>
  <si>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</si>
  <si>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</si>
  <si>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</si>
  <si>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</si>
  <si>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</si>
  <si>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</si>
  <si>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</si>
  <si>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</si>
  <si>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</si>
  <si>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</si>
  <si>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</si>
  <si>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</si>
  <si>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</si>
  <si>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</si>
  <si>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</si>
  <si>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</si>
  <si>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</si>
  <si>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</si>
  <si>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</si>
  <si>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</si>
  <si>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</si>
  <si>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</si>
  <si>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</si>
  <si>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</si>
  <si>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</si>
  <si>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</si>
  <si>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</si>
  <si>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</si>
  <si>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</si>
  <si>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</si>
  <si>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</si>
  <si>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</si>
  <si>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</si>
  <si>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</si>
  <si>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</si>
  <si>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</si>
  <si>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</si>
  <si>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</si>
  <si>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</si>
  <si>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</si>
  <si>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</si>
  <si>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</si>
  <si>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</si>
  <si>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</si>
  <si>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</si>
  <si>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</si>
  <si>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</si>
  <si>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</si>
  <si>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</si>
  <si>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</si>
  <si>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</si>
  <si>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</si>
  <si>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</si>
  <si>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</si>
  <si>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</si>
  <si>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</si>
  <si>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</si>
  <si>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</si>
  <si>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</si>
  <si>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</si>
  <si>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</si>
  <si>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</si>
  <si>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</si>
  <si>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</si>
  <si>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</si>
  <si>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</si>
  <si>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</si>
  <si>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</si>
  <si>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</si>
  <si>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</si>
  <si>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</si>
  <si>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</si>
  <si>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</si>
  <si>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</si>
  <si>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</si>
  <si>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</si>
  <si>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</si>
  <si>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</si>
  <si>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</si>
  <si>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</si>
  <si>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</si>
  <si>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</si>
  <si>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</si>
  <si>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</si>
  <si>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</si>
  <si>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</si>
  <si>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</si>
  <si>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</si>
  <si>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</si>
  <si>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</si>
  <si>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</si>
  <si>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</si>
  <si>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</si>
  <si>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</si>
  <si>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</si>
  <si>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</si>
  <si>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</si>
  <si>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</si>
  <si>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</si>
  <si>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</si>
  <si>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</si>
  <si>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</si>
  <si>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</si>
  <si>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</si>
  <si>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</si>
  <si>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</si>
  <si>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</si>
  <si>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</si>
  <si>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</si>
  <si>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</si>
  <si>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</si>
  <si>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</si>
  <si>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</si>
  <si>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</si>
  <si>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</si>
  <si>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</si>
  <si>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</si>
  <si>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</si>
  <si>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</si>
  <si>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</si>
  <si>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</si>
  <si>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</si>
  <si>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</si>
  <si>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</si>
  <si>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</si>
  <si>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</si>
  <si>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</si>
  <si>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</si>
  <si>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</si>
  <si>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</si>
  <si>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</si>
  <si>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</si>
  <si>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</si>
  <si>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</si>
  <si>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</si>
  <si>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</si>
  <si>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</si>
  <si>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</si>
  <si>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</si>
  <si>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</si>
  <si>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</si>
  <si>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</si>
  <si>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</si>
  <si>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</si>
  <si>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</si>
  <si>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</si>
  <si>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</si>
  <si>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</si>
  <si>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</si>
  <si>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</si>
  <si>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</si>
  <si>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</si>
  <si>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</si>
  <si>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</si>
  <si>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</si>
  <si>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</si>
  <si>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</si>
  <si>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</si>
  <si>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</si>
  <si>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</si>
  <si>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</si>
  <si>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</si>
  <si>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</si>
  <si>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</si>
  <si>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</si>
  <si>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</si>
  <si>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</si>
  <si>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</si>
  <si>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</si>
  <si>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</si>
  <si>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</si>
  <si>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</si>
  <si>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</si>
  <si>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</si>
  <si>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</si>
  <si>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</si>
  <si>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</si>
  <si>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</si>
  <si>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</si>
  <si>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</si>
  <si>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</si>
  <si>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</si>
  <si>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</si>
  <si>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</si>
  <si>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</si>
  <si>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</si>
  <si>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</si>
  <si>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</si>
  <si>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</si>
  <si>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</si>
  <si>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</si>
  <si>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</si>
  <si>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</si>
  <si>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</si>
  <si>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</si>
  <si>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</si>
  <si>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</si>
  <si>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</si>
  <si>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</si>
  <si>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</si>
  <si>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</si>
  <si>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</si>
  <si>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</si>
  <si>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</si>
  <si>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</si>
  <si>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</si>
  <si>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</si>
  <si>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</si>
  <si>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</si>
  <si>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</si>
  <si>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</si>
  <si>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</si>
  <si>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</si>
  <si>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</si>
  <si>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</si>
  <si>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</si>
  <si>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</si>
  <si>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</si>
  <si>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</si>
  <si>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</si>
  <si>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</si>
  <si>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</si>
  <si>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</si>
  <si>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</si>
  <si>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</si>
  <si>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</si>
  <si>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</si>
  <si>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</si>
  <si>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</si>
  <si>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</si>
  <si>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</si>
  <si>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</si>
  <si>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</si>
  <si>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</si>
  <si>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</si>
  <si>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</si>
  <si>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</si>
  <si>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</si>
  <si>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</si>
  <si>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</si>
  <si>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</si>
  <si>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</si>
  <si>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</si>
  <si>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</si>
  <si>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</si>
  <si>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</si>
  <si>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</si>
  <si>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</si>
  <si>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</si>
  <si>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</si>
  <si>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</si>
  <si>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</si>
  <si>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</si>
  <si>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</si>
  <si>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</si>
  <si>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</si>
  <si>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</si>
  <si>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</si>
  <si>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</si>
  <si>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</si>
  <si>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</si>
  <si>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</si>
  <si>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</si>
  <si>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</si>
  <si>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</si>
  <si>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</si>
  <si>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</si>
  <si>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</si>
  <si>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</si>
  <si>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</si>
  <si>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</si>
  <si>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</si>
  <si>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</si>
  <si>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</si>
  <si>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</si>
  <si>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</si>
  <si>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</si>
  <si>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</si>
  <si>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</si>
  <si>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</si>
  <si>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</si>
  <si>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</si>
  <si>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</si>
  <si>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</si>
  <si>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</si>
  <si>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</si>
  <si>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</si>
  <si>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</si>
  <si>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</si>
  <si>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</si>
  <si>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</si>
  <si>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</si>
  <si>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</si>
  <si>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</si>
  <si>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</si>
  <si>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</si>
  <si>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</si>
  <si>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</si>
  <si>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</si>
  <si>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</si>
  <si>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</si>
  <si>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</si>
  <si>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</si>
  <si>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</si>
  <si>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</si>
  <si>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</si>
  <si>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</si>
  <si>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</si>
  <si>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</si>
  <si>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</si>
  <si>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</si>
  <si>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</si>
  <si>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</si>
  <si>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</si>
  <si>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</si>
  <si>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</si>
  <si>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</si>
  <si>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</si>
  <si>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</si>
  <si>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</si>
  <si>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</si>
  <si>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</si>
  <si>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</si>
  <si>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</si>
  <si>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</si>
  <si>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</si>
  <si>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</si>
  <si>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</si>
  <si>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</si>
  <si>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</si>
  <si>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</si>
  <si>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</si>
  <si>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</si>
  <si>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</si>
  <si>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</si>
  <si>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</si>
  <si>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</si>
  <si>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</si>
  <si>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</si>
  <si>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</si>
  <si>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</si>
  <si>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</si>
  <si>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</si>
  <si>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</si>
  <si>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</si>
  <si>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</si>
  <si>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</si>
  <si>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</si>
  <si>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</si>
  <si>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</si>
  <si>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</si>
  <si>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</si>
  <si>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</si>
  <si>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</si>
  <si>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</si>
  <si>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</si>
  <si>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</si>
  <si>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</si>
  <si>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</si>
  <si>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</si>
  <si>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</si>
  <si>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</si>
  <si>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</si>
  <si>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</si>
  <si>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</si>
  <si>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</si>
  <si>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</si>
  <si>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</si>
  <si>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</si>
  <si>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</si>
  <si>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</si>
  <si>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</si>
  <si>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</si>
  <si>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</si>
  <si>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</si>
  <si>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</si>
  <si>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</si>
  <si>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</si>
  <si>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</si>
  <si>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</si>
  <si>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</si>
  <si>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</si>
  <si>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</si>
  <si>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</si>
  <si>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</si>
  <si>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</si>
  <si>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</si>
  <si>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</si>
  <si>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</si>
  <si>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</si>
  <si>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</si>
  <si>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</si>
  <si>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</si>
  <si>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</si>
  <si>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</si>
  <si>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</si>
  <si>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</si>
  <si>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</si>
  <si>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</si>
  <si>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</si>
  <si>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</si>
  <si>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</si>
  <si>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</si>
  <si>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</si>
  <si>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</si>
  <si>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</si>
  <si>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</si>
  <si>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</si>
  <si>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</si>
  <si>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</si>
  <si>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</si>
  <si>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</si>
  <si>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</si>
  <si>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</si>
  <si>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</si>
  <si>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</si>
  <si>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</si>
  <si>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</si>
  <si>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</si>
  <si>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</si>
  <si>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</si>
  <si>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</si>
  <si>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</si>
  <si>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</si>
  <si>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</si>
  <si>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</si>
  <si>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</si>
  <si>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</si>
  <si>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</si>
  <si>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</si>
  <si>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</si>
  <si>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</si>
  <si>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</si>
  <si>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</si>
  <si>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</si>
  <si>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</si>
  <si>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</si>
  <si>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</si>
  <si>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</si>
  <si>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</si>
  <si>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</si>
  <si>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</si>
  <si>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</si>
  <si>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</si>
  <si>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</si>
  <si>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</si>
  <si>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</si>
  <si>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</si>
  <si>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</si>
  <si>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</si>
  <si>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</si>
  <si>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</si>
  <si>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</si>
  <si>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</si>
  <si>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</si>
  <si>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</si>
  <si>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</si>
  <si>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</si>
  <si>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</si>
  <si>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</si>
  <si>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</si>
  <si>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</si>
  <si>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</si>
  <si>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</si>
  <si>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</si>
  <si>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</si>
  <si>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</si>
  <si>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</si>
  <si>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</si>
  <si>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</si>
  <si>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</si>
  <si>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</si>
  <si>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</si>
  <si>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</si>
  <si>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</si>
  <si>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</si>
  <si>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</si>
  <si>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</si>
  <si>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</si>
  <si>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</si>
  <si>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</si>
  <si>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</si>
  <si>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</si>
  <si>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</si>
  <si>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</si>
  <si>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</si>
  <si>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</si>
  <si>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</si>
  <si>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</si>
  <si>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</si>
  <si>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</si>
  <si>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</si>
  <si>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</si>
  <si>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</si>
  <si>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</si>
  <si>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</si>
  <si>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</si>
  <si>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</si>
  <si>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</si>
  <si>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</si>
  <si>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</si>
  <si>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</si>
  <si>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</si>
  <si>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</si>
  <si>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</si>
  <si>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</si>
  <si>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</si>
  <si>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</si>
  <si>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</si>
  <si>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</si>
  <si>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</si>
  <si>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</si>
  <si>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</si>
  <si>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</si>
  <si>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</si>
  <si>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</si>
  <si>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</si>
  <si>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</si>
  <si>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</si>
  <si>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</si>
  <si>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</si>
  <si>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</si>
  <si>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</si>
  <si>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</si>
  <si>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</si>
  <si>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</si>
  <si>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</si>
  <si>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</si>
  <si>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</si>
  <si>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</si>
  <si>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</si>
  <si>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</si>
  <si>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</si>
  <si>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</si>
  <si>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</si>
  <si>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</si>
  <si>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</si>
  <si>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</si>
  <si>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</si>
  <si>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</si>
  <si>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</si>
  <si>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</si>
  <si>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</si>
  <si>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</si>
  <si>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</si>
  <si>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</si>
  <si>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</si>
  <si>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</si>
  <si>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</si>
  <si>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</si>
  <si>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</si>
  <si>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</si>
  <si>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</si>
  <si>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</si>
  <si>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</si>
  <si>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</si>
  <si>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</si>
  <si>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</si>
  <si>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</si>
  <si>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</si>
  <si>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</si>
  <si>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</si>
  <si>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</si>
  <si>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</si>
  <si>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</si>
  <si>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</si>
  <si>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</si>
  <si>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</si>
  <si>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</si>
  <si>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</si>
  <si>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</si>
  <si>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</si>
  <si>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</si>
  <si>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</si>
  <si>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</si>
  <si>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</si>
  <si>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</si>
  <si>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</si>
  <si>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</si>
  <si>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</si>
  <si>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</si>
  <si>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</si>
  <si>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</si>
  <si>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</si>
  <si>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</si>
  <si>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</si>
  <si>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</si>
  <si>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</si>
  <si>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</si>
  <si>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</si>
  <si>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</si>
  <si>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</si>
  <si>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</si>
  <si>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</si>
  <si>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</si>
  <si>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</si>
  <si>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</si>
  <si>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</si>
  <si>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</si>
  <si>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</si>
  <si>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</si>
  <si>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</si>
  <si>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</si>
  <si>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</si>
  <si>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</si>
  <si>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</si>
  <si>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</si>
  <si>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</si>
  <si>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</si>
  <si>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</si>
  <si>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</si>
  <si>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</si>
  <si>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</si>
  <si>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</si>
  <si>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</si>
  <si>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</si>
  <si>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</si>
  <si>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</si>
  <si>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</si>
  <si>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</si>
  <si>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</si>
  <si>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</si>
  <si>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</si>
  <si>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</si>
  <si>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</si>
  <si>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</si>
  <si>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</si>
  <si>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</si>
  <si>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</si>
  <si>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</si>
  <si>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</si>
  <si>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</si>
  <si>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</si>
  <si>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</si>
  <si>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</si>
  <si>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</si>
  <si>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</si>
  <si>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</si>
  <si>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</si>
  <si>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</si>
  <si>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</si>
  <si>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</si>
  <si>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</si>
  <si>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</si>
  <si>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</si>
  <si>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</si>
  <si>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</si>
  <si>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</si>
  <si>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</si>
  <si>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</si>
  <si>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</si>
  <si>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</si>
  <si>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</si>
  <si>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</si>
  <si>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</si>
  <si>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</si>
  <si>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</si>
  <si>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</si>
  <si>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</si>
  <si>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</si>
  <si>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</si>
  <si>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</si>
  <si>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</si>
  <si>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</si>
  <si>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</si>
  <si>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</si>
  <si>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</si>
  <si>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</si>
  <si>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</si>
  <si>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</si>
  <si>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</si>
  <si>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</si>
  <si>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</si>
  <si>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</si>
  <si>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</si>
  <si>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</si>
  <si>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</si>
  <si>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</si>
  <si>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</si>
  <si>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</si>
  <si>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</si>
  <si>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</si>
  <si>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</si>
  <si>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</si>
  <si>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</si>
  <si>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</si>
  <si>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</si>
  <si>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</si>
  <si>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</si>
  <si>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</si>
  <si>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</si>
  <si>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</si>
  <si>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</si>
  <si>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</si>
  <si>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</si>
  <si>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</si>
  <si>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</si>
  <si>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</si>
  <si>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</si>
  <si>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</si>
  <si>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</si>
  <si>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</si>
  <si>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</si>
  <si>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</si>
  <si>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</si>
  <si>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</si>
  <si>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</si>
  <si>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</si>
  <si>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</si>
  <si>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</si>
  <si>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</si>
  <si>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</si>
  <si>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</si>
  <si>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</si>
  <si>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</si>
  <si>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</si>
  <si>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</si>
  <si>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</si>
  <si>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</si>
  <si>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</si>
  <si>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</si>
  <si>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</si>
  <si>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</si>
  <si>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</si>
  <si>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</si>
  <si>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</si>
  <si>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</si>
  <si>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</si>
  <si>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</si>
  <si>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</si>
  <si>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</si>
  <si>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</si>
  <si>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</si>
  <si>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</si>
  <si>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</si>
  <si>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</si>
  <si>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</si>
  <si>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</si>
  <si>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</si>
  <si>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</si>
  <si>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</si>
  <si>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</si>
  <si>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</si>
  <si>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</si>
  <si>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</si>
  <si>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</si>
  <si>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</si>
  <si>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</si>
  <si>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</si>
  <si>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</si>
  <si>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</si>
  <si>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</si>
  <si>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</si>
  <si>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</si>
  <si>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</si>
  <si>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</si>
  <si>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</si>
  <si>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</si>
  <si>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</si>
  <si>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</si>
  <si>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</si>
  <si>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</si>
  <si>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</si>
  <si>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</si>
  <si>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</si>
  <si>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</si>
  <si>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</si>
  <si>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</si>
  <si>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</si>
  <si>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</si>
  <si>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</si>
  <si>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</si>
  <si>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</si>
  <si>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</si>
  <si>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</si>
  <si>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</si>
  <si>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</si>
  <si>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</si>
  <si>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</si>
  <si>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</si>
  <si>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</si>
  <si>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</si>
  <si>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</si>
  <si>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</si>
  <si>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</si>
  <si>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</si>
  <si>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</si>
  <si>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</si>
  <si>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</si>
  <si>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</si>
  <si>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</si>
  <si>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</si>
  <si>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</si>
  <si>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</si>
  <si>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</si>
  <si>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</si>
  <si>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</si>
  <si>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</si>
  <si>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</si>
  <si>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</si>
  <si>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</si>
  <si>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</si>
  <si>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</si>
  <si>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</si>
  <si>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</si>
  <si>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</si>
  <si>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</si>
  <si>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</si>
  <si>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</si>
  <si>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</si>
  <si>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</si>
  <si>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</si>
  <si>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</si>
  <si>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</si>
  <si>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</si>
  <si>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</si>
  <si>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</si>
  <si>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</si>
  <si>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</si>
  <si>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</si>
  <si>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</si>
  <si>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</si>
  <si>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</si>
  <si>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</si>
  <si>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</si>
  <si>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</si>
  <si>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</si>
  <si>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</si>
  <si>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</si>
  <si>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</si>
  <si>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</si>
  <si>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</si>
  <si>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</si>
  <si>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</si>
  <si>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</si>
  <si>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</si>
  <si>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</si>
  <si>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</si>
  <si>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</si>
  <si>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</si>
  <si>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</si>
  <si>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</si>
  <si>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</si>
  <si>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</si>
  <si>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</si>
  <si>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</si>
  <si>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</si>
  <si>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</si>
  <si>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</si>
  <si>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</si>
  <si>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</si>
  <si>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</si>
  <si>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</si>
  <si>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</si>
  <si>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</si>
  <si>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</si>
  <si>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</si>
  <si>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</si>
  <si>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</si>
  <si>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</si>
  <si>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</si>
  <si>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</si>
  <si>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</si>
  <si>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</si>
  <si>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</si>
  <si>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</si>
  <si>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</si>
  <si>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</si>
  <si>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</si>
  <si>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</si>
  <si>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</si>
  <si>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</si>
  <si>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</si>
  <si>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</si>
  <si>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</si>
  <si>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</si>
  <si>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</si>
  <si>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</si>
  <si>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</si>
  <si>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</si>
  <si>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</si>
  <si>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</si>
  <si>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</si>
  <si>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</si>
  <si>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</si>
  <si>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</si>
  <si>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</si>
  <si>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</si>
  <si>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</si>
  <si>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</si>
  <si>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</si>
  <si>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</si>
  <si>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</si>
  <si>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</si>
  <si>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</si>
  <si>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</si>
  <si>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</si>
  <si>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</si>
  <si>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</si>
  <si>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</si>
  <si>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</si>
  <si>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</si>
  <si>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</si>
  <si>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</si>
  <si>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</si>
  <si>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</si>
  <si>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</si>
  <si>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</si>
  <si>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</si>
  <si>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</si>
  <si>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</si>
  <si>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</si>
  <si>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</si>
  <si>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</si>
  <si>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</si>
  <si>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</si>
  <si>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</si>
  <si>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</si>
  <si>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</si>
  <si>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</si>
  <si>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</si>
  <si>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</si>
  <si>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</si>
  <si>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</si>
  <si>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</si>
  <si>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</si>
  <si>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</si>
  <si>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</si>
  <si>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</si>
  <si>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</si>
  <si>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</si>
  <si>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</si>
  <si>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</si>
  <si>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</si>
  <si>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</si>
  <si>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</si>
  <si>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</si>
  <si>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</si>
  <si>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</si>
  <si>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</si>
  <si>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</si>
  <si>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</si>
  <si>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</si>
  <si>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</si>
  <si>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</si>
  <si>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</si>
  <si>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</si>
  <si>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</si>
  <si>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</si>
  <si>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</si>
  <si>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</si>
  <si>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</si>
  <si>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</si>
  <si>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</si>
  <si>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</si>
  <si>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</si>
  <si>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</si>
  <si>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</si>
  <si>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</si>
  <si>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</si>
  <si>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</si>
  <si>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</si>
  <si>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</si>
  <si>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</si>
  <si>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</si>
  <si>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</si>
  <si>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</si>
  <si>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</si>
  <si>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</si>
  <si>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</si>
  <si>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</si>
  <si>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</si>
  <si>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</si>
  <si>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</si>
  <si>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</si>
  <si>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</si>
  <si>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</si>
  <si>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</si>
  <si>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</si>
  <si>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</si>
  <si>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</si>
  <si>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</si>
  <si>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</si>
  <si>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</si>
  <si>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</si>
  <si>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</si>
  <si>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</si>
  <si>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</si>
  <si>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</si>
  <si>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</si>
  <si>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</si>
  <si>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</si>
  <si>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</si>
  <si>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</si>
  <si>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</si>
  <si>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</si>
  <si>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</si>
  <si>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</si>
  <si>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</si>
  <si>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</si>
  <si>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</si>
  <si>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</si>
  <si>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</si>
  <si>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</si>
  <si>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</si>
  <si>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</si>
  <si>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</si>
  <si>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</si>
  <si>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</si>
  <si>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</si>
  <si>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</si>
  <si>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</si>
  <si>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</si>
  <si>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</si>
  <si>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</si>
  <si>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</si>
  <si>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</si>
  <si>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</si>
  <si>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</si>
  <si>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</si>
  <si>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</si>
  <si>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</si>
  <si>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</si>
  <si>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</si>
  <si>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</si>
  <si>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</si>
  <si>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</si>
  <si>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</si>
  <si>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</si>
  <si>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</si>
  <si>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</si>
  <si>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</si>
  <si>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</si>
  <si>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</si>
  <si>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</si>
  <si>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</si>
  <si>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</si>
  <si>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</si>
  <si>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</si>
  <si>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</si>
  <si>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</si>
  <si>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</si>
  <si>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</si>
  <si>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</si>
  <si>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</si>
  <si>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</si>
  <si>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</si>
  <si>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</si>
  <si>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</si>
  <si>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</si>
  <si>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</si>
  <si>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</si>
  <si>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</si>
  <si>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</si>
  <si>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</si>
  <si>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</si>
  <si>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</si>
  <si>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</si>
  <si>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</si>
  <si>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</si>
  <si>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</si>
  <si>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</si>
  <si>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</si>
  <si>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</si>
  <si>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</si>
  <si>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</si>
  <si>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</si>
  <si>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</si>
  <si>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</si>
  <si>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</si>
  <si>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</si>
  <si>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</si>
  <si>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</si>
  <si>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</si>
  <si>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</si>
  <si>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</si>
  <si>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</si>
  <si>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</si>
  <si>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</si>
  <si>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</si>
  <si>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</si>
  <si>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</si>
  <si>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</si>
  <si>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</si>
  <si>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</si>
  <si>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</si>
  <si>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</si>
  <si>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</si>
  <si>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</si>
  <si>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</si>
  <si>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</si>
  <si>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</si>
  <si>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</si>
  <si>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</si>
  <si>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</si>
  <si>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</si>
  <si>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</si>
  <si>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</si>
  <si>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</si>
  <si>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</si>
  <si>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</si>
  <si>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</si>
  <si>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</si>
  <si>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</si>
  <si>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</si>
  <si>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</si>
  <si>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</si>
  <si>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</si>
  <si>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</si>
  <si>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</si>
  <si>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</si>
  <si>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</si>
  <si>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</si>
  <si>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</si>
  <si>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</si>
  <si>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</si>
  <si>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</si>
  <si>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</si>
  <si>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</si>
  <si>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</si>
  <si>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</si>
  <si>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</si>
  <si>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</si>
  <si>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</si>
  <si>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</si>
  <si>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</si>
  <si>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</si>
  <si>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</si>
  <si>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</si>
  <si>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</si>
  <si>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</si>
  <si>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</si>
  <si>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</si>
  <si>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</si>
  <si>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</si>
  <si>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</si>
  <si>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</si>
  <si>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</si>
  <si>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</si>
  <si>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</si>
  <si>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</si>
  <si>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</si>
  <si>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</si>
  <si>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</si>
  <si>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</si>
  <si>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</si>
  <si>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</si>
  <si>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</si>
  <si>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</si>
  <si>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</si>
  <si>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</si>
  <si>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</si>
  <si>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</si>
  <si>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</si>
  <si>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</si>
  <si>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</si>
  <si>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</si>
  <si>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</si>
  <si>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</si>
  <si>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</si>
  <si>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</si>
  <si>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</si>
  <si>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</si>
  <si>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</si>
  <si>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</si>
  <si>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</si>
  <si>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</si>
  <si>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</si>
  <si>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</si>
  <si>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</si>
  <si>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</si>
  <si>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</si>
  <si>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</si>
  <si>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</si>
  <si>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</si>
  <si>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</si>
  <si>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</si>
  <si>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</si>
  <si>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</si>
  <si>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</si>
  <si>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</si>
  <si>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</si>
  <si>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</si>
  <si>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</si>
  <si>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</si>
  <si>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</si>
  <si>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</si>
  <si>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</si>
  <si>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</si>
  <si>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</si>
  <si>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</si>
  <si>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</si>
  <si>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</si>
  <si>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</si>
  <si>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</si>
  <si>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</si>
  <si>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</si>
  <si>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</si>
  <si>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</si>
  <si>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</si>
  <si>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</si>
  <si>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</si>
  <si>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</si>
  <si>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</si>
  <si>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</si>
  <si>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</si>
  <si>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</si>
  <si>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</si>
  <si>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</si>
  <si>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</si>
  <si>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</si>
  <si>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</si>
  <si>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</si>
  <si>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</si>
  <si>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</si>
  <si>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</si>
  <si>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</si>
  <si>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</si>
  <si>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</si>
  <si>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</si>
  <si>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</si>
  <si>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</si>
  <si>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</si>
  <si>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</si>
  <si>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</si>
  <si>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</si>
  <si>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</si>
  <si>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</si>
  <si>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</si>
  <si>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</si>
  <si>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</si>
  <si>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</si>
  <si>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</si>
  <si>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</si>
  <si>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</si>
  <si>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</si>
  <si>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</si>
  <si>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</si>
  <si>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</si>
  <si>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</si>
  <si>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</si>
  <si>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</si>
  <si>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</si>
  <si>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</si>
  <si>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</si>
  <si>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</si>
  <si>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</si>
  <si>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</si>
  <si>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</si>
  <si>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</si>
  <si>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</si>
  <si>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</si>
  <si>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</si>
  <si>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</si>
  <si>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</si>
  <si>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</si>
  <si>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</si>
  <si>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</si>
  <si>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</si>
  <si>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</si>
  <si>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</si>
  <si>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</si>
  <si>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</si>
  <si>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</si>
  <si>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</si>
  <si>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</si>
  <si>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</si>
  <si>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</si>
  <si>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</si>
  <si>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</si>
  <si>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</si>
  <si>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</si>
  <si>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</si>
  <si>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</si>
  <si>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</si>
  <si>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</si>
  <si>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</si>
  <si>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</si>
  <si>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</si>
  <si>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</si>
  <si>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</si>
  <si>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</si>
  <si>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</si>
  <si>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</si>
  <si>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</si>
  <si>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</si>
  <si>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</si>
  <si>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</si>
  <si>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</si>
  <si>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</si>
  <si>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</si>
  <si>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</si>
  <si>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</si>
  <si>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</si>
  <si>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</si>
  <si>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</si>
  <si>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</si>
  <si>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</si>
  <si>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</si>
  <si>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</si>
  <si>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</si>
  <si>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</si>
  <si>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</si>
  <si>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</si>
  <si>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</si>
  <si>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</si>
  <si>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</si>
  <si>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</si>
  <si>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</si>
  <si>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</si>
  <si>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</si>
  <si>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</si>
  <si>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</si>
  <si>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</si>
  <si>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</si>
  <si>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</si>
  <si>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</si>
  <si>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</si>
  <si>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</si>
  <si>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</si>
  <si>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</si>
  <si>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</si>
  <si>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</si>
  <si>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</si>
  <si>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</si>
  <si>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</si>
  <si>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</si>
  <si>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</si>
  <si>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</si>
  <si>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</si>
  <si>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</si>
  <si>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</si>
  <si>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</si>
  <si>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</si>
  <si>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</si>
  <si>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</si>
  <si>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</si>
  <si>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</si>
  <si>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</si>
  <si>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</si>
  <si>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</si>
  <si>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</si>
  <si>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</si>
  <si>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</si>
  <si>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</si>
  <si>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</si>
  <si>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</si>
  <si>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</si>
  <si>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</si>
  <si>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</si>
  <si>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</si>
  <si>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</si>
  <si>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</si>
  <si>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 Garment Joint Stock Company</t>
    <phoneticPr fontId="2" type="noConversion"/>
  </si>
  <si>
    <t>Hung Yen Garment Corporation- Joint Stock Com</t>
    <phoneticPr fontId="2" type="noConversion"/>
  </si>
  <si>
    <t>Namlee</t>
    <phoneticPr fontId="2" type="noConversion"/>
  </si>
  <si>
    <t>Phu Hung Joint Stock Company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</si>
  <si>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</si>
  <si>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</si>
  <si>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</si>
  <si>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</si>
  <si>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</si>
  <si>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</si>
  <si>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</si>
  <si>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</si>
  <si>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</si>
  <si>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</si>
  <si>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</si>
  <si>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</si>
  <si>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</si>
  <si>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</si>
  <si>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</si>
  <si>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</si>
  <si>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</si>
  <si>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</si>
  <si>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</si>
  <si>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</si>
  <si>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</si>
  <si>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</si>
  <si>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</si>
  <si>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</si>
  <si>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</si>
  <si>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</si>
  <si>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</si>
  <si>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</si>
  <si>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</si>
  <si>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</si>
  <si>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</si>
  <si>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</si>
  <si>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</si>
  <si>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</si>
  <si>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</si>
  <si>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</si>
  <si>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</si>
  <si>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</si>
  <si>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</si>
  <si>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</si>
  <si>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</si>
  <si>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</si>
  <si>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</si>
  <si>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</si>
  <si>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</si>
  <si>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</si>
  <si>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</si>
  <si>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</si>
  <si>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</si>
  <si>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</si>
  <si>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</si>
  <si>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</si>
  <si>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</si>
  <si>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</si>
  <si>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</si>
  <si>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</si>
  <si>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</si>
  <si>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</si>
  <si>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</si>
  <si>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</si>
  <si>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</si>
  <si>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</si>
  <si>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</si>
  <si>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</si>
  <si>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</si>
  <si>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</si>
  <si>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</si>
  <si>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</si>
  <si>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</si>
  <si>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</si>
  <si>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</si>
  <si>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</si>
  <si>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</si>
  <si>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</si>
  <si>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</si>
  <si>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</si>
  <si>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</si>
  <si>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</si>
  <si>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</si>
  <si>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</si>
  <si>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</si>
  <si>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</si>
  <si>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</si>
  <si>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</si>
  <si>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</si>
  <si>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</si>
  <si>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</si>
  <si>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</si>
  <si>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</si>
  <si>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</si>
  <si>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</si>
  <si>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</si>
  <si>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</si>
  <si>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</si>
  <si>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</si>
  <si>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</si>
  <si>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</si>
  <si>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</si>
  <si>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</si>
  <si>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</si>
  <si>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</si>
  <si>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</si>
  <si>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</si>
  <si>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</si>
  <si>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</si>
  <si>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</si>
  <si>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</si>
  <si>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</si>
  <si>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</si>
  <si>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</si>
  <si>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</si>
  <si>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</si>
  <si>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</si>
  <si>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</si>
  <si>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</si>
  <si>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</si>
  <si>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</si>
  <si>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</si>
  <si>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</si>
  <si>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</si>
  <si>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</si>
  <si>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</si>
  <si>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</si>
  <si>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</si>
  <si>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</si>
  <si>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</si>
  <si>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</si>
  <si>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</si>
  <si>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</si>
  <si>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</si>
  <si>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</si>
  <si>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</si>
  <si>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</si>
  <si>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</si>
  <si>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</si>
  <si>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</si>
  <si>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</si>
  <si>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</si>
  <si>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</si>
  <si>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</si>
  <si>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</si>
  <si>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</si>
  <si>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</si>
  <si>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</si>
  <si>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</si>
  <si>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</si>
  <si>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</si>
  <si>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</si>
  <si>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</si>
  <si>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</si>
  <si>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</si>
  <si>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</si>
  <si>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</si>
  <si>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</si>
  <si>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</si>
  <si>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</si>
  <si>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</si>
  <si>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</si>
  <si>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</si>
  <si>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</si>
  <si>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</si>
  <si>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</si>
  <si>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</si>
  <si>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</si>
  <si>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</si>
  <si>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</si>
  <si>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</si>
  <si>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</si>
  <si>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</si>
  <si>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</si>
  <si>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</si>
  <si>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</si>
  <si>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</si>
  <si>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</si>
  <si>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</si>
  <si>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</si>
  <si>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</si>
  <si>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</si>
  <si>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</si>
  <si>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</si>
  <si>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</si>
  <si>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</si>
  <si>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</si>
  <si>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</si>
  <si>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</si>
  <si>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</si>
  <si>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</si>
  <si>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</si>
  <si>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</si>
  <si>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</si>
  <si>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</si>
  <si>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</si>
  <si>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</si>
  <si>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</si>
  <si>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</si>
  <si>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</si>
  <si>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</si>
  <si>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</si>
  <si>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</si>
  <si>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</si>
  <si>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</si>
  <si>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</si>
  <si>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</si>
  <si>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</si>
  <si>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</si>
  <si>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</si>
  <si>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</si>
  <si>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</si>
  <si>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</si>
  <si>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</si>
  <si>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</si>
  <si>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</si>
  <si>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</si>
  <si>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</si>
  <si>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</si>
  <si>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</si>
  <si>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</si>
  <si>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</si>
  <si>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</si>
  <si>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</si>
  <si>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</si>
  <si>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</si>
  <si>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</si>
  <si>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</si>
  <si>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</si>
  <si>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</si>
  <si>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</si>
  <si>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</si>
  <si>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</si>
  <si>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</si>
  <si>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</si>
  <si>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</si>
  <si>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</si>
  <si>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</si>
  <si>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</si>
  <si>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</si>
  <si>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</si>
  <si>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</si>
  <si>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</si>
  <si>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</si>
  <si>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</si>
  <si>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</si>
  <si>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</si>
  <si>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</si>
  <si>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</si>
  <si>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</si>
  <si>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</si>
  <si>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</si>
  <si>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</si>
  <si>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</si>
  <si>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</si>
  <si>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</si>
  <si>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</si>
  <si>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</si>
  <si>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</si>
  <si>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</si>
  <si>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</si>
  <si>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</si>
  <si>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</si>
  <si>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</si>
  <si>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</si>
  <si>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</si>
  <si>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</si>
  <si>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</si>
  <si>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</si>
  <si>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</si>
  <si>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</si>
  <si>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</si>
  <si>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</si>
  <si>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</si>
  <si>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</si>
  <si>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</si>
  <si>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</si>
  <si>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</si>
  <si>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</si>
  <si>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</si>
  <si>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</si>
  <si>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</si>
  <si>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</si>
  <si>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</si>
  <si>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</si>
  <si>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</si>
  <si>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</si>
  <si>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</si>
  <si>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</si>
  <si>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</si>
  <si>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</si>
  <si>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</si>
  <si>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</si>
  <si>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</si>
  <si>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</si>
  <si>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</si>
  <si>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</si>
  <si>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</si>
  <si>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</si>
  <si>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</si>
  <si>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</si>
  <si>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</si>
  <si>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</si>
  <si>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</si>
  <si>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</si>
  <si>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</si>
  <si>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</si>
  <si>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</si>
  <si>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</si>
  <si>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</si>
  <si>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</si>
  <si>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</si>
  <si>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</si>
  <si>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</si>
  <si>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</si>
  <si>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</si>
  <si>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</si>
  <si>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</si>
  <si>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</si>
  <si>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</si>
  <si>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</si>
  <si>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</si>
  <si>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</si>
  <si>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</si>
  <si>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</si>
  <si>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</si>
  <si>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</si>
  <si>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</si>
  <si>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</si>
  <si>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</si>
  <si>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</si>
  <si>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</si>
  <si>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</si>
  <si>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</si>
  <si>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</si>
  <si>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</si>
  <si>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</si>
  <si>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</si>
  <si>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</si>
  <si>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</si>
  <si>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</si>
  <si>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</si>
  <si>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</si>
  <si>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</si>
  <si>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</si>
  <si>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</si>
  <si>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</si>
  <si>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</si>
  <si>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</si>
  <si>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</si>
  <si>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</si>
  <si>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</si>
  <si>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</si>
  <si>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</si>
  <si>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</si>
  <si>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</si>
  <si>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</si>
  <si>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</si>
  <si>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</si>
  <si>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</si>
  <si>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</si>
  <si>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</si>
  <si>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</si>
  <si>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</si>
  <si>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</si>
  <si>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</si>
  <si>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</si>
  <si>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</si>
  <si>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</si>
  <si>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</si>
  <si>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</si>
  <si>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</si>
  <si>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</si>
  <si>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</si>
  <si>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</si>
  <si>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</si>
  <si>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</si>
  <si>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</si>
  <si>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</si>
  <si>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</si>
  <si>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</si>
  <si>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</si>
  <si>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</si>
  <si>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</si>
  <si>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</si>
  <si>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</si>
  <si>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</si>
  <si>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</si>
  <si>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</si>
  <si>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</si>
  <si>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</si>
  <si>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</si>
  <si>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</si>
  <si>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</si>
  <si>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</si>
  <si>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</si>
  <si>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</si>
  <si>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</si>
  <si>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</si>
  <si>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</si>
  <si>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</si>
  <si>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</si>
  <si>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</si>
  <si>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</si>
  <si>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</si>
  <si>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</si>
  <si>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</si>
  <si>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</si>
  <si>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</si>
  <si>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</si>
  <si>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</si>
  <si>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</si>
  <si>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</si>
  <si>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</si>
  <si>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</si>
  <si>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</si>
  <si>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</si>
  <si>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</si>
  <si>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</si>
  <si>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</si>
  <si>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</si>
  <si>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</si>
  <si>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</si>
  <si>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</si>
  <si>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</si>
  <si>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</si>
  <si>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</si>
  <si>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</si>
  <si>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</si>
  <si>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</si>
  <si>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</si>
  <si>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</si>
  <si>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</si>
  <si>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</si>
  <si>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</si>
  <si>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</si>
  <si>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</si>
  <si>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</si>
  <si>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</si>
  <si>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</si>
  <si>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</si>
  <si>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</si>
  <si>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</si>
  <si>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</si>
  <si>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</si>
  <si>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</si>
  <si>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</si>
  <si>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</si>
  <si>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</si>
  <si>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</si>
  <si>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</si>
  <si>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</si>
  <si>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</si>
  <si>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</si>
  <si>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</si>
  <si>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</si>
  <si>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</si>
  <si>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</si>
  <si>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</si>
  <si>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</si>
  <si>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</si>
  <si>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</si>
  <si>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</si>
  <si>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</si>
  <si>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</si>
  <si>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</si>
  <si>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</si>
  <si>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</si>
  <si>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</si>
  <si>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</si>
  <si>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</si>
  <si>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</si>
  <si>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</si>
  <si>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</si>
  <si>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</si>
  <si>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</si>
  <si>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</si>
  <si>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</si>
  <si>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</si>
  <si>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</si>
  <si>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</si>
  <si>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</si>
  <si>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</si>
  <si>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</si>
  <si>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</si>
  <si>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</si>
  <si>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</si>
  <si>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</si>
  <si>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</si>
  <si>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</si>
  <si>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</si>
  <si>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</si>
  <si>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</si>
  <si>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</si>
  <si>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</si>
  <si>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</si>
  <si>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</si>
  <si>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</si>
  <si>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</si>
  <si>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</si>
  <si>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</si>
  <si>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</si>
  <si>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</si>
  <si>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</si>
  <si>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</si>
  <si>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</si>
  <si>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</si>
  <si>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</si>
  <si>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</si>
  <si>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</si>
  <si>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</si>
  <si>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</si>
  <si>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</si>
  <si>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</si>
  <si>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</si>
  <si>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</si>
  <si>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</si>
  <si>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</si>
  <si>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</si>
  <si>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</si>
  <si>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</si>
  <si>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</si>
  <si>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</si>
  <si>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</si>
  <si>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</si>
  <si>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</si>
  <si>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</si>
  <si>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</si>
  <si>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</si>
  <si>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</si>
  <si>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</si>
  <si>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</si>
  <si>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</si>
  <si>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</si>
  <si>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</si>
  <si>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</si>
  <si>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</si>
  <si>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</si>
  <si>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</si>
  <si>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</si>
  <si>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</si>
  <si>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</si>
  <si>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</si>
  <si>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</si>
  <si>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</si>
  <si>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</si>
  <si>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</si>
  <si>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</si>
  <si>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</si>
  <si>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</si>
  <si>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</si>
  <si>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</si>
  <si>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</si>
  <si>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</si>
  <si>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</si>
  <si>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</si>
  <si>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</si>
  <si>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</si>
  <si>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</si>
  <si>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</si>
  <si>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</si>
  <si>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</si>
  <si>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</si>
  <si>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</si>
  <si>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</si>
  <si>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</si>
  <si>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</si>
  <si>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</si>
  <si>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</si>
  <si>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</si>
  <si>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</si>
  <si>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</si>
  <si>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</si>
  <si>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</si>
  <si>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</si>
  <si>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</si>
  <si>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</si>
  <si>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</si>
  <si>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</si>
  <si>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</si>
  <si>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</si>
  <si>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</si>
  <si>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</si>
  <si>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</si>
  <si>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</si>
  <si>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</si>
  <si>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</si>
  <si>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</si>
  <si>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</si>
  <si>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</si>
  <si>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</si>
  <si>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</si>
  <si>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</si>
  <si>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</si>
  <si>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</si>
  <si>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</si>
  <si>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</si>
  <si>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</si>
  <si>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</si>
  <si>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</si>
  <si>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</si>
  <si>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</si>
  <si>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</si>
  <si>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</si>
  <si>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</si>
  <si>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</si>
  <si>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</si>
  <si>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</si>
  <si>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</si>
  <si>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</si>
  <si>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</si>
  <si>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</si>
  <si>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</si>
  <si>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</si>
  <si>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</si>
  <si>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</si>
  <si>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</si>
  <si>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</si>
  <si>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</si>
  <si>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</si>
  <si>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</si>
  <si>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</si>
  <si>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</si>
  <si>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</si>
  <si>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</si>
  <si>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</si>
  <si>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</si>
  <si>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</si>
  <si>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</si>
  <si>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</si>
  <si>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</si>
  <si>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</si>
  <si>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</si>
  <si>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</si>
  <si>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</si>
  <si>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서류종류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</si>
  <si>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</si>
  <si>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</si>
  <si>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</si>
  <si>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</si>
  <si>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</si>
  <si>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</si>
  <si>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</si>
  <si>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</si>
  <si>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</si>
  <si>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</si>
  <si>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</si>
  <si>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</si>
  <si>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</si>
  <si>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</si>
  <si>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</si>
  <si>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</si>
  <si>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</si>
  <si>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</si>
  <si>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</si>
  <si>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</si>
  <si>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</si>
  <si>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</si>
  <si>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</si>
  <si>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</si>
  <si>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</si>
  <si>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</si>
  <si>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</si>
  <si>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</si>
  <si>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</si>
  <si>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</si>
  <si>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</si>
  <si>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</si>
  <si>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</si>
  <si>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</si>
  <si>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</si>
  <si>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</si>
  <si>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</si>
  <si>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</si>
  <si>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</si>
  <si>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</si>
  <si>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</si>
  <si>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</si>
  <si>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</si>
  <si>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</si>
  <si>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</si>
  <si>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</si>
  <si>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</si>
  <si>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</si>
  <si>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</si>
  <si>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</si>
  <si>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</si>
  <si>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</si>
  <si>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</si>
  <si>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</si>
  <si>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</si>
  <si>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</si>
  <si>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</si>
  <si>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</si>
  <si>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</si>
  <si>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</si>
  <si>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</si>
  <si>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</si>
  <si>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</si>
  <si>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</si>
  <si>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</si>
  <si>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</si>
  <si>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</si>
  <si>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</si>
  <si>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</si>
  <si>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</si>
  <si>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</si>
  <si>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</si>
  <si>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</si>
  <si>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</si>
  <si>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</si>
  <si>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</si>
  <si>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</si>
  <si>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</si>
  <si>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</si>
  <si>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</si>
  <si>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</si>
  <si>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</si>
  <si>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</si>
  <si>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</si>
  <si>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</si>
  <si>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</si>
  <si>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</si>
  <si>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</si>
  <si>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</si>
  <si>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</si>
  <si>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</si>
  <si>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</si>
  <si>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</si>
  <si>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</si>
  <si>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</si>
  <si>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</si>
  <si>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</si>
  <si>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</si>
  <si>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</si>
  <si>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</si>
  <si>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</si>
  <si>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</si>
  <si>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</si>
  <si>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</si>
  <si>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</si>
  <si>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</si>
  <si>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</si>
  <si>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</si>
  <si>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</si>
  <si>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</si>
  <si>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</si>
  <si>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</si>
  <si>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</si>
  <si>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</si>
  <si>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</si>
  <si>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</si>
  <si>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</si>
  <si>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</si>
  <si>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</si>
  <si>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</si>
  <si>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</si>
  <si>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</si>
  <si>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</si>
  <si>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</si>
  <si>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</si>
  <si>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</si>
  <si>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</si>
  <si>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</si>
  <si>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</si>
  <si>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</si>
  <si>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</si>
  <si>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</si>
  <si>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</si>
  <si>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</si>
  <si>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</si>
  <si>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</si>
  <si>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</si>
  <si>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</si>
  <si>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</si>
  <si>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</si>
  <si>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</si>
  <si>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</si>
  <si>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</si>
  <si>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</si>
  <si>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</si>
  <si>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</si>
  <si>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</si>
  <si>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</si>
  <si>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</si>
  <si>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</si>
  <si>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</si>
  <si>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</si>
  <si>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</si>
  <si>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</si>
  <si>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</si>
  <si>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</si>
  <si>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</si>
  <si>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</si>
  <si>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</si>
  <si>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</si>
  <si>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</si>
  <si>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</si>
  <si>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</si>
  <si>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</si>
  <si>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</si>
  <si>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</si>
  <si>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</si>
  <si>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</si>
  <si>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</si>
  <si>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</si>
  <si>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</si>
  <si>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</si>
  <si>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</si>
  <si>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</si>
  <si>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</si>
  <si>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</si>
  <si>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</si>
  <si>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</si>
  <si>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</si>
  <si>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</si>
  <si>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</si>
  <si>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</si>
  <si>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</si>
  <si>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</si>
  <si>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</si>
  <si>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</si>
  <si>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</si>
  <si>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</si>
  <si>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</si>
  <si>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</si>
  <si>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</si>
  <si>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</si>
  <si>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</si>
  <si>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</si>
  <si>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</si>
  <si>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</si>
  <si>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</si>
  <si>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</si>
  <si>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</si>
  <si>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</si>
  <si>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</si>
  <si>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</si>
  <si>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</si>
  <si>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</si>
  <si>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</si>
  <si>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</si>
  <si>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</si>
  <si>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</si>
  <si>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</si>
  <si>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</si>
  <si>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</si>
  <si>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</si>
  <si>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</si>
  <si>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</si>
  <si>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</si>
  <si>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</si>
  <si>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</si>
  <si>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</si>
  <si>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</si>
  <si>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</si>
  <si>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</si>
  <si>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</si>
  <si>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</si>
  <si>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</si>
  <si>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</si>
  <si>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</si>
  <si>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</si>
  <si>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</si>
  <si>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</si>
  <si>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</si>
  <si>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</si>
  <si>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</si>
  <si>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</si>
  <si>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</si>
  <si>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</si>
  <si>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</si>
  <si>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</si>
  <si>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</si>
  <si>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</si>
  <si>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</si>
  <si>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</si>
  <si>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</si>
  <si>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</si>
  <si>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</si>
  <si>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</si>
  <si>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</si>
  <si>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</si>
  <si>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</si>
  <si>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</si>
  <si>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</si>
  <si>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</si>
  <si>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</si>
  <si>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</si>
  <si>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</si>
  <si>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</si>
  <si>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</si>
  <si>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</si>
  <si>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</si>
  <si>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</si>
  <si>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</si>
  <si>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</si>
  <si>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</si>
  <si>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</si>
  <si>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</si>
  <si>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</si>
  <si>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</si>
  <si>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</si>
  <si>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</si>
  <si>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</si>
  <si>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</si>
  <si>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</si>
  <si>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</si>
  <si>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</si>
  <si>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</si>
  <si>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</si>
  <si>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</si>
  <si>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</si>
  <si>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</si>
  <si>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</si>
  <si>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</si>
  <si>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</si>
  <si>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</si>
  <si>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</si>
  <si>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</si>
  <si>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</si>
  <si>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</si>
  <si>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</si>
  <si>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</si>
  <si>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</si>
  <si>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</si>
  <si>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</si>
  <si>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</si>
  <si>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</si>
  <si>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</si>
  <si>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</si>
  <si>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</si>
  <si>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</si>
  <si>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</si>
  <si>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</si>
  <si>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</si>
  <si>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</si>
  <si>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</si>
  <si>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</si>
  <si>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</si>
  <si>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</si>
  <si>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</si>
  <si>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</si>
  <si>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</si>
  <si>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</si>
  <si>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</si>
  <si>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</si>
  <si>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</si>
  <si>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</si>
  <si>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</si>
  <si>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</si>
  <si>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</si>
  <si>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</si>
  <si>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</si>
  <si>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</si>
  <si>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</si>
  <si>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</si>
  <si>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</si>
  <si>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</si>
  <si>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</si>
  <si>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</si>
  <si>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</si>
  <si>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</si>
  <si>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</si>
  <si>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</si>
  <si>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</si>
  <si>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</si>
  <si>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</si>
  <si>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</si>
  <si>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</si>
  <si>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</si>
  <si>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</si>
  <si>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</si>
  <si>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SOLID BLACK &amp; SOLID PINK</t>
  </si>
  <si>
    <t>CAYENNE</t>
  </si>
  <si>
    <t>ARUBA BLUE</t>
  </si>
  <si>
    <t>DEEP TAUPE</t>
  </si>
  <si>
    <t>DARK BLACK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</si>
  <si>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</si>
  <si>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</si>
  <si>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</si>
  <si>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</si>
  <si>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</si>
  <si>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</si>
  <si>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</si>
  <si>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</si>
  <si>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</si>
  <si>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</si>
  <si>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</si>
  <si>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</si>
  <si>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</si>
  <si>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</si>
  <si>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</si>
  <si>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</si>
  <si>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</si>
  <si>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</si>
  <si>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</si>
  <si>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</si>
  <si>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</si>
  <si>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</si>
  <si>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</si>
  <si>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</si>
  <si>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</si>
  <si>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</si>
  <si>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1NQ WILD BLOSSOM</t>
  </si>
  <si>
    <t>HPI HOT PINK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</si>
  <si>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</si>
  <si>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</si>
  <si>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</si>
  <si>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</si>
  <si>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</si>
  <si>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</si>
  <si>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</si>
  <si>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</si>
  <si>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</si>
  <si>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</si>
  <si>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</si>
  <si>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</si>
  <si>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XXL</t>
  </si>
  <si>
    <t>Test</t>
  </si>
  <si>
    <t>MULTI</t>
  </si>
  <si>
    <t>BLACK SOLID</t>
  </si>
  <si>
    <t>NAUTICAL FLORAL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</si>
  <si>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</si>
  <si>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</si>
  <si>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</si>
  <si>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</si>
  <si>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</si>
  <si>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</si>
  <si>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</si>
  <si>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</si>
  <si>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</si>
  <si>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</si>
  <si>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</si>
  <si>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</si>
  <si>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</si>
  <si>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</si>
  <si>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</si>
  <si>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</si>
  <si>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</si>
  <si>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</si>
  <si>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</si>
  <si>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</si>
  <si>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</si>
  <si>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</si>
  <si>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</si>
  <si>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</si>
  <si>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</si>
  <si>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</si>
  <si>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</si>
  <si>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</si>
  <si>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</si>
  <si>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</si>
  <si>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</si>
  <si>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</si>
  <si>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</si>
  <si>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</si>
  <si>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</si>
  <si>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</si>
  <si>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</si>
  <si>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</si>
  <si>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CHICBL STRFL</t>
  </si>
  <si>
    <t>ELECBL TROP</t>
  </si>
  <si>
    <t>LEMON LIME</t>
  </si>
  <si>
    <t>NVIV FONDSTR</t>
  </si>
  <si>
    <t>PAPAYA ORG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</si>
  <si>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</si>
  <si>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</si>
  <si>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</si>
  <si>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</si>
  <si>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</si>
  <si>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</si>
  <si>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</si>
  <si>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</si>
  <si>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</si>
  <si>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</si>
  <si>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</si>
  <si>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</si>
  <si>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</si>
  <si>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</si>
  <si>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</si>
  <si>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</si>
  <si>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</si>
  <si>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</si>
  <si>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</si>
  <si>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</si>
  <si>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</si>
  <si>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</si>
  <si>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</si>
  <si>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</si>
  <si>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</si>
  <si>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</si>
  <si>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</si>
  <si>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</si>
  <si>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</si>
  <si>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</si>
  <si>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</si>
  <si>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</si>
  <si>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</si>
  <si>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</si>
  <si>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</si>
  <si>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</si>
  <si>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</si>
  <si>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</si>
  <si>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</si>
  <si>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</si>
  <si>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</si>
  <si>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</si>
  <si>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</si>
  <si>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</si>
  <si>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</si>
  <si>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</si>
  <si>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</si>
  <si>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</si>
  <si>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</si>
  <si>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</si>
  <si>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</si>
  <si>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</si>
  <si>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</si>
  <si>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</si>
  <si>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</si>
  <si>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</si>
  <si>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</si>
  <si>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</si>
  <si>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</si>
  <si>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</si>
  <si>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</si>
  <si>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</si>
  <si>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</si>
  <si>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</si>
  <si>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</si>
  <si>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</si>
  <si>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</si>
  <si>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</si>
  <si>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</si>
  <si>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</si>
  <si>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</si>
  <si>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</si>
  <si>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</si>
  <si>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</si>
  <si>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</si>
  <si>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</si>
  <si>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</si>
  <si>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</si>
  <si>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</si>
  <si>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</si>
  <si>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</si>
  <si>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</si>
  <si>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</si>
  <si>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</si>
  <si>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</si>
  <si>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</si>
  <si>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</si>
  <si>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</si>
  <si>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</si>
  <si>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</si>
  <si>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</si>
  <si>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</si>
  <si>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</si>
  <si>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</si>
  <si>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</si>
  <si>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</si>
  <si>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</si>
  <si>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</si>
  <si>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</si>
  <si>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</si>
  <si>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</si>
  <si>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</si>
  <si>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</si>
  <si>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</si>
  <si>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</si>
  <si>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</si>
  <si>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</si>
  <si>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</si>
  <si>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</si>
  <si>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</si>
  <si>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</si>
  <si>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</si>
  <si>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</si>
  <si>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</si>
  <si>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</si>
  <si>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</si>
  <si>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</si>
  <si>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</si>
  <si>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</si>
  <si>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</si>
  <si>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</si>
  <si>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</si>
  <si>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</si>
  <si>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</si>
  <si>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</si>
  <si>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</si>
  <si>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</si>
  <si>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</si>
  <si>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</si>
  <si>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</si>
  <si>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</si>
  <si>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</si>
  <si>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</si>
  <si>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</si>
  <si>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</si>
  <si>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</si>
  <si>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</si>
  <si>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</si>
  <si>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</si>
  <si>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</si>
  <si>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</si>
  <si>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</si>
  <si>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</si>
  <si>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</si>
  <si>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</si>
  <si>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</si>
  <si>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</si>
  <si>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</si>
  <si>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</si>
  <si>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</si>
  <si>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</si>
  <si>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</si>
  <si>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</si>
  <si>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</si>
  <si>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</si>
  <si>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</si>
  <si>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</si>
  <si>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</si>
  <si>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</si>
  <si>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</si>
  <si>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</si>
  <si>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</si>
  <si>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</si>
  <si>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</si>
  <si>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</si>
  <si>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</si>
  <si>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</si>
  <si>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</si>
  <si>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</si>
  <si>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</si>
  <si>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</si>
  <si>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</si>
  <si>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</si>
  <si>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</si>
  <si>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</si>
  <si>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</si>
  <si>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</si>
  <si>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</si>
  <si>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</si>
  <si>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</si>
  <si>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</si>
  <si>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</si>
  <si>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</si>
  <si>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</si>
  <si>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</si>
  <si>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</si>
  <si>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</si>
  <si>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</si>
  <si>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</si>
  <si>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</si>
  <si>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</si>
  <si>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</si>
  <si>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</si>
  <si>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</si>
  <si>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</si>
  <si>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</si>
  <si>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</si>
  <si>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</si>
  <si>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</si>
  <si>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</si>
  <si>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</si>
  <si>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</si>
  <si>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</si>
  <si>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</si>
  <si>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</si>
  <si>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</si>
  <si>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</si>
  <si>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</si>
  <si>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</si>
  <si>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</si>
  <si>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</si>
  <si>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</si>
  <si>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</si>
  <si>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</si>
  <si>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</si>
  <si>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</si>
  <si>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</si>
  <si>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</si>
  <si>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</si>
  <si>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</si>
  <si>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</si>
  <si>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</si>
  <si>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</si>
  <si>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</si>
  <si>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</si>
  <si>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</si>
  <si>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</si>
  <si>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</si>
  <si>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</si>
  <si>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</si>
  <si>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</si>
  <si>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</si>
  <si>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</si>
  <si>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</si>
  <si>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</si>
  <si>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</si>
  <si>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</si>
  <si>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</si>
  <si>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</si>
  <si>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</si>
  <si>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</si>
  <si>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</si>
  <si>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</si>
  <si>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</si>
  <si>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</si>
  <si>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</si>
  <si>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</si>
  <si>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</si>
  <si>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</si>
  <si>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</si>
  <si>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</si>
  <si>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</si>
  <si>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</si>
  <si>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</si>
  <si>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</si>
  <si>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</si>
  <si>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</si>
  <si>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</si>
  <si>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</si>
  <si>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</si>
  <si>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</si>
  <si>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</si>
  <si>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</si>
  <si>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</si>
  <si>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</si>
  <si>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</si>
  <si>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</si>
  <si>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</si>
  <si>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</si>
  <si>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</si>
  <si>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</si>
  <si>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</si>
  <si>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</si>
  <si>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</si>
  <si>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</si>
  <si>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</si>
  <si>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</si>
  <si>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</si>
  <si>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</si>
  <si>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</si>
  <si>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</si>
  <si>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</si>
  <si>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</si>
  <si>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</si>
  <si>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</si>
  <si>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</si>
  <si>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</si>
  <si>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</si>
  <si>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</si>
  <si>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</si>
  <si>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</si>
  <si>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</si>
  <si>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</si>
  <si>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</si>
  <si>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</si>
  <si>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</si>
  <si>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</si>
  <si>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</si>
  <si>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</si>
  <si>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</si>
  <si>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</si>
  <si>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</si>
  <si>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</si>
  <si>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</si>
  <si>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</si>
  <si>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</si>
  <si>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</si>
  <si>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</si>
  <si>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</si>
  <si>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</si>
  <si>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</si>
  <si>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</si>
  <si>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</si>
  <si>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</si>
  <si>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</si>
  <si>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</si>
  <si>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</si>
  <si>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</si>
  <si>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</si>
  <si>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</si>
  <si>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</si>
  <si>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</si>
  <si>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</si>
  <si>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</si>
  <si>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</si>
  <si>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</si>
  <si>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</si>
  <si>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</si>
  <si>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</si>
  <si>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</si>
  <si>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</si>
  <si>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</si>
  <si>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</si>
  <si>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</si>
  <si>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</si>
  <si>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</si>
  <si>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</si>
  <si>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</si>
  <si>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</si>
  <si>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</si>
  <si>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</si>
  <si>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</si>
  <si>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</si>
  <si>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</si>
  <si>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</si>
  <si>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</si>
  <si>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</si>
  <si>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</si>
  <si>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</si>
  <si>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</si>
  <si>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</si>
  <si>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</si>
  <si>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</si>
  <si>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</si>
  <si>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</si>
  <si>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</si>
  <si>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</si>
  <si>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</si>
  <si>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</si>
  <si>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</si>
  <si>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</si>
  <si>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</si>
  <si>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</si>
  <si>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</si>
  <si>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</si>
  <si>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</si>
  <si>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</si>
  <si>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</si>
  <si>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</si>
  <si>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</si>
  <si>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</si>
  <si>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</si>
  <si>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</si>
  <si>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</si>
  <si>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</si>
  <si>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</si>
  <si>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</si>
  <si>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</si>
  <si>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</si>
  <si>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</si>
  <si>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</si>
  <si>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</si>
  <si>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</si>
  <si>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</si>
  <si>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</si>
  <si>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</si>
  <si>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</si>
  <si>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</si>
  <si>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</si>
  <si>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</si>
  <si>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</si>
  <si>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</si>
  <si>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</si>
  <si>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</si>
  <si>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</si>
  <si>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</si>
  <si>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</si>
  <si>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</si>
  <si>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</si>
  <si>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</si>
  <si>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</si>
  <si>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</si>
  <si>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</si>
  <si>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</si>
  <si>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</si>
  <si>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</si>
  <si>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</si>
  <si>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</si>
  <si>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</si>
  <si>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</si>
  <si>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</si>
  <si>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</si>
  <si>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</si>
  <si>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</si>
  <si>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</si>
  <si>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</si>
  <si>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</si>
  <si>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</si>
  <si>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</si>
  <si>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</si>
  <si>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</si>
  <si>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</si>
  <si>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</si>
  <si>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</si>
  <si>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</si>
  <si>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</si>
  <si>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</si>
  <si>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</si>
  <si>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</si>
  <si>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</si>
  <si>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</si>
  <si>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</si>
  <si>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</si>
  <si>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</si>
  <si>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</si>
  <si>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</si>
  <si>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</si>
  <si>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</si>
  <si>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</si>
  <si>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</si>
  <si>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</si>
  <si>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</si>
  <si>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</si>
  <si>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</si>
  <si>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</si>
  <si>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</si>
  <si>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</si>
  <si>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</si>
  <si>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</si>
  <si>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</si>
  <si>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</si>
  <si>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</si>
  <si>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</si>
  <si>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</si>
  <si>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</si>
  <si>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</si>
  <si>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</si>
  <si>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</si>
  <si>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</si>
  <si>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</si>
  <si>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</si>
  <si>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</si>
  <si>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</si>
  <si>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</si>
  <si>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</si>
  <si>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</si>
  <si>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</si>
  <si>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</si>
  <si>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</si>
  <si>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</si>
  <si>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</si>
  <si>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</si>
  <si>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</si>
  <si>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</si>
  <si>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</si>
  <si>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</si>
  <si>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</si>
  <si>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</si>
  <si>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</si>
  <si>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</si>
  <si>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</si>
  <si>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</si>
  <si>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</si>
  <si>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</si>
  <si>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</si>
  <si>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</si>
  <si>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</si>
  <si>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</si>
  <si>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</si>
  <si>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</si>
  <si>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</si>
  <si>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</si>
  <si>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</si>
  <si>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</si>
  <si>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</si>
  <si>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</si>
  <si>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</si>
  <si>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</si>
  <si>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</si>
  <si>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</si>
  <si>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</si>
  <si>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</si>
  <si>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</si>
  <si>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</si>
  <si>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</si>
  <si>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</si>
  <si>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</si>
  <si>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</si>
  <si>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</si>
  <si>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</si>
  <si>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</si>
  <si>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</si>
  <si>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</si>
  <si>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</si>
  <si>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</si>
  <si>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</si>
  <si>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</si>
  <si>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</si>
  <si>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</si>
  <si>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</si>
  <si>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</si>
  <si>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</si>
  <si>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</si>
  <si>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</si>
  <si>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</si>
  <si>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</si>
  <si>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</si>
  <si>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</si>
  <si>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</si>
  <si>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</si>
  <si>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</si>
  <si>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</si>
  <si>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</si>
  <si>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</si>
  <si>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</si>
  <si>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</si>
  <si>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</si>
  <si>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</si>
  <si>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</si>
  <si>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</si>
  <si>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</si>
  <si>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</si>
  <si>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</si>
  <si>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</si>
  <si>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</si>
  <si>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</si>
  <si>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</si>
  <si>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</si>
  <si>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</si>
  <si>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</si>
  <si>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</si>
  <si>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</si>
  <si>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</si>
  <si>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</si>
  <si>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</si>
  <si>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</si>
  <si>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</si>
  <si>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</si>
  <si>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</si>
  <si>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</si>
  <si>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</si>
  <si>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</si>
  <si>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</si>
  <si>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</si>
  <si>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</si>
  <si>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</si>
  <si>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</si>
  <si>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</si>
  <si>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</si>
  <si>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</si>
  <si>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</si>
  <si>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</si>
  <si>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</si>
  <si>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</si>
  <si>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</si>
  <si>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</si>
  <si>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</si>
  <si>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</si>
  <si>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</si>
  <si>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</si>
  <si>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</si>
  <si>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</si>
  <si>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</si>
  <si>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</si>
  <si>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</si>
  <si>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</si>
  <si>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</si>
  <si>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</si>
  <si>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</si>
  <si>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</si>
  <si>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</si>
  <si>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</si>
  <si>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</si>
  <si>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</si>
  <si>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</si>
  <si>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</si>
  <si>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</si>
  <si>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</si>
  <si>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</si>
  <si>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</si>
  <si>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</si>
  <si>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</si>
  <si>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</si>
  <si>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</si>
  <si>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</si>
  <si>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</si>
  <si>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</si>
  <si>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</si>
  <si>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</si>
  <si>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</si>
  <si>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</si>
  <si>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</si>
  <si>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</si>
  <si>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</si>
  <si>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</si>
  <si>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</si>
  <si>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</si>
  <si>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</si>
  <si>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</si>
  <si>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</si>
  <si>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</si>
  <si>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</si>
  <si>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</si>
  <si>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</si>
  <si>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</si>
  <si>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</si>
  <si>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</si>
  <si>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</si>
  <si>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</si>
  <si>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</si>
  <si>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</si>
  <si>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</si>
  <si>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</si>
  <si>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</si>
  <si>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</si>
  <si>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</si>
  <si>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</si>
  <si>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</si>
  <si>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</si>
  <si>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</si>
  <si>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</si>
  <si>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</si>
  <si>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</si>
  <si>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</si>
  <si>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</si>
  <si>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</si>
  <si>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</si>
  <si>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</si>
  <si>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</si>
  <si>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</si>
  <si>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</si>
  <si>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</si>
  <si>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</si>
  <si>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</si>
  <si>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</si>
  <si>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</si>
  <si>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</si>
  <si>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</si>
  <si>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</si>
  <si>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</si>
  <si>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</si>
  <si>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</si>
  <si>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</si>
  <si>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</si>
  <si>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</si>
  <si>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</si>
  <si>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</si>
  <si>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</si>
  <si>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</si>
  <si>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</si>
  <si>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</si>
  <si>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</si>
  <si>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</si>
  <si>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</si>
  <si>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</si>
  <si>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</si>
  <si>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</si>
  <si>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</si>
  <si>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</si>
  <si>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</si>
  <si>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</si>
  <si>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</si>
  <si>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</si>
  <si>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</si>
  <si>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</si>
  <si>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</si>
  <si>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</si>
  <si>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</si>
  <si>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</si>
  <si>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</si>
  <si>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</si>
  <si>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</si>
  <si>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</si>
  <si>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</si>
  <si>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</si>
  <si>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</si>
  <si>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</si>
  <si>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</si>
  <si>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</si>
  <si>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</si>
  <si>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</si>
  <si>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</si>
  <si>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</si>
  <si>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</si>
  <si>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</si>
  <si>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</si>
  <si>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</si>
  <si>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</si>
  <si>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</si>
  <si>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</si>
  <si>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</si>
  <si>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</si>
  <si>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</si>
  <si>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</si>
  <si>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</si>
  <si>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</si>
  <si>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</si>
  <si>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</si>
  <si>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</si>
  <si>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</si>
  <si>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</si>
  <si>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</si>
  <si>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</si>
  <si>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</si>
  <si>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</si>
  <si>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</si>
  <si>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</si>
  <si>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</si>
  <si>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</si>
  <si>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</si>
  <si>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</si>
  <si>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</si>
  <si>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</si>
  <si>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</si>
  <si>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</si>
  <si>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</si>
  <si>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</si>
  <si>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</si>
  <si>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</si>
  <si>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</si>
  <si>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</si>
  <si>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</si>
  <si>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</si>
  <si>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</si>
  <si>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</si>
  <si>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</si>
  <si>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</si>
  <si>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</si>
  <si>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</si>
  <si>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</si>
  <si>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</si>
  <si>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</si>
  <si>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</si>
  <si>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</si>
  <si>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</si>
  <si>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</si>
  <si>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</si>
  <si>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</si>
  <si>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</si>
  <si>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</si>
  <si>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</si>
  <si>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</si>
  <si>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</si>
  <si>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</si>
  <si>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</si>
  <si>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</si>
  <si>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</si>
  <si>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</si>
  <si>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</si>
  <si>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</si>
  <si>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</si>
  <si>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</si>
  <si>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</si>
  <si>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</si>
  <si>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</si>
  <si>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</si>
  <si>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</si>
  <si>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</si>
  <si>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</si>
  <si>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</si>
  <si>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</si>
  <si>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</si>
  <si>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</si>
  <si>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</si>
  <si>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</si>
  <si>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</si>
  <si>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</si>
  <si>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</si>
  <si>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</si>
  <si>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</si>
  <si>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</si>
  <si>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</si>
  <si>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</si>
  <si>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</si>
  <si>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</si>
  <si>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</si>
  <si>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</si>
  <si>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</si>
  <si>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</si>
  <si>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</si>
  <si>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</si>
  <si>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</si>
  <si>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</si>
  <si>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</si>
  <si>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</si>
  <si>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</si>
  <si>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</si>
  <si>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</si>
  <si>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</si>
  <si>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</si>
  <si>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</si>
  <si>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</si>
  <si>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</si>
  <si>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</si>
  <si>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</si>
  <si>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</si>
  <si>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</si>
  <si>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</si>
  <si>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</si>
  <si>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</si>
  <si>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</si>
  <si>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</si>
  <si>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</si>
  <si>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</si>
  <si>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</si>
  <si>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</si>
  <si>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</si>
  <si>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</si>
  <si>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</si>
  <si>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</si>
  <si>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</si>
  <si>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</si>
  <si>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</si>
  <si>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</si>
  <si>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</si>
  <si>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</si>
  <si>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</si>
  <si>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</si>
  <si>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</si>
  <si>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</si>
  <si>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</si>
  <si>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</si>
  <si>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</si>
  <si>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</si>
  <si>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</si>
  <si>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</si>
  <si>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</si>
  <si>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</si>
  <si>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</si>
  <si>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</si>
  <si>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</si>
  <si>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</si>
  <si>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</si>
  <si>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</si>
  <si>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</si>
  <si>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</si>
  <si>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</si>
  <si>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</si>
  <si>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</si>
  <si>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</si>
  <si>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</si>
  <si>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</si>
  <si>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</si>
  <si>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</si>
  <si>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</si>
  <si>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</si>
  <si>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</si>
  <si>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</si>
  <si>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</si>
  <si>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</si>
  <si>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</si>
  <si>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</si>
  <si>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</si>
  <si>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</si>
  <si>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</si>
  <si>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</si>
  <si>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</si>
  <si>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</si>
  <si>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</si>
  <si>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</si>
  <si>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</si>
  <si>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</si>
  <si>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</si>
  <si>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</si>
  <si>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</si>
  <si>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</si>
  <si>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</si>
  <si>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</si>
  <si>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</si>
  <si>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</si>
  <si>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</si>
  <si>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</si>
  <si>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</si>
  <si>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</si>
  <si>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</si>
  <si>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</si>
  <si>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</si>
  <si>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</si>
  <si>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</si>
  <si>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</si>
  <si>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</si>
  <si>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</si>
  <si>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</si>
  <si>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</si>
  <si>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</si>
  <si>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</si>
  <si>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</si>
  <si>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</si>
  <si>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</si>
  <si>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</si>
  <si>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</si>
  <si>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</si>
  <si>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</si>
  <si>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</si>
  <si>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</si>
  <si>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</si>
  <si>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</si>
  <si>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</si>
  <si>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</si>
  <si>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</si>
  <si>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</si>
  <si>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</si>
  <si>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</si>
  <si>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</si>
  <si>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</si>
  <si>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</si>
  <si>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</si>
  <si>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</si>
  <si>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</si>
  <si>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</si>
  <si>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</si>
  <si>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</si>
  <si>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</si>
  <si>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</si>
  <si>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</si>
  <si>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</si>
  <si>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</si>
  <si>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</si>
  <si>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</si>
  <si>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</si>
  <si>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</si>
  <si>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</si>
  <si>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</si>
  <si>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</si>
  <si>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</si>
  <si>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</si>
  <si>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</si>
  <si>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</si>
  <si>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</si>
  <si>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</si>
  <si>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</si>
  <si>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</si>
  <si>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</si>
  <si>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</si>
  <si>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</si>
  <si>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</si>
  <si>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</si>
  <si>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</si>
  <si>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</si>
  <si>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</si>
  <si>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</si>
  <si>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</si>
  <si>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</si>
  <si>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</si>
  <si>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LTV-22001</t>
    <phoneticPr fontId="2" type="noConversion"/>
  </si>
  <si>
    <t>LTV-22002</t>
    <phoneticPr fontId="2" type="noConversion"/>
  </si>
  <si>
    <t>LTV-22003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</si>
  <si>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</si>
  <si>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</si>
  <si>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</si>
  <si>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Holiday</t>
    <phoneticPr fontId="2" type="noConversion"/>
  </si>
  <si>
    <t>2389224-NL1TT</t>
  </si>
  <si>
    <t>DHGK-2113-1</t>
    <phoneticPr fontId="2" type="noConversion"/>
  </si>
  <si>
    <t>SP</t>
  </si>
  <si>
    <t>BTS</t>
  </si>
  <si>
    <t>FA</t>
  </si>
  <si>
    <t>HO</t>
  </si>
  <si>
    <t>Holiday</t>
  </si>
  <si>
    <t>XMAS</t>
  </si>
  <si>
    <t>DHGV-2200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</si>
  <si>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</si>
  <si>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</si>
  <si>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</si>
  <si>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</si>
  <si>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</si>
  <si>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</si>
  <si>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</si>
  <si>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BLUE BLOCKED</t>
  </si>
  <si>
    <t>133S0184</t>
  </si>
  <si>
    <t>2390633-US1TT</t>
  </si>
  <si>
    <t>2390634-NL1TT</t>
  </si>
  <si>
    <t>국내 원부자재</t>
  </si>
  <si>
    <t>KRW</t>
  </si>
  <si>
    <t>과세</t>
  </si>
  <si>
    <t>T/T</t>
  </si>
  <si>
    <t>삼성고무</t>
  </si>
  <si>
    <t>우리은행</t>
  </si>
  <si>
    <t>DHGI-2207T</t>
    <phoneticPr fontId="2" type="noConversion"/>
  </si>
  <si>
    <t>Updated</t>
    <phoneticPr fontId="2" type="noConversion"/>
  </si>
  <si>
    <t>Costco</t>
  </si>
  <si>
    <t>FLOW</t>
  </si>
  <si>
    <t>FLOW2</t>
  </si>
  <si>
    <t>AAAAAA</t>
    <phoneticPr fontId="2" type="noConversion"/>
  </si>
  <si>
    <t>t</t>
    <phoneticPr fontId="2" type="noConversion"/>
  </si>
  <si>
    <t>CI#</t>
    <phoneticPr fontId="2" type="noConversion"/>
  </si>
  <si>
    <t>133S0132-T</t>
  </si>
  <si>
    <t>Lands End</t>
  </si>
  <si>
    <t>XERSION</t>
  </si>
  <si>
    <t>Womens</t>
  </si>
  <si>
    <t>Knit</t>
  </si>
  <si>
    <t>HK1OU</t>
  </si>
  <si>
    <t>NL1OU</t>
  </si>
  <si>
    <t>US1OU</t>
  </si>
  <si>
    <t>6201930000</t>
  </si>
  <si>
    <t>6201936000</t>
  </si>
  <si>
    <t>6202930000</t>
  </si>
  <si>
    <t>6202931500</t>
  </si>
  <si>
    <t>6202934800</t>
  </si>
  <si>
    <t>6211339000</t>
  </si>
  <si>
    <t>AQUAMARINE WASH AM2133_016APV1_COLORWAY70</t>
  </si>
  <si>
    <t>Barbados Cherry</t>
  </si>
  <si>
    <t>Barbados Cherry 19-1757 TCX</t>
  </si>
  <si>
    <t>Beetle</t>
  </si>
  <si>
    <t>Black Beauty w Black Fur</t>
  </si>
  <si>
    <t>Black Beauty w Graphic</t>
  </si>
  <si>
    <t>BLACK FLORAL AM2133_033APV1_COLORWAY79</t>
  </si>
  <si>
    <t>BLACK GROUND FLORAL AM2133_031APv2c11</t>
  </si>
  <si>
    <t>Black w Frosted Fur</t>
  </si>
  <si>
    <t>Black White Block</t>
  </si>
  <si>
    <t>Black with Black Fur</t>
  </si>
  <si>
    <t>Blue Black Plaid</t>
  </si>
  <si>
    <t>Blue Micro Geo AM2133_011APV2-005</t>
  </si>
  <si>
    <t>BLUE SPIRAL WASH AM2133 034APV1</t>
  </si>
  <si>
    <t>Blue Tri Block AM2133_024APv1_colorway5</t>
  </si>
  <si>
    <t>Blue TriBlock</t>
  </si>
  <si>
    <t>Bold Floral AM2133037APv1 c6</t>
  </si>
  <si>
    <t>Brook Green (Pantone 13-6009 TCX Brook Green)</t>
  </si>
  <si>
    <t>Brown</t>
  </si>
  <si>
    <t>Cameo Blue</t>
  </si>
  <si>
    <t>cashmere rose</t>
  </si>
  <si>
    <t>Cationic Black Ombre</t>
  </si>
  <si>
    <t>CHAIN LINK RETRO GEO am2133 039apv1 c3</t>
  </si>
  <si>
    <t>CROSS RETRO GEO am2133 038apv1 c11</t>
  </si>
  <si>
    <t>Daisy Water Color AM2133036APv1 c4</t>
  </si>
  <si>
    <t>Grape Leaf</t>
  </si>
  <si>
    <t>Grey Logo (pantone 18-0201 TCX Castlerock)</t>
  </si>
  <si>
    <t>Grey/Black Block</t>
  </si>
  <si>
    <t>HDF2132_002 Color Check Black Tan Cream</t>
  </si>
  <si>
    <t>HDF2132_003 Balance Square Plaid Navy</t>
  </si>
  <si>
    <t>HDF2132_004 Multi Color Ombre Black to Neutral</t>
  </si>
  <si>
    <t>Lavender</t>
  </si>
  <si>
    <t>Light Grey Oyster Mushroom</t>
  </si>
  <si>
    <t>name_fg_color_id</t>
  </si>
  <si>
    <t>Navy Floral AM2133_018APv1_colorway17</t>
  </si>
  <si>
    <t>Navy Stripe AM2133_026APv1_COLORWAY1</t>
  </si>
  <si>
    <t>Navy Wash AM2133 024APV3 034</t>
  </si>
  <si>
    <t>Navy, White Block</t>
  </si>
  <si>
    <t>Oatmeal and Goat Colorblock</t>
  </si>
  <si>
    <t>Olive per header</t>
  </si>
  <si>
    <t>PRIDE</t>
  </si>
  <si>
    <t>Quiet Grey and Bright White Colorblock</t>
  </si>
  <si>
    <t>Quiet Harbor</t>
  </si>
  <si>
    <t>Red Geo AM2133_032APv1_colorway15</t>
  </si>
  <si>
    <t>Rust Wash AM2133_024APv1_colorway25</t>
  </si>
  <si>
    <t>Sage Pomegranate FLORAL PRINT AM2133_042APv1c4</t>
  </si>
  <si>
    <t>Sandshell</t>
  </si>
  <si>
    <t>Sky Captain Pantone19-3922 TCX SKY CAPTAIN</t>
  </si>
  <si>
    <t>SKY CAPTAIN PIPING PANTONE 19-3922 TCX SKY CAPTAIN</t>
  </si>
  <si>
    <t>STRAW</t>
  </si>
  <si>
    <t>SUNBAKED</t>
  </si>
  <si>
    <t>TAN PLAID</t>
  </si>
  <si>
    <t>32</t>
    <phoneticPr fontId="2" type="noConversion"/>
  </si>
  <si>
    <t>32 REG</t>
    <phoneticPr fontId="2" type="noConversion"/>
  </si>
  <si>
    <t>32-TALL</t>
    <phoneticPr fontId="2" type="noConversion"/>
  </si>
  <si>
    <t>32LONG</t>
    <phoneticPr fontId="2" type="noConversion"/>
  </si>
  <si>
    <t>32P</t>
    <phoneticPr fontId="2" type="noConversion"/>
  </si>
  <si>
    <t>32REG</t>
    <phoneticPr fontId="2" type="noConversion"/>
  </si>
  <si>
    <t>32SHORT</t>
    <phoneticPr fontId="2" type="noConversion"/>
  </si>
  <si>
    <t>32TALL</t>
    <phoneticPr fontId="2" type="noConversion"/>
  </si>
  <si>
    <t>Tradewinds</t>
    <phoneticPr fontId="2" type="noConversion"/>
  </si>
  <si>
    <t>Traditional Camo Light Whites</t>
    <phoneticPr fontId="2" type="noConversion"/>
  </si>
  <si>
    <t>TREND LOGO SKY CAPTAIN</t>
    <phoneticPr fontId="2" type="noConversion"/>
  </si>
  <si>
    <t>Tuffet</t>
    <phoneticPr fontId="2" type="noConversion"/>
  </si>
  <si>
    <t>TUR TURQUOISE</t>
    <phoneticPr fontId="2" type="noConversion"/>
  </si>
  <si>
    <t>TURBAL TL TD</t>
    <phoneticPr fontId="2" type="noConversion"/>
  </si>
  <si>
    <t>TURQUOIS GATOR FLOATIES</t>
    <phoneticPr fontId="2" type="noConversion"/>
  </si>
  <si>
    <t xml:space="preserve">Turquoise Baltic Teal Tie Dye </t>
    <phoneticPr fontId="2" type="noConversion"/>
  </si>
  <si>
    <t>Turquoise Multi graphic floral</t>
    <phoneticPr fontId="2" type="noConversion"/>
  </si>
  <si>
    <t>Turquoise-Blue Stripe</t>
    <phoneticPr fontId="2" type="noConversion"/>
  </si>
  <si>
    <t>TWO TONE PALM</t>
    <phoneticPr fontId="2" type="noConversion"/>
  </si>
  <si>
    <t>UKJ BLACK WHITE GINGHAM PRINT</t>
    <phoneticPr fontId="2" type="noConversion"/>
  </si>
  <si>
    <t xml:space="preserve">Ultimate Gray Camo </t>
    <phoneticPr fontId="2" type="noConversion"/>
  </si>
  <si>
    <t>Ultimate Gray Diamond Geo</t>
    <phoneticPr fontId="2" type="noConversion"/>
  </si>
  <si>
    <t>Vibrant Blue</t>
    <phoneticPr fontId="2" type="noConversion"/>
  </si>
  <si>
    <t>Victoria Blue Full Zip</t>
    <phoneticPr fontId="2" type="noConversion"/>
  </si>
  <si>
    <t>Vintage Indigo</t>
    <phoneticPr fontId="2" type="noConversion"/>
  </si>
  <si>
    <t>WARM STONE</t>
    <phoneticPr fontId="2" type="noConversion"/>
  </si>
  <si>
    <t>WH0 BLACK HAVANA FLORAL</t>
    <phoneticPr fontId="2" type="noConversion"/>
  </si>
  <si>
    <t>White</t>
    <phoneticPr fontId="2" type="noConversion"/>
  </si>
  <si>
    <t>WHITE AND TAN SEERSUCKER AM2233_021APv3c4</t>
    <phoneticPr fontId="2" type="noConversion"/>
  </si>
  <si>
    <t>White Pepper (pantone 15-1307 TCX white pepper)</t>
    <phoneticPr fontId="2" type="noConversion"/>
  </si>
  <si>
    <t>White Red Black Block</t>
    <phoneticPr fontId="2" type="noConversion"/>
  </si>
  <si>
    <t>White with Black Fur</t>
    <phoneticPr fontId="2" type="noConversion"/>
  </si>
  <si>
    <t>White-pink striped palm</t>
    <phoneticPr fontId="2" type="noConversion"/>
  </si>
  <si>
    <t>WINDCHIME Pantone 14-4002</t>
    <phoneticPr fontId="2" type="noConversion"/>
  </si>
  <si>
    <t>Wine Tasting</t>
    <phoneticPr fontId="2" type="noConversion"/>
  </si>
  <si>
    <t>Winetasting</t>
    <phoneticPr fontId="2" type="noConversion"/>
  </si>
  <si>
    <t>Yellow</t>
    <phoneticPr fontId="2" type="noConversion"/>
  </si>
  <si>
    <t>Yellow-Navy color block stripe</t>
    <phoneticPr fontId="2" type="noConversion"/>
  </si>
  <si>
    <t>XXXLARGE</t>
    <phoneticPr fontId="2" type="noConversion"/>
  </si>
  <si>
    <t xml:space="preserve">3Y0 Deep Sea Navy-Lemon Lime Mix </t>
  </si>
  <si>
    <t>TOASTED COCONUT</t>
    <phoneticPr fontId="2" type="noConversion"/>
  </si>
  <si>
    <t>USA</t>
    <phoneticPr fontId="2" type="noConversion"/>
  </si>
  <si>
    <t>Sea</t>
  </si>
  <si>
    <t>Turquoise Multi graphic floral</t>
  </si>
  <si>
    <t>Vibrant Blue</t>
  </si>
  <si>
    <t>White-pink striped palm</t>
  </si>
  <si>
    <t>Yellow-Navy color block stripe</t>
  </si>
  <si>
    <t>3XLT</t>
  </si>
  <si>
    <t>4XLT</t>
  </si>
  <si>
    <t>L</t>
  </si>
  <si>
    <t>M</t>
  </si>
  <si>
    <t>S</t>
  </si>
  <si>
    <t>XL</t>
  </si>
  <si>
    <t>Deep sea navy tropic palm</t>
  </si>
  <si>
    <t>Royal Cobalt Seagull check</t>
  </si>
  <si>
    <t>Electric blue multi-swirl</t>
  </si>
  <si>
    <t>Navy multi stripe color block</t>
  </si>
  <si>
    <t>Compass red ombre embroidery</t>
  </si>
  <si>
    <t>ELBL MUL/SWI</t>
  </si>
  <si>
    <t>CPRDOMB EMB</t>
  </si>
  <si>
    <t>Navy yellow multi stripe</t>
  </si>
  <si>
    <t>506896</t>
  </si>
  <si>
    <t>DHGK-2117</t>
  </si>
  <si>
    <t>JCX21715</t>
  </si>
  <si>
    <t>Thien Son Ha Nam Co.,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</si>
</sst>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9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1598930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44451</xdr:rowOff>
    </xdr:from>
    <xdr:to>
      <xdr:col>2</xdr:col>
      <xdr:colOff>323850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384175</xdr:colOff>
      <xdr:row>0</xdr:row>
      <xdr:rowOff>47626</xdr:rowOff>
    </xdr:from>
    <xdr:to>
      <xdr:col>3</xdr:col>
      <xdr:colOff>508000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184150</xdr:colOff>
          <xdr:row>1</xdr:row>
          <xdr:rowOff>222250</xdr:rowOff>
        </xdr:from>
        <xdr:to>
          <xdr:col>2</xdr:col>
          <xdr:colOff>933450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</xdr:row>
          <xdr:rowOff>222250</xdr:rowOff>
        </xdr:from>
        <xdr:to>
          <xdr:col>5</xdr:col>
          <xdr:colOff>95250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1</xdr:row>
          <xdr:rowOff>222250</xdr:rowOff>
        </xdr:from>
        <xdr:to>
          <xdr:col>7</xdr:col>
          <xdr:colOff>69850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989966</xdr:colOff>
      <xdr:row>1</xdr:row>
      <xdr:rowOff>206375</xdr:rowOff>
    </xdr:from>
    <xdr:to>
      <xdr:col>9</xdr:col>
      <xdr:colOff>244476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254001</xdr:colOff>
      <xdr:row>1</xdr:row>
      <xdr:rowOff>209551</xdr:rowOff>
    </xdr:from>
    <xdr:to>
      <xdr:col>11</xdr:col>
      <xdr:colOff>365126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755650</xdr:colOff>
          <xdr:row>0</xdr:row>
          <xdr:rowOff>25400</xdr:rowOff>
        </xdr:from>
        <xdr:to>
          <xdr:col>9</xdr:col>
          <xdr:colOff>260350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344171</xdr:colOff>
      <xdr:row>0</xdr:row>
      <xdr:rowOff>12700</xdr:rowOff>
    </xdr:from>
    <xdr:to>
      <xdr:col>9</xdr:col>
      <xdr:colOff>623571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225425</xdr:colOff>
      <xdr:row>0</xdr:row>
      <xdr:rowOff>47626</xdr:rowOff>
    </xdr:from>
    <xdr:to>
      <xdr:col>11</xdr:col>
      <xdr:colOff>728980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412750</xdr:colOff>
      <xdr:row>1</xdr:row>
      <xdr:rowOff>177800</xdr:rowOff>
    </xdr:from>
    <xdr:to>
      <xdr:col>11</xdr:col>
      <xdr:colOff>760730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191991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127000</xdr:colOff>
      <xdr:row>1</xdr:row>
      <xdr:rowOff>215900</xdr:rowOff>
    </xdr:from>
    <xdr:to>
      <xdr:col>3</xdr:col>
      <xdr:colOff>842452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5</xdr:col>
      <xdr:colOff>190500</xdr:colOff>
      <xdr:row>1</xdr:row>
      <xdr:rowOff>209550</xdr:rowOff>
    </xdr:from>
    <xdr:to>
      <xdr:col>6</xdr:col>
      <xdr:colOff>99587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1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9</xdr:col>
      <xdr:colOff>368300</xdr:colOff>
      <xdr:row>1</xdr:row>
      <xdr:rowOff>209550</xdr:rowOff>
    </xdr:from>
    <xdr:to>
      <xdr:col>10</xdr:col>
      <xdr:colOff>181610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25400</xdr:colOff>
          <xdr:row>1</xdr:row>
          <xdr:rowOff>215900</xdr:rowOff>
        </xdr:from>
        <xdr:to>
          <xdr:col>8</xdr:col>
          <xdr:colOff>914400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152400</xdr:colOff>
      <xdr:row>1</xdr:row>
      <xdr:rowOff>200660</xdr:rowOff>
    </xdr:from>
    <xdr:to>
      <xdr:col>8</xdr:col>
      <xdr:colOff>25400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9</xdr:col>
          <xdr:colOff>317500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12</xdr:col>
      <xdr:colOff>662941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37647" cy="979021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2</xdr:col>
      <xdr:colOff>1905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25400</xdr:colOff>
      <xdr:row>0</xdr:row>
      <xdr:rowOff>47626</xdr:rowOff>
    </xdr:from>
    <xdr:to>
      <xdr:col>3</xdr:col>
      <xdr:colOff>299720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2004060</xdr:colOff>
      <xdr:row>1</xdr:row>
      <xdr:rowOff>194310</xdr:rowOff>
    </xdr:from>
    <xdr:to>
      <xdr:col>6</xdr:col>
      <xdr:colOff>2415540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488950</xdr:colOff>
          <xdr:row>0</xdr:row>
          <xdr:rowOff>0</xdr:rowOff>
        </xdr:from>
        <xdr:to>
          <xdr:col>11</xdr:col>
          <xdr:colOff>304800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0</xdr:rowOff>
        </xdr:from>
        <xdr:to>
          <xdr:col>12</xdr:col>
          <xdr:colOff>660400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143510</xdr:colOff>
      <xdr:row>1</xdr:row>
      <xdr:rowOff>233680</xdr:rowOff>
    </xdr:from>
    <xdr:to>
      <xdr:col>6</xdr:col>
      <xdr:colOff>1019175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584200</xdr:colOff>
          <xdr:row>1</xdr:row>
          <xdr:rowOff>215900</xdr:rowOff>
        </xdr:from>
        <xdr:to>
          <xdr:col>4</xdr:col>
          <xdr:colOff>1079500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102870</xdr:colOff>
      <xdr:row>1</xdr:row>
      <xdr:rowOff>209550</xdr:rowOff>
    </xdr:from>
    <xdr:to>
      <xdr:col>3</xdr:col>
      <xdr:colOff>575310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1200150</xdr:colOff>
      <xdr:row>1</xdr:row>
      <xdr:rowOff>210820</xdr:rowOff>
    </xdr:from>
    <xdr:to>
      <xdr:col>5</xdr:col>
      <xdr:colOff>58420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81500" y="598170"/>
          <a:ext cx="30607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712471</xdr:colOff>
      <xdr:row>0</xdr:row>
      <xdr:rowOff>0</xdr:rowOff>
    </xdr:from>
    <xdr:to>
      <xdr:col>16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1</xdr:row>
          <xdr:rowOff>215900</xdr:rowOff>
        </xdr:from>
        <xdr:to>
          <xdr:col>2</xdr:col>
          <xdr:colOff>19050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464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208281</xdr:colOff>
      <xdr:row>1</xdr:row>
      <xdr:rowOff>234950</xdr:rowOff>
    </xdr:from>
    <xdr:to>
      <xdr:col>6</xdr:col>
      <xdr:colOff>82551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1076960</xdr:colOff>
      <xdr:row>1</xdr:row>
      <xdr:rowOff>233680</xdr:rowOff>
    </xdr:from>
    <xdr:to>
      <xdr:col>6</xdr:col>
      <xdr:colOff>1952625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3</xdr:col>
      <xdr:colOff>359410</xdr:colOff>
      <xdr:row>0</xdr:row>
      <xdr:rowOff>57150</xdr:rowOff>
    </xdr:from>
    <xdr:to>
      <xdr:col>4</xdr:col>
      <xdr:colOff>817245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5</xdr:col>
          <xdr:colOff>158750</xdr:colOff>
          <xdr:row>2</xdr:row>
          <xdr:rowOff>177800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367764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1559453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381842</xdr:colOff>
      <xdr:row>1</xdr:row>
      <xdr:rowOff>63500</xdr:rowOff>
    </xdr:from>
    <xdr:to>
      <xdr:col>11</xdr:col>
      <xdr:colOff>1411689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1449789</xdr:colOff>
      <xdr:row>1</xdr:row>
      <xdr:rowOff>38100</xdr:rowOff>
    </xdr:from>
    <xdr:to>
      <xdr:col>11</xdr:col>
      <xdr:colOff>1826979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307907</xdr:colOff>
      <xdr:row>0</xdr:row>
      <xdr:rowOff>323616</xdr:rowOff>
    </xdr:from>
    <xdr:to>
      <xdr:col>23</xdr:col>
      <xdr:colOff>282218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263413</xdr:colOff>
      <xdr:row>0</xdr:row>
      <xdr:rowOff>323616</xdr:rowOff>
    </xdr:from>
    <xdr:to>
      <xdr:col>22</xdr:col>
      <xdr:colOff>244407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259802</xdr:colOff>
      <xdr:row>0</xdr:row>
      <xdr:rowOff>323616</xdr:rowOff>
    </xdr:from>
    <xdr:to>
      <xdr:col>21</xdr:col>
      <xdr:colOff>149113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412813</xdr:colOff>
      <xdr:row>0</xdr:row>
      <xdr:rowOff>323616</xdr:rowOff>
    </xdr:from>
    <xdr:to>
      <xdr:col>20</xdr:col>
      <xdr:colOff>158202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311150</xdr:colOff>
          <xdr:row>0</xdr:row>
          <xdr:rowOff>69850</xdr:rowOff>
        </xdr:from>
        <xdr:to>
          <xdr:col>23</xdr:col>
          <xdr:colOff>349250</xdr:colOff>
          <xdr:row>1</xdr:row>
          <xdr:rowOff>374650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W1"/>
  <sheetViews>
    <sheetView showGridLines="0" zoomScale="85" zoomScaleNormal="85" workbookViewId="0">
      <selection activeCell="AA4" sqref="AA4"/>
    </sheetView>
  </sheetViews>
  <sheetFormatPr defaultColWidth="8.796875" defaultRowHeight="14.5" customHeight="1"/>
  <cols>
    <col min="1" max="16384" width="8.796875" style="20"/>
  </cols>
  <sheetData>
    <row r="1" spans="23:23" s="45" customFormat="1" ht="30.5" customHeight="1">
      <c r="W1" s="45">
        <f>COUNTIF(dupl_po!$A:$A,C2&amp;"-"&amp;E2)</f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59" customWidth="1"/>
    <col min="2" max="2" width="19.8984375" style="59" bestFit="1" customWidth="1"/>
    <col min="3" max="4" width="14.296875" style="59" customWidth="1"/>
    <col min="5" max="5" width="12.69921875" style="59" customWidth="1"/>
    <col min="6" max="6" width="14.296875" style="59" customWidth="1"/>
    <col min="7" max="16384" width="8.796875" style="59"/>
  </cols>
  <sheetData>
    <row r="1" spans="1:11">
      <c r="A1" s="75" t="s">
        <v>3237</v>
      </c>
      <c r="B1" s="74" t="s">
        <v>3238</v>
      </c>
      <c r="C1" s="74" t="s">
        <v>2089</v>
      </c>
      <c r="D1" s="74" t="s">
        <v>2096</v>
      </c>
      <c r="E1" s="74" t="s">
        <v>3247</v>
      </c>
      <c r="F1" s="74" t="s">
        <v>3246</v>
      </c>
      <c r="K1" s="78" t="e" cm="1">
        <f t="array" aca="1" ref="K1" ca="1">OFFSET(#REF!,,,COUNTA(#REF!)-1)</f>
        <v>#REF!</v>
      </c>
    </row>
    <row r="2" spans="1:11">
      <c r="A2" s="76" t="e">
        <f>SUM(#REF!)</f>
        <v>#REF!</v>
      </c>
      <c r="B2" s="59" t="e" cm="1">
        <f t="array" aca="1" ref="B2" ca="1">IF(메인!#REF!="O",_xlfn.UNIQUE(OFFSET(#REF!,,,COUNTA(#REF!)-1)),메인!#REF!)</f>
        <v>#REF!</v>
      </c>
      <c r="C2" s="59" t="e" cm="1">
        <f t="array" aca="1" ref="C2" ca="1">IF(메인!#REF!="O",_xlfn.UNIQUE(OFFSET(#REF!,,,COUNTA(#REF!)-1)),메인!#REF!)</f>
        <v>#REF!</v>
      </c>
      <c r="D2" s="59" t="e" cm="1">
        <f t="array" aca="1" ref="D2" ca="1">IF(메인!#REF!="O",_xlfn.UNIQUE(OFFSET(#REF!,,,COUNTA(#REF!)-1)),메인!#REF!)</f>
        <v>#REF!</v>
      </c>
      <c r="E2" s="73" t="e">
        <f ca="1">SUMIFS(#REF!,#REF!,B2,#REF!,C2,#REF!,D2)</f>
        <v>#REF!</v>
      </c>
    </row>
    <row r="3" spans="1:11">
      <c r="E3" s="73"/>
    </row>
    <row r="4" spans="1:11">
      <c r="A4" s="75" t="s">
        <v>3245</v>
      </c>
    </row>
    <row r="5" spans="1:11">
      <c r="A5" s="77" t="e">
        <f>SUM(#REF!)</f>
        <v>#REF!</v>
      </c>
    </row>
    <row r="27" spans="1:4">
      <c r="A27" s="60" t="s">
        <v>3238</v>
      </c>
      <c r="B27" s="61" t="s">
        <v>3234</v>
      </c>
      <c r="C27" s="62" t="s">
        <v>3232</v>
      </c>
      <c r="D27" s="63" t="s">
        <v>3233</v>
      </c>
    </row>
    <row r="28" spans="1:4">
      <c r="A28" s="64" t="s">
        <v>3229</v>
      </c>
      <c r="B28" s="65">
        <v>44409</v>
      </c>
      <c r="C28" s="66">
        <v>5000000</v>
      </c>
      <c r="D28" s="67">
        <v>2000000</v>
      </c>
    </row>
    <row r="29" spans="1:4">
      <c r="A29" s="64" t="s">
        <v>3231</v>
      </c>
      <c r="B29" s="65">
        <v>44409</v>
      </c>
      <c r="C29" s="66">
        <v>10000000</v>
      </c>
      <c r="D29" s="67">
        <v>7000000</v>
      </c>
    </row>
    <row r="30" spans="1:4">
      <c r="A30" s="64" t="s">
        <v>3230</v>
      </c>
      <c r="B30" s="65">
        <v>44409</v>
      </c>
      <c r="C30" s="66">
        <v>1000000</v>
      </c>
      <c r="D30" s="67">
        <v>1000000</v>
      </c>
    </row>
    <row r="31" spans="1:4">
      <c r="A31" s="68"/>
      <c r="B31" s="69"/>
      <c r="C31" s="70"/>
      <c r="D31" s="71"/>
    </row>
    <row r="32" spans="1:4">
      <c r="A32" s="68"/>
      <c r="B32" s="69"/>
      <c r="C32" s="70"/>
      <c r="D32" s="71"/>
    </row>
    <row r="33" spans="1:4">
      <c r="A33" s="68"/>
      <c r="B33" s="69"/>
      <c r="C33" s="70"/>
      <c r="D33" s="71"/>
    </row>
    <row r="34" spans="1:4">
      <c r="A34" s="68"/>
      <c r="B34" s="69"/>
      <c r="C34" s="70"/>
      <c r="D34" s="71"/>
    </row>
    <row r="35" spans="1:4">
      <c r="A35" s="60" t="s">
        <v>3235</v>
      </c>
      <c r="B35" s="61" t="s">
        <v>3234</v>
      </c>
      <c r="C35" s="62" t="s">
        <v>3232</v>
      </c>
      <c r="D35" s="63" t="s">
        <v>3233</v>
      </c>
    </row>
    <row r="36" spans="1:4">
      <c r="A36" s="64" t="e" cm="1">
        <f t="array" ref="A36">_xlfn.UNIQUE(#REF!)</f>
        <v>#REF!</v>
      </c>
      <c r="B36" s="65"/>
      <c r="C36" s="66" t="e">
        <f>SUMIF(#REF!,A36,#REF!)</f>
        <v>#REF!</v>
      </c>
      <c r="D36" s="67" t="e">
        <f>SUMIF(#REF!,A36,#REF!)</f>
        <v>#REF!</v>
      </c>
    </row>
    <row r="37" spans="1:4">
      <c r="A37" s="64"/>
      <c r="B37" s="65"/>
      <c r="C37" s="66" t="e">
        <f>SUMIF(#REF!,A37,#REF!)</f>
        <v>#REF!</v>
      </c>
      <c r="D37" s="67" t="e">
        <f>SUMIF(#REF!,A37,#REF!)</f>
        <v>#REF!</v>
      </c>
    </row>
    <row r="38" spans="1:4">
      <c r="A38" s="64"/>
      <c r="B38" s="65"/>
      <c r="C38" s="66" t="e">
        <f>SUMIF(#REF!,A38,#REF!)</f>
        <v>#REF!</v>
      </c>
      <c r="D38" s="67" t="e">
        <f>SUMIF(#REF!,A38,#REF!)</f>
        <v>#REF!</v>
      </c>
    </row>
    <row r="39" spans="1:4">
      <c r="A39" s="64"/>
      <c r="B39" s="65"/>
      <c r="C39" s="66" t="e">
        <f>SUMIF(#REF!,A39,#REF!)</f>
        <v>#REF!</v>
      </c>
      <c r="D39" s="67" t="e">
        <f>SUMIF(#REF!,A39,#REF!)</f>
        <v>#REF!</v>
      </c>
    </row>
    <row r="40" spans="1:4">
      <c r="A40" s="64"/>
      <c r="B40" s="65"/>
      <c r="C40" s="66" t="e">
        <f>SUMIF(#REF!,A40,#REF!)</f>
        <v>#REF!</v>
      </c>
      <c r="D40" s="67" t="e">
        <f>SUMIF(#REF!,A40,#REF!)</f>
        <v>#REF!</v>
      </c>
    </row>
    <row r="41" spans="1:4">
      <c r="A41" s="64"/>
      <c r="B41" s="65"/>
      <c r="C41" s="66" t="e">
        <f>SUMIF(#REF!,A41,#REF!)</f>
        <v>#REF!</v>
      </c>
      <c r="D41" s="67" t="e">
        <f>SUMIF(#REF!,A41,#REF!)</f>
        <v>#REF!</v>
      </c>
    </row>
    <row r="42" spans="1:4">
      <c r="A42" s="64"/>
      <c r="B42" s="65"/>
      <c r="C42" s="66" t="e">
        <f>SUMIF(#REF!,A42,#REF!)</f>
        <v>#REF!</v>
      </c>
      <c r="D42" s="67" t="e">
        <f>SUMIF(#REF!,A42,#REF!)</f>
        <v>#REF!</v>
      </c>
    </row>
    <row r="43" spans="1:4">
      <c r="A43" s="64"/>
      <c r="B43" s="65"/>
      <c r="C43" s="66" t="e">
        <f>SUMIF(#REF!,A43,#REF!)</f>
        <v>#REF!</v>
      </c>
      <c r="D43" s="67" t="e">
        <f>SUMIF(#REF!,A43,#REF!)</f>
        <v>#REF!</v>
      </c>
    </row>
    <row r="44" spans="1:4">
      <c r="A44" s="68"/>
      <c r="B44" s="69"/>
      <c r="C44" s="70"/>
      <c r="D44" s="71"/>
    </row>
    <row r="45" spans="1:4">
      <c r="A45" s="68"/>
      <c r="B45" s="69"/>
      <c r="C45" s="70"/>
      <c r="D45" s="71"/>
    </row>
    <row r="46" spans="1:4">
      <c r="A46" s="68"/>
      <c r="B46" s="69"/>
      <c r="C46" s="70"/>
      <c r="D46" s="71"/>
    </row>
    <row r="47" spans="1:4">
      <c r="A47" s="68"/>
      <c r="B47" s="69"/>
      <c r="C47" s="70"/>
      <c r="D47" s="71"/>
    </row>
    <row r="48" spans="1:4">
      <c r="A48" s="68"/>
      <c r="B48" s="69"/>
      <c r="C48" s="70"/>
      <c r="D48" s="71"/>
    </row>
    <row r="49" spans="1:4">
      <c r="A49" s="60" t="s">
        <v>2096</v>
      </c>
      <c r="B49" s="61" t="s">
        <v>3236</v>
      </c>
      <c r="C49" s="62" t="s">
        <v>3232</v>
      </c>
      <c r="D49" s="63" t="s">
        <v>3233</v>
      </c>
    </row>
    <row r="50" spans="1:4">
      <c r="A50" s="64" t="s">
        <v>3239</v>
      </c>
      <c r="B50" s="72"/>
      <c r="C50" s="66">
        <v>942719</v>
      </c>
      <c r="D50" s="67">
        <v>18222683.929999992</v>
      </c>
    </row>
    <row r="51" spans="1:4">
      <c r="A51" s="64" t="s">
        <v>3240</v>
      </c>
      <c r="B51" s="72"/>
      <c r="C51" s="66">
        <v>1042188</v>
      </c>
      <c r="D51" s="67">
        <v>7799645.3299999982</v>
      </c>
    </row>
    <row r="52" spans="1:4">
      <c r="A52" s="64" t="s">
        <v>3241</v>
      </c>
      <c r="B52" s="72"/>
      <c r="C52" s="66">
        <v>5319</v>
      </c>
      <c r="D52" s="67">
        <v>71987.34</v>
      </c>
    </row>
    <row r="53" spans="1:4">
      <c r="A53" s="64" t="s">
        <v>3242</v>
      </c>
      <c r="B53" s="72"/>
      <c r="C53" s="66">
        <v>0</v>
      </c>
      <c r="D53" s="67">
        <v>0</v>
      </c>
    </row>
    <row r="54" spans="1:4">
      <c r="A54" s="64" t="s">
        <v>3243</v>
      </c>
      <c r="B54" s="72"/>
      <c r="C54" s="66">
        <v>0</v>
      </c>
      <c r="D54" s="67">
        <v>0</v>
      </c>
    </row>
    <row r="55" spans="1:4">
      <c r="A55" s="64" t="s">
        <v>3244</v>
      </c>
      <c r="B55" s="72"/>
      <c r="C55" s="66">
        <v>585108</v>
      </c>
      <c r="D55" s="67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201"/>
  <sheetViews>
    <sheetView showGridLines="0" showRowColHeaders="0" zoomScale="85" zoomScaleNormal="85" workbookViewId="0">
      <pane ySplit="4" topLeftCell="A5" activePane="bottomLeft" state="frozen"/>
      <selection pane="bottomLeft" activeCell="I5" sqref="I5"/>
    </sheetView>
  </sheetViews>
  <sheetFormatPr defaultColWidth="8.796875" defaultRowHeight="12"/>
  <cols>
    <col min="1" max="1" width="8.3984375" style="20" customWidth="1"/>
    <col min="2" max="2" width="12.69921875" style="20" customWidth="1"/>
    <col min="3" max="4" width="15.69921875" style="20" customWidth="1"/>
    <col min="5" max="6" width="8.69921875" style="20" customWidth="1"/>
    <col min="7" max="8" width="13.69921875" style="20" customWidth="1"/>
    <col min="9" max="9" width="16.19921875" style="20" bestFit="1" customWidth="1"/>
    <col min="10" max="11" width="11.69921875" style="20" customWidth="1"/>
    <col min="12" max="12" width="38.3984375" style="20" bestFit="1" customWidth="1"/>
    <col min="13" max="13" width="25.3984375" style="20" customWidth="1"/>
    <col min="14" max="22" width="12.8984375" style="20" customWidth="1"/>
    <col min="23" max="16384" width="8.796875" style="20"/>
  </cols>
  <sheetData>
    <row r="1" spans="1:14" s="17" customFormat="1" ht="30.5" customHeight="1"/>
    <row r="2" spans="1:14" s="2" customFormat="1" ht="37.5" customHeight="1"/>
    <row r="3" spans="1:14" s="2" customFormat="1" ht="13">
      <c r="M3"/>
      <c r="N3"/>
    </row>
    <row r="4" spans="1:14" s="18" customFormat="1" ht="15" customHeight="1">
      <c r="A4" s="19" t="s">
        <v>2111</v>
      </c>
      <c r="B4" s="23" t="s">
        <v>2237</v>
      </c>
      <c r="C4" s="23" t="s">
        <v>2238</v>
      </c>
      <c r="D4" s="23" t="s">
        <v>2239</v>
      </c>
      <c r="E4" s="23" t="s">
        <v>2240</v>
      </c>
      <c r="F4" s="23" t="s">
        <v>2241</v>
      </c>
      <c r="G4" s="23" t="s">
        <v>2242</v>
      </c>
      <c r="H4" s="23" t="s">
        <v>2243</v>
      </c>
      <c r="I4" s="23" t="s">
        <v>2244</v>
      </c>
      <c r="J4" s="23" t="s">
        <v>2245</v>
      </c>
      <c r="K4" s="19" t="s">
        <v>2112</v>
      </c>
      <c r="L4" s="23" t="s">
        <v>2246</v>
      </c>
      <c r="M4" s="23" t="s">
        <v>2357</v>
      </c>
      <c r="N4" s="24" t="s">
        <v>2259</v>
      </c>
    </row>
    <row r="5" spans="1:14" s="45" customFormat="1" ht="15" customHeight="1">
      <c r="A5" s="45">
        <v>401</v>
      </c>
      <c r="B5" s="45" t="s">
        <v>931</v>
      </c>
      <c r="C5" s="20" t="s">
        <v>4278</v>
      </c>
      <c r="D5" s="45" t="s">
        <v>4404</v>
      </c>
      <c r="E5" s="45" t="s">
        <v>4245</v>
      </c>
      <c r="F5" s="45">
        <v>2022</v>
      </c>
      <c r="G5" s="45" t="s">
        <v>2329</v>
      </c>
      <c r="H5" s="45" t="s">
        <v>2330</v>
      </c>
      <c r="I5" s="20" t="s">
        <v>3161</v>
      </c>
      <c r="J5" s="45" t="s">
        <v>2840</v>
      </c>
      <c r="L5" s="45" t="s">
        <v>2334</v>
      </c>
    </row>
    <row r="6" spans="1:14" s="45" customFormat="1" ht="15" customHeight="1">
      <c r="A6" s="45">
        <v>523</v>
      </c>
      <c r="B6" s="45" t="s">
        <v>4405</v>
      </c>
      <c r="C6" s="45" t="s">
        <v>4279</v>
      </c>
      <c r="D6" s="45" t="s">
        <v>4406</v>
      </c>
      <c r="E6" s="45" t="s">
        <v>2327</v>
      </c>
      <c r="F6" s="45">
        <v>2022</v>
      </c>
      <c r="G6" s="45" t="s">
        <v>4280</v>
      </c>
      <c r="H6" s="45" t="s">
        <v>4281</v>
      </c>
      <c r="I6" s="45" t="s">
        <v>3161</v>
      </c>
      <c r="J6" s="45" t="s">
        <v>2840</v>
      </c>
      <c r="L6" s="45" t="s">
        <v>4407</v>
      </c>
    </row>
    <row r="7" spans="1:14" s="45" customFormat="1" ht="15" customHeight="1"/>
    <row r="8" spans="1:14" s="45" customFormat="1" ht="15" customHeight="1"/>
    <row r="9" spans="1:14" s="45" customFormat="1" ht="15" customHeight="1"/>
    <row r="10" spans="1:14" s="45" customFormat="1" ht="15" customHeight="1"/>
    <row r="11" spans="1:14" s="45" customFormat="1" ht="15" customHeight="1"/>
    <row r="12" spans="1:14" s="45" customFormat="1" ht="15" customHeight="1"/>
    <row r="13" spans="1:14" s="45" customFormat="1" ht="15" customHeight="1"/>
    <row r="14" spans="1:14" s="45" customFormat="1" ht="15" customHeight="1"/>
    <row r="15" spans="1:14" s="45" customFormat="1" ht="15" customHeight="1"/>
    <row r="16" spans="1:14" s="45" customFormat="1" ht="15" customHeight="1"/>
    <row r="17" spans="13:14" s="45" customFormat="1" ht="15" customHeight="1"/>
    <row r="18" spans="13:14" s="45" customFormat="1" ht="15" customHeight="1"/>
    <row r="19" spans="13:14" s="45" customFormat="1" ht="15" customHeight="1"/>
    <row r="20" spans="13:14" s="45" customFormat="1" ht="15" customHeight="1"/>
    <row r="21" spans="13:14" s="45" customFormat="1" ht="15" customHeight="1"/>
    <row r="22" spans="13:14" ht="15" customHeight="1">
      <c r="M22" s="45"/>
      <c r="N22" s="45"/>
    </row>
    <row r="23" spans="13:14" ht="15" customHeight="1">
      <c r="M23" s="45"/>
      <c r="N23" s="45"/>
    </row>
    <row r="24" spans="13:14" ht="15" customHeight="1">
      <c r="M24" s="45"/>
      <c r="N24" s="45"/>
    </row>
    <row r="25" spans="13:14" ht="15" customHeight="1">
      <c r="M25" s="45"/>
      <c r="N25" s="45"/>
    </row>
    <row r="26" spans="13:14" ht="15" customHeight="1">
      <c r="M26" s="45"/>
      <c r="N26" s="45"/>
    </row>
    <row r="27" spans="13:14" ht="15" customHeight="1">
      <c r="M27" s="45"/>
      <c r="N27" s="45"/>
    </row>
    <row r="28" spans="13:14" ht="15" customHeight="1">
      <c r="M28" s="45"/>
      <c r="N28" s="45"/>
    </row>
    <row r="29" spans="13:14" ht="15" customHeight="1">
      <c r="M29" s="45"/>
      <c r="N29" s="45"/>
    </row>
    <row r="30" spans="13:14" ht="15" customHeight="1">
      <c r="M30" s="45"/>
      <c r="N30" s="45"/>
    </row>
    <row r="31" spans="13:14" ht="15" customHeight="1">
      <c r="M31" s="45"/>
      <c r="N31" s="45"/>
    </row>
    <row r="32" spans="13:14" ht="15" customHeight="1">
      <c r="M32" s="45"/>
      <c r="N32" s="45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</sheetData>
  <autoFilter ref="A4:N4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25400</xdr:colOff>
                <xdr:row>1</xdr:row>
                <xdr:rowOff>215900</xdr:rowOff>
              </from>
              <to>
                <xdr:col>8</xdr:col>
                <xdr:colOff>914400</xdr:colOff>
                <xdr:row>1</xdr:row>
                <xdr:rowOff>469900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114300</xdr:colOff>
                <xdr:row>1</xdr:row>
                <xdr:rowOff>222250</xdr:rowOff>
              </from>
              <to>
                <xdr:col>7</xdr:col>
                <xdr:colOff>69850</xdr:colOff>
                <xdr:row>2</xdr:row>
                <xdr:rowOff>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3</xdr:col>
                <xdr:colOff>838200</xdr:colOff>
                <xdr:row>1</xdr:row>
                <xdr:rowOff>222250</xdr:rowOff>
              </from>
              <to>
                <xdr:col>5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184150</xdr:colOff>
                <xdr:row>1</xdr:row>
                <xdr:rowOff>222250</xdr:rowOff>
              </from>
              <to>
                <xdr:col>2</xdr:col>
                <xdr:colOff>933450</xdr:colOff>
                <xdr:row>2</xdr:row>
                <xdr:rowOff>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7</xdr:col>
                <xdr:colOff>755650</xdr:colOff>
                <xdr:row>0</xdr:row>
                <xdr:rowOff>25400</xdr:rowOff>
              </from>
              <to>
                <xdr:col>9</xdr:col>
                <xdr:colOff>260350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9</xdr:col>
                <xdr:colOff>317500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931"/>
  <sheetViews>
    <sheetView showGridLines="0" tabSelected="1" zoomScale="85" zoomScaleNormal="85" workbookViewId="0">
      <pane ySplit="4" topLeftCell="A5" activePane="bottomLeft" state="frozen"/>
      <selection pane="bottomLeft" activeCell="J5" sqref="J5"/>
    </sheetView>
  </sheetViews>
  <sheetFormatPr defaultColWidth="8.796875" defaultRowHeight="13"/>
  <cols>
    <col min="1" max="1" width="8.796875" style="2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5" customHeight="1">
      <c r="A4" s="19" t="s">
        <v>2111</v>
      </c>
      <c r="B4" s="23" t="s">
        <v>2345</v>
      </c>
      <c r="C4" s="23" t="s">
        <v>2346</v>
      </c>
      <c r="D4" s="19" t="s">
        <v>2348</v>
      </c>
      <c r="E4" s="19" t="s">
        <v>2356</v>
      </c>
      <c r="F4" s="19" t="s">
        <v>2350</v>
      </c>
      <c r="G4" s="19" t="s">
        <v>2360</v>
      </c>
      <c r="H4" s="19" t="s">
        <v>2352</v>
      </c>
      <c r="I4" s="37" t="s">
        <v>2358</v>
      </c>
      <c r="J4" s="42" t="s">
        <v>2353</v>
      </c>
      <c r="K4" s="42" t="s">
        <v>2354</v>
      </c>
      <c r="L4" s="19" t="s">
        <v>2357</v>
      </c>
      <c r="M4" s="24" t="s">
        <v>2259</v>
      </c>
    </row>
    <row r="5" spans="1:13" ht="15" customHeight="1">
      <c r="B5" s="2">
        <v>4500458475</v>
      </c>
      <c r="C5" s="2">
        <v>506896</v>
      </c>
      <c r="D5" s="2" t="s">
        <v>4385</v>
      </c>
      <c r="F5" s="2" t="s">
        <v>2361</v>
      </c>
      <c r="G5" s="56" t="s">
        <v>3248</v>
      </c>
      <c r="H5" s="2" t="s">
        <v>4394</v>
      </c>
      <c r="I5" s="35">
        <v>44475</v>
      </c>
      <c r="J5" s="38">
        <v>59</v>
      </c>
      <c r="K5" s="39">
        <v>5.6</v>
      </c>
    </row>
    <row r="6" spans="1:13" ht="15" customHeight="1">
      <c r="B6" s="2">
        <v>4500458475</v>
      </c>
      <c r="C6" s="2">
        <v>506896</v>
      </c>
      <c r="D6" s="2" t="s">
        <v>4385</v>
      </c>
      <c r="F6" s="2" t="s">
        <v>2361</v>
      </c>
      <c r="G6" s="56" t="s">
        <v>3248</v>
      </c>
      <c r="H6" s="2" t="s">
        <v>4393</v>
      </c>
      <c r="I6" s="35">
        <v>44475</v>
      </c>
      <c r="J6" s="38">
        <v>44</v>
      </c>
      <c r="K6" s="39">
        <v>5.6</v>
      </c>
    </row>
    <row r="7" spans="1:13" ht="15" customHeight="1">
      <c r="B7" s="2">
        <v>4500458475</v>
      </c>
      <c r="C7" s="2">
        <v>506896</v>
      </c>
      <c r="D7" s="2" t="s">
        <v>4385</v>
      </c>
      <c r="F7" s="2" t="s">
        <v>2361</v>
      </c>
      <c r="G7" s="56" t="s">
        <v>3248</v>
      </c>
      <c r="H7" s="2" t="s">
        <v>4392</v>
      </c>
      <c r="I7" s="35">
        <v>44475</v>
      </c>
      <c r="J7" s="38">
        <v>46</v>
      </c>
      <c r="K7" s="39">
        <v>5.6</v>
      </c>
    </row>
    <row r="8" spans="1:13" ht="15" customHeight="1">
      <c r="B8" s="2">
        <v>4500458475</v>
      </c>
      <c r="C8" s="2">
        <v>506896</v>
      </c>
      <c r="D8" s="2" t="s">
        <v>4385</v>
      </c>
      <c r="F8" s="2" t="s">
        <v>2361</v>
      </c>
      <c r="G8" s="56" t="s">
        <v>3248</v>
      </c>
      <c r="H8" s="2" t="s">
        <v>4395</v>
      </c>
      <c r="I8" s="35">
        <v>44475</v>
      </c>
      <c r="J8" s="38">
        <v>27</v>
      </c>
      <c r="K8" s="39">
        <v>5.6</v>
      </c>
    </row>
    <row r="9" spans="1:13" ht="15" customHeight="1">
      <c r="B9" s="2">
        <v>4500458475</v>
      </c>
      <c r="C9" s="2">
        <v>506896</v>
      </c>
      <c r="D9" s="2" t="s">
        <v>4385</v>
      </c>
      <c r="F9" s="2" t="s">
        <v>2361</v>
      </c>
      <c r="G9" s="56" t="s">
        <v>3248</v>
      </c>
      <c r="H9" s="2" t="s">
        <v>3224</v>
      </c>
      <c r="I9" s="35">
        <v>44475</v>
      </c>
      <c r="J9" s="38">
        <v>25</v>
      </c>
      <c r="K9" s="39">
        <v>5.6</v>
      </c>
    </row>
    <row r="10" spans="1:13" ht="15" customHeight="1">
      <c r="B10" s="2">
        <v>4500458475</v>
      </c>
      <c r="C10" s="2">
        <v>506896</v>
      </c>
      <c r="D10" s="2" t="s">
        <v>4385</v>
      </c>
      <c r="F10" s="2" t="s">
        <v>2361</v>
      </c>
      <c r="G10" s="56" t="s">
        <v>3249</v>
      </c>
      <c r="H10" s="2" t="s">
        <v>4394</v>
      </c>
      <c r="I10" s="35">
        <v>44475</v>
      </c>
      <c r="J10" s="38">
        <v>52</v>
      </c>
      <c r="K10" s="39">
        <v>5.84</v>
      </c>
    </row>
    <row r="11" spans="1:13" ht="15" customHeight="1">
      <c r="B11" s="2">
        <v>4500458475</v>
      </c>
      <c r="C11" s="2">
        <v>506896</v>
      </c>
      <c r="D11" s="2" t="s">
        <v>4385</v>
      </c>
      <c r="F11" s="2" t="s">
        <v>2361</v>
      </c>
      <c r="G11" s="56" t="s">
        <v>3249</v>
      </c>
      <c r="H11" s="2" t="s">
        <v>4393</v>
      </c>
      <c r="I11" s="35">
        <v>44475</v>
      </c>
      <c r="J11" s="38">
        <v>58</v>
      </c>
      <c r="K11" s="39">
        <v>5.84</v>
      </c>
    </row>
    <row r="12" spans="1:13" ht="15" customHeight="1">
      <c r="B12" s="2">
        <v>4500458475</v>
      </c>
      <c r="C12" s="2">
        <v>506896</v>
      </c>
      <c r="D12" s="2" t="s">
        <v>4385</v>
      </c>
      <c r="F12" s="2" t="s">
        <v>2361</v>
      </c>
      <c r="G12" s="56" t="s">
        <v>3249</v>
      </c>
      <c r="H12" s="2" t="s">
        <v>4392</v>
      </c>
      <c r="I12" s="35">
        <v>44475</v>
      </c>
      <c r="J12" s="38">
        <v>50</v>
      </c>
      <c r="K12" s="39">
        <v>5.84</v>
      </c>
    </row>
    <row r="13" spans="1:13" ht="15" customHeight="1">
      <c r="B13" s="2">
        <v>4500458475</v>
      </c>
      <c r="C13" s="2">
        <v>506896</v>
      </c>
      <c r="D13" s="2" t="s">
        <v>4385</v>
      </c>
      <c r="F13" s="2" t="s">
        <v>2361</v>
      </c>
      <c r="G13" s="56" t="s">
        <v>3249</v>
      </c>
      <c r="H13" s="2" t="s">
        <v>4395</v>
      </c>
      <c r="I13" s="35">
        <v>44475</v>
      </c>
      <c r="J13" s="38">
        <v>40</v>
      </c>
      <c r="K13" s="39">
        <v>5.84</v>
      </c>
    </row>
    <row r="14" spans="1:13" ht="15" customHeight="1">
      <c r="B14" s="2">
        <v>4500458475</v>
      </c>
      <c r="C14" s="2">
        <v>506896</v>
      </c>
      <c r="D14" s="2" t="s">
        <v>4385</v>
      </c>
      <c r="F14" s="2" t="s">
        <v>2361</v>
      </c>
      <c r="G14" s="2" t="s">
        <v>3250</v>
      </c>
      <c r="H14" s="2" t="s">
        <v>4394</v>
      </c>
      <c r="I14" s="35">
        <v>44475</v>
      </c>
      <c r="J14" s="38">
        <v>29</v>
      </c>
      <c r="K14" s="39">
        <v>6.9</v>
      </c>
    </row>
    <row r="15" spans="1:13" ht="15" customHeight="1">
      <c r="B15" s="2">
        <v>4500458475</v>
      </c>
      <c r="C15" s="2">
        <v>506896</v>
      </c>
      <c r="D15" s="2" t="s">
        <v>4385</v>
      </c>
      <c r="F15" s="2" t="s">
        <v>2361</v>
      </c>
      <c r="G15" s="2" t="s">
        <v>3250</v>
      </c>
      <c r="H15" s="2" t="s">
        <v>4393</v>
      </c>
      <c r="I15" s="35">
        <v>44475</v>
      </c>
      <c r="J15" s="38">
        <v>87</v>
      </c>
      <c r="K15" s="39">
        <v>6.9</v>
      </c>
    </row>
    <row r="16" spans="1:13" ht="15" customHeight="1">
      <c r="B16" s="2">
        <v>4500458475</v>
      </c>
      <c r="C16" s="2">
        <v>506896</v>
      </c>
      <c r="D16" s="2" t="s">
        <v>4385</v>
      </c>
      <c r="F16" s="2" t="s">
        <v>2361</v>
      </c>
      <c r="G16" s="2" t="s">
        <v>3250</v>
      </c>
      <c r="H16" s="2" t="s">
        <v>4392</v>
      </c>
      <c r="I16" s="35">
        <v>44475</v>
      </c>
      <c r="J16" s="38">
        <v>105</v>
      </c>
      <c r="K16" s="39">
        <v>6.9</v>
      </c>
    </row>
    <row r="17" spans="2:11" ht="15" customHeight="1">
      <c r="B17" s="2">
        <v>4500458475</v>
      </c>
      <c r="C17" s="2">
        <v>506896</v>
      </c>
      <c r="D17" s="2" t="s">
        <v>4385</v>
      </c>
      <c r="F17" s="2" t="s">
        <v>2361</v>
      </c>
      <c r="G17" s="2" t="s">
        <v>3250</v>
      </c>
      <c r="H17" s="2" t="s">
        <v>4395</v>
      </c>
      <c r="I17" s="35">
        <v>44475</v>
      </c>
      <c r="J17" s="38">
        <v>59</v>
      </c>
      <c r="K17" s="39">
        <v>6.9</v>
      </c>
    </row>
    <row r="18" spans="2:11" ht="15" customHeight="1">
      <c r="B18" s="2">
        <v>4500458475</v>
      </c>
      <c r="C18" s="2">
        <v>506896</v>
      </c>
      <c r="D18" s="2" t="s">
        <v>4385</v>
      </c>
      <c r="F18" s="2" t="s">
        <v>2361</v>
      </c>
      <c r="G18" s="2" t="s">
        <v>3250</v>
      </c>
      <c r="H18" s="2" t="s">
        <v>3224</v>
      </c>
      <c r="I18" s="35">
        <v>44475</v>
      </c>
      <c r="J18" s="38">
        <v>21</v>
      </c>
      <c r="K18" s="39">
        <v>6.9</v>
      </c>
    </row>
    <row r="19" spans="2:11" ht="15" customHeight="1">
      <c r="B19" s="2">
        <v>4500458475</v>
      </c>
      <c r="C19" s="2">
        <v>506896</v>
      </c>
      <c r="D19" s="2" t="s">
        <v>4385</v>
      </c>
      <c r="F19" s="2" t="s">
        <v>2361</v>
      </c>
      <c r="G19" s="2" t="s">
        <v>3252</v>
      </c>
      <c r="H19" s="2" t="s">
        <v>4394</v>
      </c>
      <c r="I19" s="35">
        <v>44475</v>
      </c>
      <c r="J19" s="38">
        <v>216</v>
      </c>
      <c r="K19" s="39">
        <v>5.6</v>
      </c>
    </row>
    <row r="20" spans="2:11" ht="15" customHeight="1">
      <c r="B20" s="2">
        <v>4500458475</v>
      </c>
      <c r="C20" s="2">
        <v>506896</v>
      </c>
      <c r="D20" s="2" t="s">
        <v>4385</v>
      </c>
      <c r="F20" s="2" t="s">
        <v>2361</v>
      </c>
      <c r="G20" s="2" t="s">
        <v>3252</v>
      </c>
      <c r="H20" s="2" t="s">
        <v>4393</v>
      </c>
      <c r="I20" s="35">
        <v>44475</v>
      </c>
      <c r="J20" s="38">
        <v>432</v>
      </c>
      <c r="K20" s="39">
        <v>5.6</v>
      </c>
    </row>
    <row r="21" spans="2:11" ht="15" customHeight="1">
      <c r="B21" s="2">
        <v>4500458475</v>
      </c>
      <c r="C21" s="2">
        <v>506896</v>
      </c>
      <c r="D21" s="2" t="s">
        <v>4385</v>
      </c>
      <c r="F21" s="2" t="s">
        <v>2361</v>
      </c>
      <c r="G21" s="2" t="s">
        <v>3252</v>
      </c>
      <c r="H21" s="2" t="s">
        <v>4392</v>
      </c>
      <c r="I21" s="35">
        <v>44475</v>
      </c>
      <c r="J21" s="38">
        <v>494</v>
      </c>
      <c r="K21" s="39">
        <v>5.6</v>
      </c>
    </row>
    <row r="22" spans="2:11" ht="15" customHeight="1">
      <c r="B22" s="2">
        <v>4500458475</v>
      </c>
      <c r="C22" s="2">
        <v>506896</v>
      </c>
      <c r="D22" s="2" t="s">
        <v>4385</v>
      </c>
      <c r="F22" s="2" t="s">
        <v>2361</v>
      </c>
      <c r="G22" s="2" t="s">
        <v>3252</v>
      </c>
      <c r="H22" s="2" t="s">
        <v>4395</v>
      </c>
      <c r="I22" s="35">
        <v>44475</v>
      </c>
      <c r="J22" s="38">
        <v>357</v>
      </c>
      <c r="K22" s="39">
        <v>5.6</v>
      </c>
    </row>
    <row r="23" spans="2:11" ht="15" customHeight="1">
      <c r="B23" s="2">
        <v>4500458475</v>
      </c>
      <c r="C23" s="2">
        <v>506896</v>
      </c>
      <c r="D23" s="2" t="s">
        <v>4385</v>
      </c>
      <c r="F23" s="2" t="s">
        <v>2361</v>
      </c>
      <c r="G23" s="2" t="s">
        <v>3252</v>
      </c>
      <c r="H23" s="2" t="s">
        <v>3224</v>
      </c>
      <c r="I23" s="35">
        <v>44475</v>
      </c>
      <c r="J23" s="38">
        <v>160</v>
      </c>
      <c r="K23" s="39">
        <v>5.6</v>
      </c>
    </row>
    <row r="24" spans="2:11" ht="15" customHeight="1">
      <c r="B24" s="2">
        <v>4500458475</v>
      </c>
      <c r="C24" s="2">
        <v>506896</v>
      </c>
      <c r="D24" s="2" t="s">
        <v>4385</v>
      </c>
      <c r="F24" s="2" t="s">
        <v>2361</v>
      </c>
      <c r="G24" s="2" t="s">
        <v>3253</v>
      </c>
      <c r="H24" s="2" t="s">
        <v>4394</v>
      </c>
      <c r="I24" s="35">
        <v>44475</v>
      </c>
      <c r="J24" s="38">
        <v>36</v>
      </c>
      <c r="K24" s="39">
        <v>7.15</v>
      </c>
    </row>
    <row r="25" spans="2:11" ht="15" customHeight="1">
      <c r="B25" s="2">
        <v>4500458475</v>
      </c>
      <c r="C25" s="2">
        <v>506896</v>
      </c>
      <c r="D25" s="2" t="s">
        <v>4385</v>
      </c>
      <c r="F25" s="2" t="s">
        <v>2361</v>
      </c>
      <c r="G25" s="2" t="s">
        <v>3253</v>
      </c>
      <c r="H25" s="2" t="s">
        <v>4393</v>
      </c>
      <c r="I25" s="35">
        <v>44475</v>
      </c>
      <c r="J25" s="38">
        <v>109</v>
      </c>
      <c r="K25" s="39">
        <v>7.15</v>
      </c>
    </row>
    <row r="26" spans="2:11" ht="15" customHeight="1">
      <c r="B26" s="2">
        <v>4500458475</v>
      </c>
      <c r="C26" s="2">
        <v>506896</v>
      </c>
      <c r="D26" s="2" t="s">
        <v>4385</v>
      </c>
      <c r="F26" s="2" t="s">
        <v>2361</v>
      </c>
      <c r="G26" s="2" t="s">
        <v>3253</v>
      </c>
      <c r="H26" s="2" t="s">
        <v>4392</v>
      </c>
      <c r="I26" s="35">
        <v>44475</v>
      </c>
      <c r="J26" s="38">
        <v>132</v>
      </c>
      <c r="K26" s="39">
        <v>7.15</v>
      </c>
    </row>
    <row r="27" spans="2:11" ht="15" customHeight="1">
      <c r="B27" s="2">
        <v>4500458475</v>
      </c>
      <c r="C27" s="2">
        <v>506896</v>
      </c>
      <c r="D27" s="2" t="s">
        <v>4385</v>
      </c>
      <c r="F27" s="2" t="s">
        <v>2361</v>
      </c>
      <c r="G27" s="2" t="s">
        <v>3253</v>
      </c>
      <c r="H27" s="2" t="s">
        <v>4395</v>
      </c>
      <c r="I27" s="35">
        <v>44475</v>
      </c>
      <c r="J27" s="38">
        <v>74</v>
      </c>
      <c r="K27" s="39">
        <v>7.15</v>
      </c>
    </row>
    <row r="28" spans="2:11" ht="15" customHeight="1">
      <c r="B28" s="2">
        <v>4500458475</v>
      </c>
      <c r="C28" s="2">
        <v>506896</v>
      </c>
      <c r="D28" s="2" t="s">
        <v>4385</v>
      </c>
      <c r="F28" s="2" t="s">
        <v>2361</v>
      </c>
      <c r="G28" s="2" t="s">
        <v>3253</v>
      </c>
      <c r="H28" s="2" t="s">
        <v>3224</v>
      </c>
      <c r="I28" s="35">
        <v>44475</v>
      </c>
      <c r="J28" s="38">
        <v>26</v>
      </c>
      <c r="K28" s="39">
        <v>7.15</v>
      </c>
    </row>
    <row r="29" spans="2:11" ht="15" customHeight="1">
      <c r="B29" s="2">
        <v>4500458475</v>
      </c>
      <c r="C29" s="2">
        <v>506896</v>
      </c>
      <c r="D29" s="2" t="s">
        <v>4385</v>
      </c>
      <c r="F29" s="2" t="s">
        <v>2361</v>
      </c>
      <c r="G29" s="2" t="s">
        <v>4387</v>
      </c>
      <c r="H29" s="2" t="s">
        <v>4394</v>
      </c>
      <c r="I29" s="35">
        <v>44475</v>
      </c>
      <c r="J29" s="38">
        <v>80</v>
      </c>
      <c r="K29" s="39">
        <v>5.84</v>
      </c>
    </row>
    <row r="30" spans="2:11" ht="15" customHeight="1">
      <c r="B30" s="2">
        <v>4500458475</v>
      </c>
      <c r="C30" s="2">
        <v>506896</v>
      </c>
      <c r="D30" s="2" t="s">
        <v>4385</v>
      </c>
      <c r="F30" s="2" t="s">
        <v>2361</v>
      </c>
      <c r="G30" s="2" t="s">
        <v>4387</v>
      </c>
      <c r="H30" s="2" t="s">
        <v>4393</v>
      </c>
      <c r="I30" s="35">
        <v>44475</v>
      </c>
      <c r="J30" s="38">
        <v>122</v>
      </c>
      <c r="K30" s="39">
        <v>5.84</v>
      </c>
    </row>
    <row r="31" spans="2:11" ht="15" customHeight="1">
      <c r="B31" s="2">
        <v>4500458475</v>
      </c>
      <c r="C31" s="2">
        <v>506896</v>
      </c>
      <c r="D31" s="2" t="s">
        <v>4385</v>
      </c>
      <c r="F31" s="2" t="s">
        <v>2361</v>
      </c>
      <c r="G31" s="2" t="s">
        <v>4387</v>
      </c>
      <c r="H31" s="2" t="s">
        <v>4392</v>
      </c>
      <c r="I31" s="35">
        <v>44475</v>
      </c>
      <c r="J31" s="38">
        <v>135</v>
      </c>
      <c r="K31" s="39">
        <v>5.84</v>
      </c>
    </row>
    <row r="32" spans="2:11" ht="15" customHeight="1">
      <c r="B32" s="2">
        <v>4500458475</v>
      </c>
      <c r="C32" s="2">
        <v>506896</v>
      </c>
      <c r="D32" s="2" t="s">
        <v>4385</v>
      </c>
      <c r="F32" s="2" t="s">
        <v>2361</v>
      </c>
      <c r="G32" s="2" t="s">
        <v>4387</v>
      </c>
      <c r="H32" s="2" t="s">
        <v>4395</v>
      </c>
      <c r="I32" s="35">
        <v>44475</v>
      </c>
      <c r="J32" s="38">
        <v>122</v>
      </c>
      <c r="K32" s="39">
        <v>5.84</v>
      </c>
    </row>
    <row r="33" spans="2:11" ht="15" customHeight="1">
      <c r="B33" s="2">
        <v>4500458475</v>
      </c>
      <c r="C33" s="2">
        <v>506896</v>
      </c>
      <c r="D33" s="2" t="s">
        <v>4385</v>
      </c>
      <c r="F33" s="2" t="s">
        <v>2361</v>
      </c>
      <c r="G33" s="2" t="s">
        <v>4387</v>
      </c>
      <c r="H33" s="2" t="s">
        <v>3224</v>
      </c>
      <c r="I33" s="35">
        <v>44475</v>
      </c>
      <c r="J33" s="38">
        <v>42</v>
      </c>
      <c r="K33" s="39">
        <v>5.84</v>
      </c>
    </row>
    <row r="34" spans="2:11" ht="15" customHeight="1">
      <c r="B34" s="2">
        <v>4500458475</v>
      </c>
      <c r="C34" s="2">
        <v>506896</v>
      </c>
      <c r="D34" s="2" t="s">
        <v>4385</v>
      </c>
      <c r="F34" s="2" t="s">
        <v>2361</v>
      </c>
      <c r="G34" s="2" t="s">
        <v>4389</v>
      </c>
      <c r="H34" s="2" t="s">
        <v>4394</v>
      </c>
      <c r="I34" s="35">
        <v>44475</v>
      </c>
      <c r="J34" s="38">
        <v>7</v>
      </c>
      <c r="K34" s="39">
        <v>6.9</v>
      </c>
    </row>
    <row r="35" spans="2:11" ht="15" customHeight="1">
      <c r="B35" s="2">
        <v>4500458475</v>
      </c>
      <c r="C35" s="2">
        <v>506896</v>
      </c>
      <c r="D35" s="2" t="s">
        <v>4385</v>
      </c>
      <c r="F35" s="2" t="s">
        <v>2361</v>
      </c>
      <c r="G35" s="2" t="s">
        <v>4389</v>
      </c>
      <c r="H35" s="2" t="s">
        <v>4393</v>
      </c>
      <c r="I35" s="35">
        <v>44475</v>
      </c>
      <c r="J35" s="38">
        <v>21</v>
      </c>
      <c r="K35" s="39">
        <v>6.9</v>
      </c>
    </row>
    <row r="36" spans="2:11" ht="15" customHeight="1">
      <c r="B36" s="2">
        <v>4500458475</v>
      </c>
      <c r="C36" s="2">
        <v>506896</v>
      </c>
      <c r="D36" s="2" t="s">
        <v>4385</v>
      </c>
      <c r="F36" s="2" t="s">
        <v>2361</v>
      </c>
      <c r="G36" s="2" t="s">
        <v>4389</v>
      </c>
      <c r="H36" s="2" t="s">
        <v>4392</v>
      </c>
      <c r="I36" s="35">
        <v>44475</v>
      </c>
      <c r="J36" s="38">
        <v>25</v>
      </c>
      <c r="K36" s="39">
        <v>6.9</v>
      </c>
    </row>
    <row r="37" spans="2:11" ht="15" customHeight="1">
      <c r="B37" s="2">
        <v>4500458475</v>
      </c>
      <c r="C37" s="2">
        <v>506896</v>
      </c>
      <c r="D37" s="2" t="s">
        <v>4385</v>
      </c>
      <c r="F37" s="2" t="s">
        <v>2361</v>
      </c>
      <c r="G37" s="2" t="s">
        <v>4389</v>
      </c>
      <c r="H37" s="2" t="s">
        <v>4395</v>
      </c>
      <c r="I37" s="35">
        <v>44475</v>
      </c>
      <c r="J37" s="38">
        <v>14</v>
      </c>
      <c r="K37" s="39">
        <v>6.9</v>
      </c>
    </row>
    <row r="38" spans="2:11" ht="15" customHeight="1">
      <c r="B38" s="2">
        <v>4500458475</v>
      </c>
      <c r="C38" s="2">
        <v>506896</v>
      </c>
      <c r="D38" s="2" t="s">
        <v>4385</v>
      </c>
      <c r="F38" s="2" t="s">
        <v>2361</v>
      </c>
      <c r="G38" s="2" t="s">
        <v>4389</v>
      </c>
      <c r="H38" s="2" t="s">
        <v>3224</v>
      </c>
      <c r="I38" s="35">
        <v>44475</v>
      </c>
      <c r="J38" s="38">
        <v>5</v>
      </c>
      <c r="K38" s="39">
        <v>6.9</v>
      </c>
    </row>
    <row r="39" spans="2:11" ht="15" customHeight="1">
      <c r="B39" s="2">
        <v>4500458475</v>
      </c>
      <c r="C39" s="2">
        <v>507209</v>
      </c>
      <c r="D39" s="2" t="s">
        <v>4385</v>
      </c>
      <c r="F39" s="2" t="s">
        <v>2361</v>
      </c>
      <c r="G39" s="2" t="s">
        <v>3254</v>
      </c>
      <c r="H39" s="2" t="s">
        <v>4394</v>
      </c>
      <c r="I39" s="35">
        <v>44475</v>
      </c>
      <c r="J39" s="38">
        <v>29</v>
      </c>
      <c r="K39" s="39">
        <v>5.82</v>
      </c>
    </row>
    <row r="40" spans="2:11" ht="15" customHeight="1">
      <c r="B40" s="2">
        <v>4500458475</v>
      </c>
      <c r="C40" s="2">
        <v>507209</v>
      </c>
      <c r="D40" s="2" t="s">
        <v>4385</v>
      </c>
      <c r="F40" s="2" t="s">
        <v>2361</v>
      </c>
      <c r="G40" s="2" t="s">
        <v>3254</v>
      </c>
      <c r="H40" s="2" t="s">
        <v>4393</v>
      </c>
      <c r="I40" s="35">
        <v>44475</v>
      </c>
      <c r="J40" s="38">
        <v>87</v>
      </c>
      <c r="K40" s="39">
        <v>5.82</v>
      </c>
    </row>
    <row r="41" spans="2:11" ht="15" customHeight="1">
      <c r="B41" s="2">
        <v>4500458475</v>
      </c>
      <c r="C41" s="2">
        <v>507209</v>
      </c>
      <c r="D41" s="2" t="s">
        <v>4385</v>
      </c>
      <c r="F41" s="2" t="s">
        <v>2361</v>
      </c>
      <c r="G41" s="2" t="s">
        <v>3254</v>
      </c>
      <c r="H41" s="2" t="s">
        <v>4392</v>
      </c>
      <c r="I41" s="35">
        <v>44475</v>
      </c>
      <c r="J41" s="38">
        <v>105</v>
      </c>
      <c r="K41" s="39">
        <v>5.82</v>
      </c>
    </row>
    <row r="42" spans="2:11" ht="15" customHeight="1">
      <c r="B42" s="2">
        <v>4500458475</v>
      </c>
      <c r="C42" s="2">
        <v>507209</v>
      </c>
      <c r="D42" s="2" t="s">
        <v>4385</v>
      </c>
      <c r="F42" s="2" t="s">
        <v>2361</v>
      </c>
      <c r="G42" s="2" t="s">
        <v>3254</v>
      </c>
      <c r="H42" s="2" t="s">
        <v>4395</v>
      </c>
      <c r="I42" s="35">
        <v>44475</v>
      </c>
      <c r="J42" s="38">
        <v>59</v>
      </c>
      <c r="K42" s="39">
        <v>5.82</v>
      </c>
    </row>
    <row r="43" spans="2:11" ht="15" customHeight="1">
      <c r="B43" s="2">
        <v>4500458475</v>
      </c>
      <c r="C43" s="2">
        <v>507209</v>
      </c>
      <c r="D43" s="2" t="s">
        <v>4385</v>
      </c>
      <c r="F43" s="2" t="s">
        <v>2361</v>
      </c>
      <c r="G43" s="2" t="s">
        <v>3254</v>
      </c>
      <c r="H43" s="2" t="s">
        <v>3224</v>
      </c>
      <c r="I43" s="35">
        <v>44475</v>
      </c>
      <c r="J43" s="38">
        <v>21</v>
      </c>
      <c r="K43" s="39">
        <v>5.82</v>
      </c>
    </row>
    <row r="44" spans="2:11" ht="15" customHeight="1">
      <c r="B44" s="2">
        <v>4500458475</v>
      </c>
      <c r="C44" s="2">
        <v>507209</v>
      </c>
      <c r="D44" s="2" t="s">
        <v>4385</v>
      </c>
      <c r="F44" s="2" t="s">
        <v>2361</v>
      </c>
      <c r="G44" s="2" t="s">
        <v>3265</v>
      </c>
      <c r="H44" s="2" t="s">
        <v>4394</v>
      </c>
      <c r="I44" s="35">
        <v>44475</v>
      </c>
      <c r="J44" s="38">
        <v>29</v>
      </c>
      <c r="K44" s="39">
        <v>6.45</v>
      </c>
    </row>
    <row r="45" spans="2:11" ht="15" customHeight="1">
      <c r="B45" s="2">
        <v>4500458475</v>
      </c>
      <c r="C45" s="2">
        <v>507209</v>
      </c>
      <c r="D45" s="2" t="s">
        <v>4385</v>
      </c>
      <c r="F45" s="2" t="s">
        <v>2361</v>
      </c>
      <c r="G45" s="2" t="s">
        <v>3265</v>
      </c>
      <c r="H45" s="2" t="s">
        <v>4393</v>
      </c>
      <c r="I45" s="35">
        <v>44475</v>
      </c>
      <c r="J45" s="38">
        <v>87</v>
      </c>
      <c r="K45" s="39">
        <v>6.45</v>
      </c>
    </row>
    <row r="46" spans="2:11" ht="15" customHeight="1">
      <c r="B46" s="2">
        <v>4500458475</v>
      </c>
      <c r="C46" s="2">
        <v>507209</v>
      </c>
      <c r="D46" s="2" t="s">
        <v>4385</v>
      </c>
      <c r="F46" s="2" t="s">
        <v>2361</v>
      </c>
      <c r="G46" s="2" t="s">
        <v>3265</v>
      </c>
      <c r="H46" s="2" t="s">
        <v>4392</v>
      </c>
      <c r="I46" s="35">
        <v>44475</v>
      </c>
      <c r="J46" s="38">
        <v>105</v>
      </c>
      <c r="K46" s="39">
        <v>6.45</v>
      </c>
    </row>
    <row r="47" spans="2:11" ht="15" customHeight="1">
      <c r="B47" s="2">
        <v>4500458475</v>
      </c>
      <c r="C47" s="2">
        <v>507209</v>
      </c>
      <c r="D47" s="2" t="s">
        <v>4385</v>
      </c>
      <c r="F47" s="2" t="s">
        <v>2361</v>
      </c>
      <c r="G47" s="2" t="s">
        <v>3265</v>
      </c>
      <c r="H47" s="2" t="s">
        <v>4395</v>
      </c>
      <c r="I47" s="35">
        <v>44475</v>
      </c>
      <c r="J47" s="38">
        <v>59</v>
      </c>
      <c r="K47" s="39">
        <v>6.45</v>
      </c>
    </row>
    <row r="48" spans="2:11" ht="15" customHeight="1">
      <c r="B48" s="2">
        <v>4500458475</v>
      </c>
      <c r="C48" s="2">
        <v>507209</v>
      </c>
      <c r="D48" s="2" t="s">
        <v>4385</v>
      </c>
      <c r="F48" s="2" t="s">
        <v>2361</v>
      </c>
      <c r="G48" s="2" t="s">
        <v>3265</v>
      </c>
      <c r="H48" s="2" t="s">
        <v>3224</v>
      </c>
      <c r="I48" s="35">
        <v>44475</v>
      </c>
      <c r="J48" s="38">
        <v>21</v>
      </c>
      <c r="K48" s="39">
        <v>6.45</v>
      </c>
    </row>
    <row r="49" spans="2:11" ht="15" customHeight="1">
      <c r="B49" s="2">
        <v>4500458475</v>
      </c>
      <c r="C49" s="2">
        <v>507209</v>
      </c>
      <c r="D49" s="2" t="s">
        <v>4385</v>
      </c>
      <c r="F49" s="2" t="s">
        <v>2361</v>
      </c>
      <c r="G49" s="2" t="s">
        <v>3255</v>
      </c>
      <c r="H49" s="2" t="s">
        <v>4394</v>
      </c>
      <c r="I49" s="35">
        <v>44475</v>
      </c>
      <c r="J49" s="38">
        <v>44</v>
      </c>
      <c r="K49" s="39">
        <v>5.82</v>
      </c>
    </row>
    <row r="50" spans="2:11" ht="15" customHeight="1">
      <c r="B50" s="2">
        <v>4500458475</v>
      </c>
      <c r="C50" s="2">
        <v>507209</v>
      </c>
      <c r="D50" s="2" t="s">
        <v>4385</v>
      </c>
      <c r="F50" s="2" t="s">
        <v>2361</v>
      </c>
      <c r="G50" s="2" t="s">
        <v>3255</v>
      </c>
      <c r="H50" s="2" t="s">
        <v>4393</v>
      </c>
      <c r="I50" s="35">
        <v>44475</v>
      </c>
      <c r="J50" s="38">
        <v>134</v>
      </c>
      <c r="K50" s="39">
        <v>5.82</v>
      </c>
    </row>
    <row r="51" spans="2:11" ht="15" customHeight="1">
      <c r="B51" s="2">
        <v>4500458475</v>
      </c>
      <c r="C51" s="2">
        <v>507209</v>
      </c>
      <c r="D51" s="2" t="s">
        <v>4385</v>
      </c>
      <c r="F51" s="2" t="s">
        <v>2361</v>
      </c>
      <c r="G51" s="2" t="s">
        <v>3255</v>
      </c>
      <c r="H51" s="2" t="s">
        <v>4392</v>
      </c>
      <c r="I51" s="35">
        <v>44475</v>
      </c>
      <c r="J51" s="38">
        <v>161</v>
      </c>
      <c r="K51" s="39">
        <v>5.82</v>
      </c>
    </row>
    <row r="52" spans="2:11" ht="15" customHeight="1">
      <c r="B52" s="2">
        <v>4500458475</v>
      </c>
      <c r="C52" s="2">
        <v>507209</v>
      </c>
      <c r="D52" s="2" t="s">
        <v>4385</v>
      </c>
      <c r="F52" s="2" t="s">
        <v>2361</v>
      </c>
      <c r="G52" s="2" t="s">
        <v>3255</v>
      </c>
      <c r="H52" s="2" t="s">
        <v>4395</v>
      </c>
      <c r="I52" s="35">
        <v>44475</v>
      </c>
      <c r="J52" s="38">
        <v>91</v>
      </c>
      <c r="K52" s="39">
        <v>5.82</v>
      </c>
    </row>
    <row r="53" spans="2:11" ht="15" customHeight="1">
      <c r="B53" s="2">
        <v>4500458475</v>
      </c>
      <c r="C53" s="2">
        <v>507209</v>
      </c>
      <c r="D53" s="2" t="s">
        <v>4385</v>
      </c>
      <c r="F53" s="2" t="s">
        <v>2361</v>
      </c>
      <c r="G53" s="2" t="s">
        <v>3255</v>
      </c>
      <c r="H53" s="2" t="s">
        <v>3224</v>
      </c>
      <c r="I53" s="35">
        <v>44475</v>
      </c>
      <c r="J53" s="38">
        <v>32</v>
      </c>
      <c r="K53" s="39">
        <v>5.82</v>
      </c>
    </row>
    <row r="54" spans="2:11" ht="15" customHeight="1">
      <c r="B54" s="2">
        <v>4500458475</v>
      </c>
      <c r="C54" s="2">
        <v>507209</v>
      </c>
      <c r="D54" s="2" t="s">
        <v>4385</v>
      </c>
      <c r="F54" s="2" t="s">
        <v>2361</v>
      </c>
      <c r="G54" s="2" t="s">
        <v>3257</v>
      </c>
      <c r="H54" s="2" t="s">
        <v>4394</v>
      </c>
      <c r="I54" s="35">
        <v>44475</v>
      </c>
      <c r="J54" s="38">
        <v>76</v>
      </c>
      <c r="K54" s="39">
        <v>5.9</v>
      </c>
    </row>
    <row r="55" spans="2:11" ht="15" customHeight="1">
      <c r="B55" s="2">
        <v>4500458475</v>
      </c>
      <c r="C55" s="2">
        <v>507209</v>
      </c>
      <c r="D55" s="2" t="s">
        <v>4385</v>
      </c>
      <c r="F55" s="2" t="s">
        <v>2361</v>
      </c>
      <c r="G55" s="2" t="s">
        <v>3257</v>
      </c>
      <c r="H55" s="2" t="s">
        <v>4393</v>
      </c>
      <c r="I55" s="35">
        <v>44475</v>
      </c>
      <c r="J55" s="38">
        <v>229</v>
      </c>
      <c r="K55" s="39">
        <v>5.9</v>
      </c>
    </row>
    <row r="56" spans="2:11" ht="15" customHeight="1">
      <c r="B56" s="2">
        <v>4500458475</v>
      </c>
      <c r="C56" s="2">
        <v>507209</v>
      </c>
      <c r="D56" s="2" t="s">
        <v>4385</v>
      </c>
      <c r="F56" s="2" t="s">
        <v>2361</v>
      </c>
      <c r="G56" s="2" t="s">
        <v>3257</v>
      </c>
      <c r="H56" s="2" t="s">
        <v>4392</v>
      </c>
      <c r="I56" s="35">
        <v>44475</v>
      </c>
      <c r="J56" s="38">
        <v>277</v>
      </c>
      <c r="K56" s="39">
        <v>5.9</v>
      </c>
    </row>
    <row r="57" spans="2:11" ht="15" customHeight="1">
      <c r="B57" s="2">
        <v>4500458475</v>
      </c>
      <c r="C57" s="2">
        <v>507209</v>
      </c>
      <c r="D57" s="2" t="s">
        <v>4385</v>
      </c>
      <c r="F57" s="2" t="s">
        <v>2361</v>
      </c>
      <c r="G57" s="2" t="s">
        <v>3257</v>
      </c>
      <c r="H57" s="2" t="s">
        <v>4395</v>
      </c>
      <c r="I57" s="35">
        <v>44475</v>
      </c>
      <c r="J57" s="38">
        <v>157</v>
      </c>
      <c r="K57" s="39">
        <v>5.9</v>
      </c>
    </row>
    <row r="58" spans="2:11" ht="15" customHeight="1">
      <c r="B58" s="2">
        <v>4500458475</v>
      </c>
      <c r="C58" s="2">
        <v>507209</v>
      </c>
      <c r="D58" s="2" t="s">
        <v>4385</v>
      </c>
      <c r="F58" s="2" t="s">
        <v>2361</v>
      </c>
      <c r="G58" s="2" t="s">
        <v>3257</v>
      </c>
      <c r="H58" s="2" t="s">
        <v>3224</v>
      </c>
      <c r="I58" s="35">
        <v>44475</v>
      </c>
      <c r="J58" s="38">
        <v>55</v>
      </c>
      <c r="K58" s="39">
        <v>5.9</v>
      </c>
    </row>
    <row r="59" spans="2:11" ht="15" customHeight="1">
      <c r="B59" s="2">
        <v>4500458475</v>
      </c>
      <c r="C59" s="2">
        <v>507209</v>
      </c>
      <c r="D59" s="2" t="s">
        <v>4385</v>
      </c>
      <c r="F59" s="2" t="s">
        <v>2361</v>
      </c>
      <c r="G59" s="2" t="s">
        <v>4396</v>
      </c>
      <c r="H59" s="2" t="s">
        <v>4394</v>
      </c>
      <c r="I59" s="35">
        <v>44475</v>
      </c>
      <c r="J59" s="38">
        <v>28</v>
      </c>
      <c r="K59" s="39">
        <v>5.95</v>
      </c>
    </row>
    <row r="60" spans="2:11" ht="15" customHeight="1">
      <c r="B60" s="2">
        <v>4500458475</v>
      </c>
      <c r="C60" s="2">
        <v>507209</v>
      </c>
      <c r="D60" s="2" t="s">
        <v>4385</v>
      </c>
      <c r="F60" s="2" t="s">
        <v>2361</v>
      </c>
      <c r="G60" s="2" t="s">
        <v>4396</v>
      </c>
      <c r="H60" s="2" t="s">
        <v>4393</v>
      </c>
      <c r="I60" s="35">
        <v>44475</v>
      </c>
      <c r="J60" s="38">
        <v>85</v>
      </c>
      <c r="K60" s="39">
        <v>5.95</v>
      </c>
    </row>
    <row r="61" spans="2:11" ht="15" customHeight="1">
      <c r="B61" s="2">
        <v>4500458475</v>
      </c>
      <c r="C61" s="2">
        <v>507209</v>
      </c>
      <c r="D61" s="2" t="s">
        <v>4385</v>
      </c>
      <c r="F61" s="2" t="s">
        <v>2361</v>
      </c>
      <c r="G61" s="2" t="s">
        <v>4396</v>
      </c>
      <c r="H61" s="2" t="s">
        <v>4392</v>
      </c>
      <c r="I61" s="35">
        <v>44475</v>
      </c>
      <c r="J61" s="38">
        <v>102</v>
      </c>
      <c r="K61" s="39">
        <v>5.95</v>
      </c>
    </row>
    <row r="62" spans="2:11" ht="15" customHeight="1">
      <c r="B62" s="2">
        <v>4500458475</v>
      </c>
      <c r="C62" s="2">
        <v>507209</v>
      </c>
      <c r="D62" s="2" t="s">
        <v>4385</v>
      </c>
      <c r="F62" s="2" t="s">
        <v>2361</v>
      </c>
      <c r="G62" s="2" t="s">
        <v>4396</v>
      </c>
      <c r="H62" s="2" t="s">
        <v>4395</v>
      </c>
      <c r="I62" s="35">
        <v>44475</v>
      </c>
      <c r="J62" s="38">
        <v>58</v>
      </c>
      <c r="K62" s="39">
        <v>5.95</v>
      </c>
    </row>
    <row r="63" spans="2:11" ht="15" customHeight="1">
      <c r="B63" s="2">
        <v>4500458475</v>
      </c>
      <c r="C63" s="2">
        <v>507209</v>
      </c>
      <c r="D63" s="2" t="s">
        <v>4385</v>
      </c>
      <c r="F63" s="2" t="s">
        <v>2361</v>
      </c>
      <c r="G63" s="2" t="s">
        <v>4396</v>
      </c>
      <c r="H63" s="2" t="s">
        <v>3224</v>
      </c>
      <c r="I63" s="35">
        <v>44475</v>
      </c>
      <c r="J63" s="38">
        <v>20</v>
      </c>
      <c r="K63" s="39">
        <v>5.95</v>
      </c>
    </row>
    <row r="64" spans="2:11" ht="15" customHeight="1">
      <c r="B64" s="2">
        <v>4500458475</v>
      </c>
      <c r="C64" s="2">
        <v>507209</v>
      </c>
      <c r="D64" s="2" t="s">
        <v>4385</v>
      </c>
      <c r="F64" s="2" t="s">
        <v>2361</v>
      </c>
      <c r="G64" s="2" t="s">
        <v>3258</v>
      </c>
      <c r="H64" s="2" t="s">
        <v>4394</v>
      </c>
      <c r="I64" s="35">
        <v>44475</v>
      </c>
      <c r="J64" s="38">
        <v>21</v>
      </c>
      <c r="K64" s="39">
        <v>5.82</v>
      </c>
    </row>
    <row r="65" spans="2:11" ht="15" customHeight="1">
      <c r="B65" s="2">
        <v>4500458475</v>
      </c>
      <c r="C65" s="2">
        <v>507209</v>
      </c>
      <c r="D65" s="2" t="s">
        <v>4385</v>
      </c>
      <c r="F65" s="2" t="s">
        <v>2361</v>
      </c>
      <c r="G65" s="2" t="s">
        <v>3258</v>
      </c>
      <c r="H65" s="2" t="s">
        <v>4393</v>
      </c>
      <c r="I65" s="35">
        <v>44475</v>
      </c>
      <c r="J65" s="38">
        <v>64</v>
      </c>
      <c r="K65" s="39">
        <v>5.82</v>
      </c>
    </row>
    <row r="66" spans="2:11" ht="15" customHeight="1">
      <c r="B66" s="2">
        <v>4500458475</v>
      </c>
      <c r="C66" s="2">
        <v>507209</v>
      </c>
      <c r="D66" s="2" t="s">
        <v>4385</v>
      </c>
      <c r="F66" s="2" t="s">
        <v>2361</v>
      </c>
      <c r="G66" s="2" t="s">
        <v>3258</v>
      </c>
      <c r="H66" s="2" t="s">
        <v>4392</v>
      </c>
      <c r="I66" s="35">
        <v>44475</v>
      </c>
      <c r="J66" s="38">
        <v>77</v>
      </c>
      <c r="K66" s="39">
        <v>5.82</v>
      </c>
    </row>
    <row r="67" spans="2:11" ht="15" customHeight="1">
      <c r="B67" s="2">
        <v>4500458475</v>
      </c>
      <c r="C67" s="2">
        <v>507209</v>
      </c>
      <c r="D67" s="2" t="s">
        <v>4385</v>
      </c>
      <c r="F67" s="2" t="s">
        <v>2361</v>
      </c>
      <c r="G67" s="2" t="s">
        <v>3258</v>
      </c>
      <c r="H67" s="2" t="s">
        <v>4395</v>
      </c>
      <c r="I67" s="35">
        <v>44475</v>
      </c>
      <c r="J67" s="38">
        <v>43</v>
      </c>
      <c r="K67" s="39">
        <v>5.82</v>
      </c>
    </row>
    <row r="68" spans="2:11" ht="15" customHeight="1">
      <c r="B68" s="2">
        <v>4500458475</v>
      </c>
      <c r="C68" s="2">
        <v>507209</v>
      </c>
      <c r="D68" s="2" t="s">
        <v>4385</v>
      </c>
      <c r="F68" s="2" t="s">
        <v>2361</v>
      </c>
      <c r="G68" s="2" t="s">
        <v>3258</v>
      </c>
      <c r="H68" s="2" t="s">
        <v>3224</v>
      </c>
      <c r="I68" s="35">
        <v>44475</v>
      </c>
      <c r="J68" s="38">
        <v>15</v>
      </c>
      <c r="K68" s="39">
        <v>5.82</v>
      </c>
    </row>
    <row r="69" spans="2:11" ht="15" customHeight="1">
      <c r="B69" s="2">
        <v>4500458475</v>
      </c>
      <c r="C69" s="2">
        <v>507209</v>
      </c>
      <c r="D69" s="2" t="s">
        <v>4385</v>
      </c>
      <c r="F69" s="2" t="s">
        <v>2361</v>
      </c>
      <c r="G69" s="2" t="s">
        <v>4397</v>
      </c>
      <c r="H69" s="2" t="s">
        <v>4394</v>
      </c>
      <c r="I69" s="35">
        <v>44475</v>
      </c>
      <c r="J69" s="38">
        <v>9</v>
      </c>
      <c r="K69" s="39">
        <v>5.82</v>
      </c>
    </row>
    <row r="70" spans="2:11" ht="15" customHeight="1">
      <c r="B70" s="2">
        <v>4500458475</v>
      </c>
      <c r="C70" s="2">
        <v>507209</v>
      </c>
      <c r="D70" s="2" t="s">
        <v>4385</v>
      </c>
      <c r="F70" s="2" t="s">
        <v>2361</v>
      </c>
      <c r="G70" s="2" t="s">
        <v>4397</v>
      </c>
      <c r="H70" s="2" t="s">
        <v>4393</v>
      </c>
      <c r="I70" s="35">
        <v>44475</v>
      </c>
      <c r="J70" s="38">
        <v>28</v>
      </c>
      <c r="K70" s="39">
        <v>5.82</v>
      </c>
    </row>
    <row r="71" spans="2:11" ht="15" customHeight="1">
      <c r="B71" s="2">
        <v>4500458475</v>
      </c>
      <c r="C71" s="2">
        <v>507209</v>
      </c>
      <c r="D71" s="2" t="s">
        <v>4385</v>
      </c>
      <c r="F71" s="2" t="s">
        <v>2361</v>
      </c>
      <c r="G71" s="2" t="s">
        <v>4397</v>
      </c>
      <c r="H71" s="2" t="s">
        <v>4392</v>
      </c>
      <c r="I71" s="35">
        <v>44475</v>
      </c>
      <c r="J71" s="38">
        <v>34</v>
      </c>
      <c r="K71" s="39">
        <v>5.82</v>
      </c>
    </row>
    <row r="72" spans="2:11" ht="15" customHeight="1">
      <c r="B72" s="2">
        <v>4500458475</v>
      </c>
      <c r="C72" s="2">
        <v>507209</v>
      </c>
      <c r="D72" s="2" t="s">
        <v>4385</v>
      </c>
      <c r="F72" s="2" t="s">
        <v>2361</v>
      </c>
      <c r="G72" s="2" t="s">
        <v>4397</v>
      </c>
      <c r="H72" s="2" t="s">
        <v>4395</v>
      </c>
      <c r="I72" s="35">
        <v>44475</v>
      </c>
      <c r="J72" s="38">
        <v>19</v>
      </c>
      <c r="K72" s="39">
        <v>5.82</v>
      </c>
    </row>
    <row r="73" spans="2:11" ht="15" customHeight="1">
      <c r="B73" s="2">
        <v>4500458475</v>
      </c>
      <c r="C73" s="2">
        <v>507209</v>
      </c>
      <c r="D73" s="2" t="s">
        <v>4385</v>
      </c>
      <c r="F73" s="2" t="s">
        <v>2361</v>
      </c>
      <c r="G73" s="2" t="s">
        <v>4397</v>
      </c>
      <c r="H73" s="2" t="s">
        <v>3224</v>
      </c>
      <c r="I73" s="35">
        <v>44475</v>
      </c>
      <c r="J73" s="38">
        <v>7</v>
      </c>
      <c r="K73" s="39">
        <v>5.82</v>
      </c>
    </row>
    <row r="74" spans="2:11" ht="15" customHeight="1">
      <c r="B74" s="2">
        <v>4500458475</v>
      </c>
      <c r="C74" s="2">
        <v>507209</v>
      </c>
      <c r="D74" s="2" t="s">
        <v>4385</v>
      </c>
      <c r="F74" s="2" t="s">
        <v>2361</v>
      </c>
      <c r="G74" s="2" t="s">
        <v>4386</v>
      </c>
      <c r="H74" s="2" t="s">
        <v>4394</v>
      </c>
      <c r="I74" s="35">
        <v>44475</v>
      </c>
      <c r="J74" s="38">
        <v>10</v>
      </c>
      <c r="K74" s="39">
        <v>5.95</v>
      </c>
    </row>
    <row r="75" spans="2:11" ht="15" customHeight="1">
      <c r="B75" s="2">
        <v>4500458475</v>
      </c>
      <c r="C75" s="2">
        <v>507209</v>
      </c>
      <c r="D75" s="2" t="s">
        <v>4385</v>
      </c>
      <c r="F75" s="2" t="s">
        <v>2361</v>
      </c>
      <c r="G75" s="2" t="s">
        <v>4386</v>
      </c>
      <c r="H75" s="2" t="s">
        <v>4393</v>
      </c>
      <c r="I75" s="35">
        <v>44475</v>
      </c>
      <c r="J75" s="38">
        <v>29</v>
      </c>
      <c r="K75" s="39">
        <v>5.95</v>
      </c>
    </row>
    <row r="76" spans="2:11" ht="15" customHeight="1">
      <c r="B76" s="2">
        <v>4500458475</v>
      </c>
      <c r="C76" s="2">
        <v>507209</v>
      </c>
      <c r="D76" s="2" t="s">
        <v>4385</v>
      </c>
      <c r="F76" s="2" t="s">
        <v>2361</v>
      </c>
      <c r="G76" s="2" t="s">
        <v>4386</v>
      </c>
      <c r="H76" s="2" t="s">
        <v>4392</v>
      </c>
      <c r="I76" s="35">
        <v>44475</v>
      </c>
      <c r="J76" s="38">
        <v>35</v>
      </c>
      <c r="K76" s="39">
        <v>5.95</v>
      </c>
    </row>
    <row r="77" spans="2:11" ht="15" customHeight="1">
      <c r="B77" s="2">
        <v>4500458475</v>
      </c>
      <c r="C77" s="2">
        <v>507209</v>
      </c>
      <c r="D77" s="2" t="s">
        <v>4385</v>
      </c>
      <c r="F77" s="2" t="s">
        <v>2361</v>
      </c>
      <c r="G77" s="2" t="s">
        <v>4386</v>
      </c>
      <c r="H77" s="2" t="s">
        <v>4395</v>
      </c>
      <c r="I77" s="35">
        <v>44475</v>
      </c>
      <c r="J77" s="38">
        <v>20</v>
      </c>
      <c r="K77" s="39">
        <v>5.95</v>
      </c>
    </row>
    <row r="78" spans="2:11" ht="15" customHeight="1">
      <c r="B78" s="2">
        <v>4500458475</v>
      </c>
      <c r="C78" s="2">
        <v>507209</v>
      </c>
      <c r="D78" s="2" t="s">
        <v>4385</v>
      </c>
      <c r="F78" s="2" t="s">
        <v>2361</v>
      </c>
      <c r="G78" s="2" t="s">
        <v>4386</v>
      </c>
      <c r="H78" s="2" t="s">
        <v>3224</v>
      </c>
      <c r="I78" s="35">
        <v>44475</v>
      </c>
      <c r="J78" s="38">
        <v>7</v>
      </c>
      <c r="K78" s="39">
        <v>5.95</v>
      </c>
    </row>
    <row r="79" spans="2:11" ht="15" customHeight="1">
      <c r="B79" s="2">
        <v>4500458475</v>
      </c>
      <c r="C79" s="2">
        <v>507209</v>
      </c>
      <c r="D79" s="2" t="s">
        <v>4385</v>
      </c>
      <c r="F79" s="2" t="s">
        <v>2361</v>
      </c>
      <c r="G79" s="2" t="s">
        <v>4388</v>
      </c>
      <c r="H79" s="2" t="s">
        <v>4394</v>
      </c>
      <c r="I79" s="35">
        <v>44475</v>
      </c>
      <c r="J79" s="38">
        <v>19</v>
      </c>
      <c r="K79" s="39">
        <v>5.82</v>
      </c>
    </row>
    <row r="80" spans="2:11" ht="15" customHeight="1">
      <c r="B80" s="2">
        <v>4500458475</v>
      </c>
      <c r="C80" s="2">
        <v>507209</v>
      </c>
      <c r="D80" s="2" t="s">
        <v>4385</v>
      </c>
      <c r="F80" s="2" t="s">
        <v>2361</v>
      </c>
      <c r="G80" s="2" t="s">
        <v>4388</v>
      </c>
      <c r="H80" s="2" t="s">
        <v>4393</v>
      </c>
      <c r="I80" s="35">
        <v>44475</v>
      </c>
      <c r="J80" s="38">
        <v>57</v>
      </c>
      <c r="K80" s="39">
        <v>5.82</v>
      </c>
    </row>
    <row r="81" spans="2:11" ht="15" customHeight="1">
      <c r="B81" s="2">
        <v>4500458475</v>
      </c>
      <c r="C81" s="2">
        <v>507209</v>
      </c>
      <c r="D81" s="2" t="s">
        <v>4385</v>
      </c>
      <c r="F81" s="2" t="s">
        <v>2361</v>
      </c>
      <c r="G81" s="2" t="s">
        <v>4388</v>
      </c>
      <c r="H81" s="2" t="s">
        <v>4392</v>
      </c>
      <c r="I81" s="35">
        <v>44475</v>
      </c>
      <c r="J81" s="38">
        <v>69</v>
      </c>
      <c r="K81" s="39">
        <v>5.82</v>
      </c>
    </row>
    <row r="82" spans="2:11" ht="15" customHeight="1">
      <c r="B82" s="2">
        <v>4500458475</v>
      </c>
      <c r="C82" s="2">
        <v>507209</v>
      </c>
      <c r="D82" s="2" t="s">
        <v>4385</v>
      </c>
      <c r="F82" s="2" t="s">
        <v>2361</v>
      </c>
      <c r="G82" s="2" t="s">
        <v>4388</v>
      </c>
      <c r="H82" s="2" t="s">
        <v>4395</v>
      </c>
      <c r="I82" s="35">
        <v>44475</v>
      </c>
      <c r="J82" s="38">
        <v>39</v>
      </c>
      <c r="K82" s="39">
        <v>5.82</v>
      </c>
    </row>
    <row r="83" spans="2:11" ht="15" customHeight="1">
      <c r="B83" s="2">
        <v>4500458475</v>
      </c>
      <c r="C83" s="2">
        <v>507209</v>
      </c>
      <c r="D83" s="2" t="s">
        <v>4385</v>
      </c>
      <c r="F83" s="2" t="s">
        <v>2361</v>
      </c>
      <c r="G83" s="2" t="s">
        <v>4388</v>
      </c>
      <c r="H83" s="2" t="s">
        <v>3224</v>
      </c>
      <c r="I83" s="35">
        <v>44475</v>
      </c>
      <c r="J83" s="38">
        <v>14</v>
      </c>
      <c r="K83" s="39">
        <v>5.82</v>
      </c>
    </row>
    <row r="84" spans="2:11" ht="15" customHeight="1">
      <c r="B84" s="2">
        <v>4500458475</v>
      </c>
      <c r="C84" s="2">
        <v>507209</v>
      </c>
      <c r="D84" s="2" t="s">
        <v>4385</v>
      </c>
      <c r="F84" s="2" t="s">
        <v>2361</v>
      </c>
      <c r="G84" s="2" t="s">
        <v>3256</v>
      </c>
      <c r="H84" s="2" t="s">
        <v>4394</v>
      </c>
      <c r="I84" s="35">
        <v>44475</v>
      </c>
      <c r="J84" s="38">
        <v>38</v>
      </c>
      <c r="K84" s="39">
        <v>5.9</v>
      </c>
    </row>
    <row r="85" spans="2:11" ht="15" customHeight="1">
      <c r="B85" s="2">
        <v>4500458475</v>
      </c>
      <c r="C85" s="2">
        <v>507209</v>
      </c>
      <c r="D85" s="2" t="s">
        <v>4385</v>
      </c>
      <c r="F85" s="2" t="s">
        <v>2361</v>
      </c>
      <c r="G85" s="2" t="s">
        <v>3256</v>
      </c>
      <c r="H85" s="2" t="s">
        <v>4393</v>
      </c>
      <c r="I85" s="35">
        <v>44475</v>
      </c>
      <c r="J85" s="38">
        <v>115</v>
      </c>
      <c r="K85" s="39">
        <v>5.9</v>
      </c>
    </row>
    <row r="86" spans="2:11" ht="15" customHeight="1">
      <c r="B86" s="2">
        <v>4500458475</v>
      </c>
      <c r="C86" s="2">
        <v>507209</v>
      </c>
      <c r="D86" s="2" t="s">
        <v>4385</v>
      </c>
      <c r="F86" s="2" t="s">
        <v>2361</v>
      </c>
      <c r="G86" s="2" t="s">
        <v>3256</v>
      </c>
      <c r="H86" s="2" t="s">
        <v>4392</v>
      </c>
      <c r="I86" s="35">
        <v>44475</v>
      </c>
      <c r="J86" s="38">
        <v>140</v>
      </c>
      <c r="K86" s="39">
        <v>5.9</v>
      </c>
    </row>
    <row r="87" spans="2:11" ht="15" customHeight="1">
      <c r="B87" s="2">
        <v>4500458475</v>
      </c>
      <c r="C87" s="2">
        <v>507209</v>
      </c>
      <c r="D87" s="2" t="s">
        <v>4385</v>
      </c>
      <c r="F87" s="2" t="s">
        <v>2361</v>
      </c>
      <c r="G87" s="2" t="s">
        <v>3256</v>
      </c>
      <c r="H87" s="2" t="s">
        <v>4395</v>
      </c>
      <c r="I87" s="35">
        <v>44475</v>
      </c>
      <c r="J87" s="38">
        <v>79</v>
      </c>
      <c r="K87" s="39">
        <v>5.9</v>
      </c>
    </row>
    <row r="88" spans="2:11" ht="15" customHeight="1">
      <c r="B88" s="2">
        <v>4500458475</v>
      </c>
      <c r="C88" s="2">
        <v>507209</v>
      </c>
      <c r="D88" s="2" t="s">
        <v>4385</v>
      </c>
      <c r="F88" s="2" t="s">
        <v>2361</v>
      </c>
      <c r="G88" s="2" t="s">
        <v>3256</v>
      </c>
      <c r="H88" s="2" t="s">
        <v>3224</v>
      </c>
      <c r="I88" s="35">
        <v>44475</v>
      </c>
      <c r="J88" s="38">
        <v>28</v>
      </c>
      <c r="K88" s="39">
        <v>5.9</v>
      </c>
    </row>
    <row r="89" spans="2:11" ht="15" customHeight="1">
      <c r="B89" s="2">
        <v>4500458475</v>
      </c>
      <c r="C89" s="2">
        <v>529692</v>
      </c>
      <c r="D89" s="2" t="s">
        <v>4385</v>
      </c>
      <c r="F89" s="2" t="s">
        <v>2361</v>
      </c>
      <c r="G89" s="2" t="s">
        <v>3248</v>
      </c>
      <c r="H89" s="2" t="s">
        <v>3261</v>
      </c>
      <c r="I89" s="35">
        <v>44475</v>
      </c>
      <c r="J89" s="38">
        <v>137</v>
      </c>
      <c r="K89" s="39">
        <v>6.03</v>
      </c>
    </row>
    <row r="90" spans="2:11" ht="15" customHeight="1">
      <c r="B90" s="2">
        <v>4500458475</v>
      </c>
      <c r="C90" s="2">
        <v>529692</v>
      </c>
      <c r="D90" s="2" t="s">
        <v>4385</v>
      </c>
      <c r="F90" s="2" t="s">
        <v>2361</v>
      </c>
      <c r="G90" s="2" t="s">
        <v>3248</v>
      </c>
      <c r="H90" s="2" t="s">
        <v>4390</v>
      </c>
      <c r="I90" s="35">
        <v>44475</v>
      </c>
      <c r="J90" s="38">
        <v>113</v>
      </c>
      <c r="K90" s="39">
        <v>6.03</v>
      </c>
    </row>
    <row r="91" spans="2:11" ht="15" customHeight="1">
      <c r="B91" s="2">
        <v>4500458475</v>
      </c>
      <c r="C91" s="2">
        <v>529692</v>
      </c>
      <c r="D91" s="2" t="s">
        <v>4385</v>
      </c>
      <c r="F91" s="2" t="s">
        <v>2361</v>
      </c>
      <c r="G91" s="2" t="s">
        <v>3248</v>
      </c>
      <c r="H91" s="2" t="s">
        <v>4391</v>
      </c>
      <c r="I91" s="35">
        <v>44475</v>
      </c>
      <c r="J91" s="38">
        <v>34</v>
      </c>
      <c r="K91" s="39">
        <v>6.03</v>
      </c>
    </row>
    <row r="92" spans="2:11" ht="15" customHeight="1">
      <c r="B92" s="2">
        <v>4500458475</v>
      </c>
      <c r="C92" s="2">
        <v>529692</v>
      </c>
      <c r="D92" s="2" t="s">
        <v>4385</v>
      </c>
      <c r="F92" s="2" t="s">
        <v>2361</v>
      </c>
      <c r="G92" s="2" t="s">
        <v>3249</v>
      </c>
      <c r="H92" s="2" t="s">
        <v>3261</v>
      </c>
      <c r="I92" s="35">
        <v>44475</v>
      </c>
      <c r="J92" s="38">
        <v>137</v>
      </c>
      <c r="K92" s="39">
        <v>6.29</v>
      </c>
    </row>
    <row r="93" spans="2:11" ht="15" customHeight="1">
      <c r="B93" s="2">
        <v>4500458475</v>
      </c>
      <c r="C93" s="2">
        <v>529692</v>
      </c>
      <c r="D93" s="2" t="s">
        <v>4385</v>
      </c>
      <c r="F93" s="2" t="s">
        <v>2361</v>
      </c>
      <c r="G93" s="2" t="s">
        <v>3249</v>
      </c>
      <c r="H93" s="2" t="s">
        <v>4390</v>
      </c>
      <c r="I93" s="35">
        <v>44475</v>
      </c>
      <c r="J93" s="38">
        <v>113</v>
      </c>
      <c r="K93" s="39">
        <v>6.29</v>
      </c>
    </row>
    <row r="94" spans="2:11" ht="15" customHeight="1">
      <c r="B94" s="2">
        <v>4500458475</v>
      </c>
      <c r="C94" s="2">
        <v>529692</v>
      </c>
      <c r="D94" s="2" t="s">
        <v>4385</v>
      </c>
      <c r="F94" s="2" t="s">
        <v>2361</v>
      </c>
      <c r="G94" s="2" t="s">
        <v>3249</v>
      </c>
      <c r="H94" s="2" t="s">
        <v>4391</v>
      </c>
      <c r="I94" s="35">
        <v>44475</v>
      </c>
      <c r="J94" s="38">
        <v>34</v>
      </c>
      <c r="K94" s="39">
        <v>6.29</v>
      </c>
    </row>
    <row r="95" spans="2:11" ht="15" customHeight="1">
      <c r="B95" s="2">
        <v>4500458475</v>
      </c>
      <c r="C95" s="2">
        <v>529692</v>
      </c>
      <c r="D95" s="2" t="s">
        <v>4385</v>
      </c>
      <c r="F95" s="2" t="s">
        <v>2361</v>
      </c>
      <c r="G95" s="2" t="s">
        <v>3250</v>
      </c>
      <c r="H95" s="2" t="s">
        <v>3261</v>
      </c>
      <c r="I95" s="35">
        <v>44475</v>
      </c>
      <c r="J95" s="38">
        <v>137</v>
      </c>
      <c r="K95" s="39">
        <v>7.42</v>
      </c>
    </row>
    <row r="96" spans="2:11" ht="15" customHeight="1">
      <c r="B96" s="2">
        <v>4500458475</v>
      </c>
      <c r="C96" s="2">
        <v>529692</v>
      </c>
      <c r="D96" s="2" t="s">
        <v>4385</v>
      </c>
      <c r="F96" s="2" t="s">
        <v>2361</v>
      </c>
      <c r="G96" s="2" t="s">
        <v>3250</v>
      </c>
      <c r="H96" s="2" t="s">
        <v>4390</v>
      </c>
      <c r="I96" s="35">
        <v>44475</v>
      </c>
      <c r="J96" s="38">
        <v>113</v>
      </c>
      <c r="K96" s="39">
        <v>7.42</v>
      </c>
    </row>
    <row r="97" spans="2:11" ht="15" customHeight="1">
      <c r="B97" s="2">
        <v>4500458475</v>
      </c>
      <c r="C97" s="2">
        <v>529692</v>
      </c>
      <c r="D97" s="2" t="s">
        <v>4385</v>
      </c>
      <c r="F97" s="2" t="s">
        <v>2361</v>
      </c>
      <c r="G97" s="2" t="s">
        <v>3250</v>
      </c>
      <c r="H97" s="2" t="s">
        <v>4391</v>
      </c>
      <c r="I97" s="35">
        <v>44475</v>
      </c>
      <c r="J97" s="38">
        <v>34</v>
      </c>
      <c r="K97" s="39">
        <v>7.42</v>
      </c>
    </row>
    <row r="98" spans="2:11" ht="15" customHeight="1">
      <c r="B98" s="2">
        <v>4500458475</v>
      </c>
      <c r="C98" s="2">
        <v>529692</v>
      </c>
      <c r="D98" s="2" t="s">
        <v>4385</v>
      </c>
      <c r="F98" s="2" t="s">
        <v>2361</v>
      </c>
      <c r="G98" s="2" t="s">
        <v>3252</v>
      </c>
      <c r="H98" s="2" t="s">
        <v>3261</v>
      </c>
      <c r="I98" s="35">
        <v>44475</v>
      </c>
      <c r="J98" s="38">
        <v>36</v>
      </c>
      <c r="K98" s="39">
        <v>6.03</v>
      </c>
    </row>
    <row r="99" spans="2:11" ht="15" customHeight="1">
      <c r="B99" s="2">
        <v>4500458475</v>
      </c>
      <c r="C99" s="2">
        <v>529692</v>
      </c>
      <c r="D99" s="2" t="s">
        <v>4385</v>
      </c>
      <c r="F99" s="2" t="s">
        <v>2361</v>
      </c>
      <c r="G99" s="2" t="s">
        <v>3252</v>
      </c>
      <c r="H99" s="2" t="s">
        <v>4390</v>
      </c>
      <c r="I99" s="35">
        <v>44475</v>
      </c>
      <c r="J99" s="38">
        <v>29</v>
      </c>
      <c r="K99" s="39">
        <v>6.03</v>
      </c>
    </row>
    <row r="100" spans="2:11" ht="15" customHeight="1">
      <c r="B100" s="2">
        <v>4500458475</v>
      </c>
      <c r="C100" s="2">
        <v>529692</v>
      </c>
      <c r="D100" s="2" t="s">
        <v>4385</v>
      </c>
      <c r="F100" s="2" t="s">
        <v>2361</v>
      </c>
      <c r="G100" s="2" t="s">
        <v>3252</v>
      </c>
      <c r="H100" s="2" t="s">
        <v>4391</v>
      </c>
      <c r="I100" s="35">
        <v>44475</v>
      </c>
      <c r="J100" s="38">
        <v>9</v>
      </c>
      <c r="K100" s="39">
        <v>6.03</v>
      </c>
    </row>
    <row r="101" spans="2:11" ht="15" customHeight="1">
      <c r="B101" s="2">
        <v>4500458475</v>
      </c>
      <c r="C101" s="2">
        <v>529692</v>
      </c>
      <c r="D101" s="2" t="s">
        <v>4385</v>
      </c>
      <c r="F101" s="2" t="s">
        <v>2361</v>
      </c>
      <c r="G101" s="2" t="s">
        <v>3253</v>
      </c>
      <c r="H101" s="2" t="s">
        <v>3261</v>
      </c>
      <c r="I101" s="35">
        <v>44475</v>
      </c>
      <c r="J101" s="38">
        <v>45</v>
      </c>
      <c r="K101" s="39">
        <v>7.63</v>
      </c>
    </row>
    <row r="102" spans="2:11" ht="15" customHeight="1">
      <c r="B102" s="2">
        <v>4500458475</v>
      </c>
      <c r="C102" s="2">
        <v>529692</v>
      </c>
      <c r="D102" s="2" t="s">
        <v>4385</v>
      </c>
      <c r="F102" s="2" t="s">
        <v>2361</v>
      </c>
      <c r="G102" s="2" t="s">
        <v>3253</v>
      </c>
      <c r="H102" s="2" t="s">
        <v>4390</v>
      </c>
      <c r="I102" s="35">
        <v>44475</v>
      </c>
      <c r="J102" s="38">
        <v>38</v>
      </c>
      <c r="K102" s="39">
        <v>7.63</v>
      </c>
    </row>
    <row r="103" spans="2:11" ht="15" customHeight="1">
      <c r="B103" s="2">
        <v>4500458475</v>
      </c>
      <c r="C103" s="2">
        <v>529692</v>
      </c>
      <c r="D103" s="2" t="s">
        <v>4385</v>
      </c>
      <c r="F103" s="2" t="s">
        <v>2361</v>
      </c>
      <c r="G103" s="2" t="s">
        <v>3253</v>
      </c>
      <c r="H103" s="2" t="s">
        <v>4391</v>
      </c>
      <c r="I103" s="35">
        <v>44475</v>
      </c>
      <c r="J103" s="38">
        <v>11</v>
      </c>
      <c r="K103" s="39">
        <v>7.63</v>
      </c>
    </row>
    <row r="104" spans="2:11" ht="15" customHeight="1">
      <c r="B104" s="2">
        <v>4500458475</v>
      </c>
      <c r="C104" s="2">
        <v>529692</v>
      </c>
      <c r="D104" s="2" t="s">
        <v>4385</v>
      </c>
      <c r="F104" s="2" t="s">
        <v>2361</v>
      </c>
      <c r="G104" s="2" t="s">
        <v>4387</v>
      </c>
      <c r="H104" s="2" t="s">
        <v>3261</v>
      </c>
      <c r="I104" s="35">
        <v>44475</v>
      </c>
      <c r="J104" s="38">
        <v>120</v>
      </c>
      <c r="K104" s="39">
        <v>6.29</v>
      </c>
    </row>
    <row r="105" spans="2:11" ht="15" customHeight="1">
      <c r="B105" s="2">
        <v>4500458475</v>
      </c>
      <c r="C105" s="2">
        <v>529692</v>
      </c>
      <c r="D105" s="2" t="s">
        <v>4385</v>
      </c>
      <c r="F105" s="2" t="s">
        <v>2361</v>
      </c>
      <c r="G105" s="2" t="s">
        <v>4387</v>
      </c>
      <c r="H105" s="2" t="s">
        <v>4390</v>
      </c>
      <c r="I105" s="35">
        <v>44475</v>
      </c>
      <c r="J105" s="38">
        <v>100</v>
      </c>
      <c r="K105" s="39">
        <v>6.29</v>
      </c>
    </row>
    <row r="106" spans="2:11" ht="15" customHeight="1">
      <c r="B106" s="2">
        <v>4500458475</v>
      </c>
      <c r="C106" s="2">
        <v>529692</v>
      </c>
      <c r="D106" s="2" t="s">
        <v>4385</v>
      </c>
      <c r="F106" s="2" t="s">
        <v>2361</v>
      </c>
      <c r="G106" s="2" t="s">
        <v>4387</v>
      </c>
      <c r="H106" s="2" t="s">
        <v>4391</v>
      </c>
      <c r="I106" s="35">
        <v>44475</v>
      </c>
      <c r="J106" s="38">
        <v>30</v>
      </c>
      <c r="K106" s="39">
        <v>6.29</v>
      </c>
    </row>
    <row r="107" spans="2:11" ht="15" customHeight="1">
      <c r="B107" s="2">
        <v>4500458475</v>
      </c>
      <c r="C107" s="2">
        <v>529692</v>
      </c>
      <c r="D107" s="2" t="s">
        <v>4385</v>
      </c>
      <c r="F107" s="2" t="s">
        <v>2361</v>
      </c>
      <c r="G107" s="2" t="s">
        <v>4389</v>
      </c>
      <c r="H107" s="2" t="s">
        <v>3261</v>
      </c>
      <c r="I107" s="35">
        <v>44475</v>
      </c>
      <c r="J107" s="38">
        <v>96</v>
      </c>
      <c r="K107" s="39">
        <v>7.4</v>
      </c>
    </row>
    <row r="108" spans="2:11" ht="15" customHeight="1">
      <c r="B108" s="2">
        <v>4500458475</v>
      </c>
      <c r="C108" s="2">
        <v>529692</v>
      </c>
      <c r="D108" s="2" t="s">
        <v>4385</v>
      </c>
      <c r="F108" s="2" t="s">
        <v>2361</v>
      </c>
      <c r="G108" s="2" t="s">
        <v>4389</v>
      </c>
      <c r="H108" s="2" t="s">
        <v>4390</v>
      </c>
      <c r="I108" s="35">
        <v>44475</v>
      </c>
      <c r="J108" s="38">
        <v>80</v>
      </c>
      <c r="K108" s="39">
        <v>7.4</v>
      </c>
    </row>
    <row r="109" spans="2:11" ht="15" customHeight="1">
      <c r="B109" s="2">
        <v>4500458475</v>
      </c>
      <c r="C109" s="2">
        <v>529692</v>
      </c>
      <c r="D109" s="2" t="s">
        <v>4385</v>
      </c>
      <c r="F109" s="2" t="s">
        <v>2361</v>
      </c>
      <c r="G109" s="2" t="s">
        <v>4389</v>
      </c>
      <c r="H109" s="2" t="s">
        <v>4391</v>
      </c>
      <c r="I109" s="35">
        <v>44475</v>
      </c>
      <c r="J109" s="38">
        <v>24</v>
      </c>
      <c r="K109" s="39">
        <v>7.4</v>
      </c>
    </row>
    <row r="110" spans="2:11" ht="15" customHeight="1">
      <c r="B110" s="2">
        <v>4500458475</v>
      </c>
      <c r="C110" s="2">
        <v>529688</v>
      </c>
      <c r="D110" s="2" t="s">
        <v>4385</v>
      </c>
      <c r="F110" s="2" t="s">
        <v>2361</v>
      </c>
      <c r="G110" s="2" t="s">
        <v>3254</v>
      </c>
      <c r="H110" s="2" t="s">
        <v>3261</v>
      </c>
      <c r="I110" s="35">
        <v>44475</v>
      </c>
      <c r="J110" s="38">
        <v>132</v>
      </c>
      <c r="K110" s="39">
        <v>6.27</v>
      </c>
    </row>
    <row r="111" spans="2:11" ht="15" customHeight="1">
      <c r="B111" s="2">
        <v>4500458475</v>
      </c>
      <c r="C111" s="2">
        <v>529688</v>
      </c>
      <c r="D111" s="2" t="s">
        <v>4385</v>
      </c>
      <c r="F111" s="2" t="s">
        <v>2361</v>
      </c>
      <c r="G111" s="2" t="s">
        <v>3254</v>
      </c>
      <c r="H111" s="2" t="s">
        <v>4390</v>
      </c>
      <c r="I111" s="35">
        <v>44475</v>
      </c>
      <c r="J111" s="38">
        <v>109</v>
      </c>
      <c r="K111" s="39">
        <v>6.27</v>
      </c>
    </row>
    <row r="112" spans="2:11" ht="15" customHeight="1">
      <c r="B112" s="2">
        <v>4500458475</v>
      </c>
      <c r="C112" s="2">
        <v>529688</v>
      </c>
      <c r="D112" s="2" t="s">
        <v>4385</v>
      </c>
      <c r="F112" s="2" t="s">
        <v>2361</v>
      </c>
      <c r="G112" s="2" t="s">
        <v>3254</v>
      </c>
      <c r="H112" s="2" t="s">
        <v>4391</v>
      </c>
      <c r="I112" s="35">
        <v>44475</v>
      </c>
      <c r="J112" s="38">
        <v>33</v>
      </c>
      <c r="K112" s="39">
        <v>6.27</v>
      </c>
    </row>
    <row r="113" spans="2:11" ht="15" customHeight="1">
      <c r="B113" s="2">
        <v>4500458475</v>
      </c>
      <c r="C113" s="2">
        <v>529688</v>
      </c>
      <c r="D113" s="2" t="s">
        <v>4385</v>
      </c>
      <c r="F113" s="2" t="s">
        <v>2361</v>
      </c>
      <c r="G113" s="2" t="s">
        <v>3265</v>
      </c>
      <c r="H113" s="2" t="s">
        <v>3261</v>
      </c>
      <c r="I113" s="35">
        <v>44475</v>
      </c>
      <c r="J113" s="38">
        <v>135</v>
      </c>
      <c r="K113" s="39">
        <v>6.95</v>
      </c>
    </row>
    <row r="114" spans="2:11" ht="15" customHeight="1">
      <c r="B114" s="2">
        <v>4500458475</v>
      </c>
      <c r="C114" s="2">
        <v>529688</v>
      </c>
      <c r="D114" s="2" t="s">
        <v>4385</v>
      </c>
      <c r="F114" s="2" t="s">
        <v>2361</v>
      </c>
      <c r="G114" s="2" t="s">
        <v>3265</v>
      </c>
      <c r="H114" s="2" t="s">
        <v>4390</v>
      </c>
      <c r="I114" s="35">
        <v>44475</v>
      </c>
      <c r="J114" s="38">
        <v>112</v>
      </c>
      <c r="K114" s="39">
        <v>6.95</v>
      </c>
    </row>
    <row r="115" spans="2:11" ht="15" customHeight="1">
      <c r="B115" s="2">
        <v>4500458475</v>
      </c>
      <c r="C115" s="2">
        <v>529688</v>
      </c>
      <c r="D115" s="2" t="s">
        <v>4385</v>
      </c>
      <c r="F115" s="2" t="s">
        <v>2361</v>
      </c>
      <c r="G115" s="2" t="s">
        <v>3265</v>
      </c>
      <c r="H115" s="2" t="s">
        <v>4391</v>
      </c>
      <c r="I115" s="35">
        <v>44475</v>
      </c>
      <c r="J115" s="38">
        <v>34</v>
      </c>
      <c r="K115" s="39">
        <v>6.95</v>
      </c>
    </row>
    <row r="116" spans="2:11" ht="15" customHeight="1">
      <c r="B116" s="2">
        <v>4500458475</v>
      </c>
      <c r="C116" s="2">
        <v>529688</v>
      </c>
      <c r="D116" s="2" t="s">
        <v>4385</v>
      </c>
      <c r="F116" s="2" t="s">
        <v>2361</v>
      </c>
      <c r="G116" s="2" t="s">
        <v>3255</v>
      </c>
      <c r="H116" s="2" t="s">
        <v>3261</v>
      </c>
      <c r="I116" s="35">
        <v>44475</v>
      </c>
      <c r="J116" s="38">
        <v>201</v>
      </c>
      <c r="K116" s="39">
        <v>6.27</v>
      </c>
    </row>
    <row r="117" spans="2:11" ht="15" customHeight="1">
      <c r="B117" s="2">
        <v>4500458475</v>
      </c>
      <c r="C117" s="2">
        <v>529688</v>
      </c>
      <c r="D117" s="2" t="s">
        <v>4385</v>
      </c>
      <c r="F117" s="2" t="s">
        <v>2361</v>
      </c>
      <c r="G117" s="2" t="s">
        <v>3255</v>
      </c>
      <c r="H117" s="2" t="s">
        <v>4390</v>
      </c>
      <c r="I117" s="35">
        <v>44475</v>
      </c>
      <c r="J117" s="38">
        <v>166</v>
      </c>
      <c r="K117" s="39">
        <v>6.27</v>
      </c>
    </row>
    <row r="118" spans="2:11" ht="15" customHeight="1">
      <c r="B118" s="2">
        <v>4500458475</v>
      </c>
      <c r="C118" s="2">
        <v>529688</v>
      </c>
      <c r="D118" s="2" t="s">
        <v>4385</v>
      </c>
      <c r="F118" s="2" t="s">
        <v>2361</v>
      </c>
      <c r="G118" s="2" t="s">
        <v>3255</v>
      </c>
      <c r="H118" s="2" t="s">
        <v>4391</v>
      </c>
      <c r="I118" s="35">
        <v>44475</v>
      </c>
      <c r="J118" s="38">
        <v>50</v>
      </c>
      <c r="K118" s="39">
        <v>6.27</v>
      </c>
    </row>
    <row r="119" spans="2:11" ht="15" customHeight="1">
      <c r="B119" s="2">
        <v>4500458475</v>
      </c>
      <c r="C119" s="2">
        <v>529688</v>
      </c>
      <c r="D119" s="2" t="s">
        <v>4385</v>
      </c>
      <c r="F119" s="2" t="s">
        <v>2361</v>
      </c>
      <c r="G119" s="2" t="s">
        <v>3257</v>
      </c>
      <c r="H119" s="2" t="s">
        <v>3261</v>
      </c>
      <c r="I119" s="35">
        <v>44475</v>
      </c>
      <c r="J119" s="38">
        <v>77</v>
      </c>
      <c r="K119" s="39">
        <v>6.35</v>
      </c>
    </row>
    <row r="120" spans="2:11" ht="15" customHeight="1">
      <c r="B120" s="2">
        <v>4500458475</v>
      </c>
      <c r="C120" s="2">
        <v>529688</v>
      </c>
      <c r="D120" s="2" t="s">
        <v>4385</v>
      </c>
      <c r="F120" s="2" t="s">
        <v>2361</v>
      </c>
      <c r="G120" s="2" t="s">
        <v>3257</v>
      </c>
      <c r="H120" s="2" t="s">
        <v>4390</v>
      </c>
      <c r="I120" s="35">
        <v>44475</v>
      </c>
      <c r="J120" s="38">
        <v>63</v>
      </c>
      <c r="K120" s="39">
        <v>6.35</v>
      </c>
    </row>
    <row r="121" spans="2:11" ht="15" customHeight="1">
      <c r="B121" s="2">
        <v>4500458475</v>
      </c>
      <c r="C121" s="2">
        <v>529688</v>
      </c>
      <c r="D121" s="2" t="s">
        <v>4385</v>
      </c>
      <c r="F121" s="2" t="s">
        <v>2361</v>
      </c>
      <c r="G121" s="2" t="s">
        <v>3257</v>
      </c>
      <c r="H121" s="2" t="s">
        <v>4391</v>
      </c>
      <c r="I121" s="35">
        <v>44475</v>
      </c>
      <c r="J121" s="38">
        <v>19</v>
      </c>
      <c r="K121" s="39">
        <v>6.35</v>
      </c>
    </row>
    <row r="122" spans="2:11" ht="15" customHeight="1">
      <c r="B122" s="2">
        <v>4500458475</v>
      </c>
      <c r="C122" s="2">
        <v>529688</v>
      </c>
      <c r="D122" s="2" t="s">
        <v>4385</v>
      </c>
      <c r="F122" s="2" t="s">
        <v>2361</v>
      </c>
      <c r="G122" s="2" t="s">
        <v>3258</v>
      </c>
      <c r="H122" s="2" t="s">
        <v>3261</v>
      </c>
      <c r="I122" s="35">
        <v>44475</v>
      </c>
      <c r="J122" s="38">
        <v>127</v>
      </c>
      <c r="K122" s="39">
        <v>6.27</v>
      </c>
    </row>
    <row r="123" spans="2:11" ht="15" customHeight="1">
      <c r="B123" s="2">
        <v>4500458475</v>
      </c>
      <c r="C123" s="2">
        <v>529688</v>
      </c>
      <c r="D123" s="2" t="s">
        <v>4385</v>
      </c>
      <c r="F123" s="2" t="s">
        <v>2361</v>
      </c>
      <c r="G123" s="2" t="s">
        <v>3258</v>
      </c>
      <c r="H123" s="2" t="s">
        <v>4390</v>
      </c>
      <c r="I123" s="35">
        <v>44475</v>
      </c>
      <c r="J123" s="38">
        <v>105</v>
      </c>
      <c r="K123" s="39">
        <v>6.27</v>
      </c>
    </row>
    <row r="124" spans="2:11" ht="15" customHeight="1">
      <c r="B124" s="2">
        <v>4500458475</v>
      </c>
      <c r="C124" s="2">
        <v>529688</v>
      </c>
      <c r="D124" s="2" t="s">
        <v>4385</v>
      </c>
      <c r="F124" s="2" t="s">
        <v>2361</v>
      </c>
      <c r="G124" s="2" t="s">
        <v>3258</v>
      </c>
      <c r="H124" s="2" t="s">
        <v>4391</v>
      </c>
      <c r="I124" s="35">
        <v>44475</v>
      </c>
      <c r="J124" s="38">
        <v>32</v>
      </c>
      <c r="K124" s="39">
        <v>6.27</v>
      </c>
    </row>
    <row r="125" spans="2:11" ht="15" customHeight="1">
      <c r="B125" s="2">
        <v>4500458476</v>
      </c>
      <c r="C125" s="2">
        <v>506896</v>
      </c>
      <c r="D125" s="2" t="s">
        <v>4385</v>
      </c>
      <c r="F125" s="2" t="s">
        <v>2361</v>
      </c>
      <c r="G125" s="2" t="s">
        <v>3248</v>
      </c>
      <c r="H125" s="2" t="s">
        <v>4394</v>
      </c>
      <c r="I125" s="35">
        <v>44503</v>
      </c>
      <c r="J125" s="38">
        <v>60</v>
      </c>
      <c r="K125" s="39">
        <v>5.6</v>
      </c>
    </row>
    <row r="126" spans="2:11" ht="15" customHeight="1">
      <c r="B126" s="2">
        <v>4500458476</v>
      </c>
      <c r="C126" s="2">
        <v>506896</v>
      </c>
      <c r="D126" s="2" t="s">
        <v>4385</v>
      </c>
      <c r="F126" s="2" t="s">
        <v>2361</v>
      </c>
      <c r="G126" s="2" t="s">
        <v>3248</v>
      </c>
      <c r="H126" s="2" t="s">
        <v>4393</v>
      </c>
      <c r="I126" s="35">
        <v>44503</v>
      </c>
      <c r="J126" s="38">
        <v>44</v>
      </c>
      <c r="K126" s="39">
        <v>5.6</v>
      </c>
    </row>
    <row r="127" spans="2:11" ht="15" customHeight="1">
      <c r="B127" s="2">
        <v>4500458476</v>
      </c>
      <c r="C127" s="2">
        <v>506896</v>
      </c>
      <c r="D127" s="2" t="s">
        <v>4385</v>
      </c>
      <c r="F127" s="2" t="s">
        <v>2361</v>
      </c>
      <c r="G127" s="2" t="s">
        <v>3248</v>
      </c>
      <c r="H127" s="2" t="s">
        <v>4392</v>
      </c>
      <c r="I127" s="35">
        <v>44503</v>
      </c>
      <c r="J127" s="38">
        <v>46</v>
      </c>
      <c r="K127" s="39">
        <v>5.6</v>
      </c>
    </row>
    <row r="128" spans="2:11" ht="15" customHeight="1">
      <c r="B128" s="2">
        <v>4500458476</v>
      </c>
      <c r="C128" s="2">
        <v>506896</v>
      </c>
      <c r="D128" s="2" t="s">
        <v>4385</v>
      </c>
      <c r="F128" s="2" t="s">
        <v>2361</v>
      </c>
      <c r="G128" s="2" t="s">
        <v>3248</v>
      </c>
      <c r="H128" s="2" t="s">
        <v>4395</v>
      </c>
      <c r="I128" s="35">
        <v>44503</v>
      </c>
      <c r="J128" s="38">
        <v>27</v>
      </c>
      <c r="K128" s="39">
        <v>5.6</v>
      </c>
    </row>
    <row r="129" spans="2:11" ht="15" customHeight="1">
      <c r="B129" s="2">
        <v>4500458476</v>
      </c>
      <c r="C129" s="2">
        <v>506896</v>
      </c>
      <c r="D129" s="2" t="s">
        <v>4385</v>
      </c>
      <c r="F129" s="2" t="s">
        <v>2361</v>
      </c>
      <c r="G129" s="2" t="s">
        <v>3248</v>
      </c>
      <c r="H129" s="2" t="s">
        <v>3224</v>
      </c>
      <c r="I129" s="35">
        <v>44503</v>
      </c>
      <c r="J129" s="38">
        <v>25</v>
      </c>
      <c r="K129" s="39">
        <v>5.6</v>
      </c>
    </row>
    <row r="130" spans="2:11" ht="15" customHeight="1">
      <c r="B130" s="2">
        <v>4500458476</v>
      </c>
      <c r="C130" s="2">
        <v>506896</v>
      </c>
      <c r="D130" s="2" t="s">
        <v>4385</v>
      </c>
      <c r="F130" s="2" t="s">
        <v>2361</v>
      </c>
      <c r="G130" s="2" t="s">
        <v>3249</v>
      </c>
      <c r="H130" s="2" t="s">
        <v>4394</v>
      </c>
      <c r="I130" s="35">
        <v>44503</v>
      </c>
      <c r="J130" s="38">
        <v>67</v>
      </c>
      <c r="K130" s="39">
        <v>5.84</v>
      </c>
    </row>
    <row r="131" spans="2:11" ht="15" customHeight="1">
      <c r="B131" s="2">
        <v>4500458476</v>
      </c>
      <c r="C131" s="2">
        <v>506896</v>
      </c>
      <c r="D131" s="2" t="s">
        <v>4385</v>
      </c>
      <c r="F131" s="2" t="s">
        <v>2361</v>
      </c>
      <c r="G131" s="2" t="s">
        <v>3249</v>
      </c>
      <c r="H131" s="2" t="s">
        <v>4393</v>
      </c>
      <c r="I131" s="35">
        <v>44503</v>
      </c>
      <c r="J131" s="38">
        <v>58</v>
      </c>
      <c r="K131" s="39">
        <v>5.84</v>
      </c>
    </row>
    <row r="132" spans="2:11" ht="15" customHeight="1">
      <c r="B132" s="2">
        <v>4500458476</v>
      </c>
      <c r="C132" s="2">
        <v>506896</v>
      </c>
      <c r="D132" s="2" t="s">
        <v>4385</v>
      </c>
      <c r="F132" s="2" t="s">
        <v>2361</v>
      </c>
      <c r="G132" s="2" t="s">
        <v>3249</v>
      </c>
      <c r="H132" s="2" t="s">
        <v>4392</v>
      </c>
      <c r="I132" s="35">
        <v>44503</v>
      </c>
      <c r="J132" s="38">
        <v>50</v>
      </c>
      <c r="K132" s="39">
        <v>5.84</v>
      </c>
    </row>
    <row r="133" spans="2:11" ht="15" customHeight="1">
      <c r="B133" s="2">
        <v>4500458476</v>
      </c>
      <c r="C133" s="2">
        <v>506896</v>
      </c>
      <c r="D133" s="2" t="s">
        <v>4385</v>
      </c>
      <c r="F133" s="2" t="s">
        <v>2361</v>
      </c>
      <c r="G133" s="2" t="s">
        <v>3249</v>
      </c>
      <c r="H133" s="2" t="s">
        <v>3224</v>
      </c>
      <c r="I133" s="35">
        <v>44503</v>
      </c>
      <c r="J133" s="38">
        <v>27</v>
      </c>
      <c r="K133" s="39">
        <v>5.84</v>
      </c>
    </row>
    <row r="134" spans="2:11" ht="15" customHeight="1">
      <c r="B134" s="2">
        <v>4500458476</v>
      </c>
      <c r="C134" s="2">
        <v>506896</v>
      </c>
      <c r="D134" s="2" t="s">
        <v>4385</v>
      </c>
      <c r="F134" s="2" t="s">
        <v>2361</v>
      </c>
      <c r="G134" s="2" t="s">
        <v>3250</v>
      </c>
      <c r="H134" s="2" t="s">
        <v>4394</v>
      </c>
      <c r="I134" s="35">
        <v>44503</v>
      </c>
      <c r="J134" s="38">
        <v>29</v>
      </c>
      <c r="K134" s="39">
        <v>6.9</v>
      </c>
    </row>
    <row r="135" spans="2:11" ht="15" customHeight="1">
      <c r="B135" s="2">
        <v>4500458476</v>
      </c>
      <c r="C135" s="2">
        <v>506896</v>
      </c>
      <c r="D135" s="2" t="s">
        <v>4385</v>
      </c>
      <c r="F135" s="2" t="s">
        <v>2361</v>
      </c>
      <c r="G135" s="2" t="s">
        <v>3250</v>
      </c>
      <c r="H135" s="2" t="s">
        <v>4393</v>
      </c>
      <c r="I135" s="35">
        <v>44503</v>
      </c>
      <c r="J135" s="38">
        <v>87</v>
      </c>
      <c r="K135" s="39">
        <v>6.9</v>
      </c>
    </row>
    <row r="136" spans="2:11" ht="15" customHeight="1">
      <c r="B136" s="2">
        <v>4500458476</v>
      </c>
      <c r="C136" s="2">
        <v>506896</v>
      </c>
      <c r="D136" s="2" t="s">
        <v>4385</v>
      </c>
      <c r="F136" s="2" t="s">
        <v>2361</v>
      </c>
      <c r="G136" s="2" t="s">
        <v>3250</v>
      </c>
      <c r="H136" s="2" t="s">
        <v>4392</v>
      </c>
      <c r="I136" s="35">
        <v>44503</v>
      </c>
      <c r="J136" s="38">
        <v>105</v>
      </c>
      <c r="K136" s="39">
        <v>6.9</v>
      </c>
    </row>
    <row r="137" spans="2:11" ht="15" customHeight="1">
      <c r="B137" s="2">
        <v>4500458476</v>
      </c>
      <c r="C137" s="2">
        <v>506896</v>
      </c>
      <c r="D137" s="2" t="s">
        <v>4385</v>
      </c>
      <c r="F137" s="2" t="s">
        <v>2361</v>
      </c>
      <c r="G137" s="2" t="s">
        <v>3250</v>
      </c>
      <c r="H137" s="2" t="s">
        <v>4395</v>
      </c>
      <c r="I137" s="35">
        <v>44503</v>
      </c>
      <c r="J137" s="38">
        <v>59</v>
      </c>
      <c r="K137" s="39">
        <v>6.9</v>
      </c>
    </row>
    <row r="138" spans="2:11" ht="15" customHeight="1">
      <c r="B138" s="2">
        <v>4500458476</v>
      </c>
      <c r="C138" s="2">
        <v>506896</v>
      </c>
      <c r="D138" s="2" t="s">
        <v>4385</v>
      </c>
      <c r="F138" s="2" t="s">
        <v>2361</v>
      </c>
      <c r="G138" s="2" t="s">
        <v>3250</v>
      </c>
      <c r="H138" s="2" t="s">
        <v>3224</v>
      </c>
      <c r="I138" s="35">
        <v>44503</v>
      </c>
      <c r="J138" s="38">
        <v>21</v>
      </c>
      <c r="K138" s="39">
        <v>6.9</v>
      </c>
    </row>
    <row r="139" spans="2:11" ht="15" customHeight="1">
      <c r="B139" s="2">
        <v>4500458476</v>
      </c>
      <c r="C139" s="2">
        <v>506896</v>
      </c>
      <c r="D139" s="2" t="s">
        <v>4385</v>
      </c>
      <c r="F139" s="2" t="s">
        <v>2361</v>
      </c>
      <c r="G139" s="2" t="s">
        <v>3252</v>
      </c>
      <c r="H139" s="2" t="s">
        <v>4394</v>
      </c>
      <c r="I139" s="35">
        <v>44503</v>
      </c>
      <c r="J139" s="38">
        <v>145</v>
      </c>
      <c r="K139" s="39">
        <v>5.6</v>
      </c>
    </row>
    <row r="140" spans="2:11" ht="15" customHeight="1">
      <c r="B140" s="2">
        <v>4500458476</v>
      </c>
      <c r="C140" s="2">
        <v>506896</v>
      </c>
      <c r="D140" s="2" t="s">
        <v>4385</v>
      </c>
      <c r="F140" s="2" t="s">
        <v>2361</v>
      </c>
      <c r="G140" s="2" t="s">
        <v>3252</v>
      </c>
      <c r="H140" s="2" t="s">
        <v>4393</v>
      </c>
      <c r="I140" s="35">
        <v>44503</v>
      </c>
      <c r="J140" s="38">
        <v>236</v>
      </c>
      <c r="K140" s="39">
        <v>5.6</v>
      </c>
    </row>
    <row r="141" spans="2:11" ht="15" customHeight="1">
      <c r="B141" s="2">
        <v>4500458476</v>
      </c>
      <c r="C141" s="2">
        <v>506896</v>
      </c>
      <c r="D141" s="2" t="s">
        <v>4385</v>
      </c>
      <c r="F141" s="2" t="s">
        <v>2361</v>
      </c>
      <c r="G141" s="2" t="s">
        <v>3252</v>
      </c>
      <c r="H141" s="2" t="s">
        <v>4392</v>
      </c>
      <c r="I141" s="35">
        <v>44503</v>
      </c>
      <c r="J141" s="38">
        <v>260</v>
      </c>
      <c r="K141" s="39">
        <v>5.6</v>
      </c>
    </row>
    <row r="142" spans="2:11" ht="15" customHeight="1">
      <c r="B142" s="2">
        <v>4500458476</v>
      </c>
      <c r="C142" s="2">
        <v>506896</v>
      </c>
      <c r="D142" s="2" t="s">
        <v>4385</v>
      </c>
      <c r="F142" s="2" t="s">
        <v>2361</v>
      </c>
      <c r="G142" s="2" t="s">
        <v>3252</v>
      </c>
      <c r="H142" s="2" t="s">
        <v>4395</v>
      </c>
      <c r="I142" s="35">
        <v>44503</v>
      </c>
      <c r="J142" s="38">
        <v>216</v>
      </c>
      <c r="K142" s="39">
        <v>5.6</v>
      </c>
    </row>
    <row r="143" spans="2:11" ht="15" customHeight="1">
      <c r="B143" s="2">
        <v>4500458476</v>
      </c>
      <c r="C143" s="2">
        <v>506896</v>
      </c>
      <c r="D143" s="2" t="s">
        <v>4385</v>
      </c>
      <c r="F143" s="2" t="s">
        <v>2361</v>
      </c>
      <c r="G143" s="2" t="s">
        <v>3252</v>
      </c>
      <c r="H143" s="2" t="s">
        <v>3224</v>
      </c>
      <c r="I143" s="35">
        <v>44503</v>
      </c>
      <c r="J143" s="38">
        <v>103</v>
      </c>
      <c r="K143" s="39">
        <v>5.6</v>
      </c>
    </row>
    <row r="144" spans="2:11" ht="15" customHeight="1">
      <c r="B144" s="2">
        <v>4500458476</v>
      </c>
      <c r="C144" s="2">
        <v>506896</v>
      </c>
      <c r="D144" s="2" t="s">
        <v>4385</v>
      </c>
      <c r="F144" s="2" t="s">
        <v>2361</v>
      </c>
      <c r="G144" s="2" t="s">
        <v>3253</v>
      </c>
      <c r="H144" s="2" t="s">
        <v>4394</v>
      </c>
      <c r="I144" s="35">
        <v>44503</v>
      </c>
      <c r="J144" s="38">
        <v>45</v>
      </c>
      <c r="K144" s="39">
        <v>7.15</v>
      </c>
    </row>
    <row r="145" spans="2:11" ht="15" customHeight="1">
      <c r="B145" s="2">
        <v>4500458476</v>
      </c>
      <c r="C145" s="2">
        <v>506896</v>
      </c>
      <c r="D145" s="2" t="s">
        <v>4385</v>
      </c>
      <c r="F145" s="2" t="s">
        <v>2361</v>
      </c>
      <c r="G145" s="2" t="s">
        <v>3253</v>
      </c>
      <c r="H145" s="2" t="s">
        <v>4393</v>
      </c>
      <c r="I145" s="35">
        <v>44503</v>
      </c>
      <c r="J145" s="38">
        <v>136</v>
      </c>
      <c r="K145" s="39">
        <v>7.15</v>
      </c>
    </row>
    <row r="146" spans="2:11" ht="15" customHeight="1">
      <c r="B146" s="2">
        <v>4500458476</v>
      </c>
      <c r="C146" s="2">
        <v>506896</v>
      </c>
      <c r="D146" s="2" t="s">
        <v>4385</v>
      </c>
      <c r="F146" s="2" t="s">
        <v>2361</v>
      </c>
      <c r="G146" s="2" t="s">
        <v>3253</v>
      </c>
      <c r="H146" s="2" t="s">
        <v>4392</v>
      </c>
      <c r="I146" s="35">
        <v>44503</v>
      </c>
      <c r="J146" s="38">
        <v>164</v>
      </c>
      <c r="K146" s="39">
        <v>7.15</v>
      </c>
    </row>
    <row r="147" spans="2:11" ht="15" customHeight="1">
      <c r="B147" s="2">
        <v>4500458476</v>
      </c>
      <c r="C147" s="2">
        <v>506896</v>
      </c>
      <c r="D147" s="2" t="s">
        <v>4385</v>
      </c>
      <c r="F147" s="2" t="s">
        <v>2361</v>
      </c>
      <c r="G147" s="2" t="s">
        <v>3253</v>
      </c>
      <c r="H147" s="2" t="s">
        <v>4395</v>
      </c>
      <c r="I147" s="35">
        <v>44503</v>
      </c>
      <c r="J147" s="38">
        <v>93</v>
      </c>
      <c r="K147" s="39">
        <v>7.15</v>
      </c>
    </row>
    <row r="148" spans="2:11" ht="15" customHeight="1">
      <c r="B148" s="2">
        <v>4500458476</v>
      </c>
      <c r="C148" s="2">
        <v>506896</v>
      </c>
      <c r="D148" s="2" t="s">
        <v>4385</v>
      </c>
      <c r="F148" s="2" t="s">
        <v>2361</v>
      </c>
      <c r="G148" s="2" t="s">
        <v>3253</v>
      </c>
      <c r="H148" s="2" t="s">
        <v>3224</v>
      </c>
      <c r="I148" s="35">
        <v>44503</v>
      </c>
      <c r="J148" s="38">
        <v>33</v>
      </c>
      <c r="K148" s="39">
        <v>7.15</v>
      </c>
    </row>
    <row r="149" spans="2:11" ht="15" customHeight="1">
      <c r="B149" s="2">
        <v>4500458476</v>
      </c>
      <c r="C149" s="2">
        <v>506896</v>
      </c>
      <c r="D149" s="2" t="s">
        <v>4385</v>
      </c>
      <c r="F149" s="2" t="s">
        <v>2361</v>
      </c>
      <c r="G149" s="2" t="s">
        <v>4387</v>
      </c>
      <c r="H149" s="2" t="s">
        <v>4394</v>
      </c>
      <c r="I149" s="35">
        <v>44503</v>
      </c>
      <c r="J149" s="38">
        <v>89</v>
      </c>
      <c r="K149" s="39">
        <v>5.84</v>
      </c>
    </row>
    <row r="150" spans="2:11" ht="15" customHeight="1">
      <c r="B150" s="2">
        <v>4500458476</v>
      </c>
      <c r="C150" s="2">
        <v>506896</v>
      </c>
      <c r="D150" s="2" t="s">
        <v>4385</v>
      </c>
      <c r="F150" s="2" t="s">
        <v>2361</v>
      </c>
      <c r="G150" s="2" t="s">
        <v>4387</v>
      </c>
      <c r="H150" s="2" t="s">
        <v>4393</v>
      </c>
      <c r="I150" s="35">
        <v>44503</v>
      </c>
      <c r="J150" s="38">
        <v>152</v>
      </c>
      <c r="K150" s="39">
        <v>5.84</v>
      </c>
    </row>
    <row r="151" spans="2:11" ht="15" customHeight="1">
      <c r="B151" s="2">
        <v>4500458476</v>
      </c>
      <c r="C151" s="2">
        <v>506896</v>
      </c>
      <c r="D151" s="2" t="s">
        <v>4385</v>
      </c>
      <c r="F151" s="2" t="s">
        <v>2361</v>
      </c>
      <c r="G151" s="2" t="s">
        <v>4387</v>
      </c>
      <c r="H151" s="2" t="s">
        <v>4392</v>
      </c>
      <c r="I151" s="35">
        <v>44503</v>
      </c>
      <c r="J151" s="38">
        <v>169</v>
      </c>
      <c r="K151" s="39">
        <v>5.84</v>
      </c>
    </row>
    <row r="152" spans="2:11" ht="15" customHeight="1">
      <c r="B152" s="2">
        <v>4500458476</v>
      </c>
      <c r="C152" s="2">
        <v>506896</v>
      </c>
      <c r="D152" s="2" t="s">
        <v>4385</v>
      </c>
      <c r="F152" s="2" t="s">
        <v>2361</v>
      </c>
      <c r="G152" s="2" t="s">
        <v>4387</v>
      </c>
      <c r="H152" s="2" t="s">
        <v>4395</v>
      </c>
      <c r="I152" s="35">
        <v>44503</v>
      </c>
      <c r="J152" s="38">
        <v>141</v>
      </c>
      <c r="K152" s="39">
        <v>5.84</v>
      </c>
    </row>
    <row r="153" spans="2:11" ht="15" customHeight="1">
      <c r="B153" s="2">
        <v>4500458476</v>
      </c>
      <c r="C153" s="2">
        <v>506896</v>
      </c>
      <c r="D153" s="2" t="s">
        <v>4385</v>
      </c>
      <c r="F153" s="2" t="s">
        <v>2361</v>
      </c>
      <c r="G153" s="2" t="s">
        <v>4387</v>
      </c>
      <c r="H153" s="2" t="s">
        <v>3224</v>
      </c>
      <c r="I153" s="35">
        <v>44503</v>
      </c>
      <c r="J153" s="38">
        <v>49</v>
      </c>
      <c r="K153" s="39">
        <v>5.84</v>
      </c>
    </row>
    <row r="154" spans="2:11" ht="15" customHeight="1">
      <c r="B154" s="2">
        <v>4500458476</v>
      </c>
      <c r="C154" s="2">
        <v>506896</v>
      </c>
      <c r="D154" s="2" t="s">
        <v>4385</v>
      </c>
      <c r="F154" s="2" t="s">
        <v>2361</v>
      </c>
      <c r="G154" s="2" t="s">
        <v>4389</v>
      </c>
      <c r="H154" s="2" t="s">
        <v>4394</v>
      </c>
      <c r="I154" s="35">
        <v>44503</v>
      </c>
      <c r="J154" s="38">
        <v>7</v>
      </c>
      <c r="K154" s="39">
        <v>6.9</v>
      </c>
    </row>
    <row r="155" spans="2:11" ht="15" customHeight="1">
      <c r="B155" s="2">
        <v>4500458476</v>
      </c>
      <c r="C155" s="2">
        <v>506896</v>
      </c>
      <c r="D155" s="2" t="s">
        <v>4385</v>
      </c>
      <c r="F155" s="2" t="s">
        <v>2361</v>
      </c>
      <c r="G155" s="2" t="s">
        <v>4389</v>
      </c>
      <c r="H155" s="2" t="s">
        <v>4393</v>
      </c>
      <c r="I155" s="35">
        <v>44503</v>
      </c>
      <c r="J155" s="38">
        <v>21</v>
      </c>
      <c r="K155" s="39">
        <v>6.9</v>
      </c>
    </row>
    <row r="156" spans="2:11" ht="15" customHeight="1">
      <c r="B156" s="2">
        <v>4500458476</v>
      </c>
      <c r="C156" s="2">
        <v>506896</v>
      </c>
      <c r="D156" s="2" t="s">
        <v>4385</v>
      </c>
      <c r="F156" s="2" t="s">
        <v>2361</v>
      </c>
      <c r="G156" s="2" t="s">
        <v>4389</v>
      </c>
      <c r="H156" s="2" t="s">
        <v>4392</v>
      </c>
      <c r="I156" s="35">
        <v>44503</v>
      </c>
      <c r="J156" s="38">
        <v>25</v>
      </c>
      <c r="K156" s="39">
        <v>6.9</v>
      </c>
    </row>
    <row r="157" spans="2:11" ht="15" customHeight="1">
      <c r="B157" s="2">
        <v>4500458476</v>
      </c>
      <c r="C157" s="2">
        <v>506896</v>
      </c>
      <c r="D157" s="2" t="s">
        <v>4385</v>
      </c>
      <c r="F157" s="2" t="s">
        <v>2361</v>
      </c>
      <c r="G157" s="2" t="s">
        <v>4389</v>
      </c>
      <c r="H157" s="2" t="s">
        <v>4395</v>
      </c>
      <c r="I157" s="35">
        <v>44503</v>
      </c>
      <c r="J157" s="38">
        <v>14</v>
      </c>
      <c r="K157" s="39">
        <v>6.9</v>
      </c>
    </row>
    <row r="158" spans="2:11" ht="15" customHeight="1">
      <c r="B158" s="2">
        <v>4500458476</v>
      </c>
      <c r="C158" s="2">
        <v>506896</v>
      </c>
      <c r="D158" s="2" t="s">
        <v>4385</v>
      </c>
      <c r="F158" s="2" t="s">
        <v>2361</v>
      </c>
      <c r="G158" s="2" t="s">
        <v>4389</v>
      </c>
      <c r="H158" s="2" t="s">
        <v>3224</v>
      </c>
      <c r="I158" s="35">
        <v>44503</v>
      </c>
      <c r="J158" s="38">
        <v>5</v>
      </c>
      <c r="K158" s="39">
        <v>6.9</v>
      </c>
    </row>
    <row r="159" spans="2:11" ht="15" customHeight="1">
      <c r="B159" s="2">
        <v>4500458476</v>
      </c>
      <c r="C159" s="2">
        <v>507209</v>
      </c>
      <c r="D159" s="2" t="s">
        <v>4385</v>
      </c>
      <c r="F159" s="2" t="s">
        <v>2361</v>
      </c>
      <c r="G159" s="2" t="s">
        <v>3254</v>
      </c>
      <c r="H159" s="2" t="s">
        <v>4394</v>
      </c>
      <c r="I159" s="35">
        <v>44503</v>
      </c>
      <c r="J159" s="38">
        <v>29</v>
      </c>
      <c r="K159" s="39">
        <v>5.82</v>
      </c>
    </row>
    <row r="160" spans="2:11" ht="15" customHeight="1">
      <c r="B160" s="2">
        <v>4500458476</v>
      </c>
      <c r="C160" s="2">
        <v>507209</v>
      </c>
      <c r="D160" s="2" t="s">
        <v>4385</v>
      </c>
      <c r="F160" s="2" t="s">
        <v>2361</v>
      </c>
      <c r="G160" s="2" t="s">
        <v>3254</v>
      </c>
      <c r="H160" s="2" t="s">
        <v>4393</v>
      </c>
      <c r="I160" s="35">
        <v>44503</v>
      </c>
      <c r="J160" s="38">
        <v>87</v>
      </c>
      <c r="K160" s="39">
        <v>5.82</v>
      </c>
    </row>
    <row r="161" spans="2:11" ht="15" customHeight="1">
      <c r="B161" s="2">
        <v>4500458476</v>
      </c>
      <c r="C161" s="2">
        <v>507209</v>
      </c>
      <c r="D161" s="2" t="s">
        <v>4385</v>
      </c>
      <c r="F161" s="2" t="s">
        <v>2361</v>
      </c>
      <c r="G161" s="2" t="s">
        <v>3254</v>
      </c>
      <c r="H161" s="2" t="s">
        <v>4392</v>
      </c>
      <c r="I161" s="35">
        <v>44503</v>
      </c>
      <c r="J161" s="38">
        <v>105</v>
      </c>
      <c r="K161" s="39">
        <v>5.82</v>
      </c>
    </row>
    <row r="162" spans="2:11" ht="15" customHeight="1">
      <c r="B162" s="2">
        <v>4500458476</v>
      </c>
      <c r="C162" s="2">
        <v>507209</v>
      </c>
      <c r="D162" s="2" t="s">
        <v>4385</v>
      </c>
      <c r="F162" s="2" t="s">
        <v>2361</v>
      </c>
      <c r="G162" s="2" t="s">
        <v>3254</v>
      </c>
      <c r="H162" s="2" t="s">
        <v>4395</v>
      </c>
      <c r="I162" s="35">
        <v>44503</v>
      </c>
      <c r="J162" s="38">
        <v>59</v>
      </c>
      <c r="K162" s="39">
        <v>5.82</v>
      </c>
    </row>
    <row r="163" spans="2:11" ht="15" customHeight="1">
      <c r="B163" s="2">
        <v>4500458476</v>
      </c>
      <c r="C163" s="2">
        <v>507209</v>
      </c>
      <c r="D163" s="2" t="s">
        <v>4385</v>
      </c>
      <c r="F163" s="2" t="s">
        <v>2361</v>
      </c>
      <c r="G163" s="2" t="s">
        <v>3254</v>
      </c>
      <c r="H163" s="2" t="s">
        <v>3224</v>
      </c>
      <c r="I163" s="35">
        <v>44503</v>
      </c>
      <c r="J163" s="38">
        <v>21</v>
      </c>
      <c r="K163" s="39">
        <v>5.82</v>
      </c>
    </row>
    <row r="164" spans="2:11" ht="15" customHeight="1">
      <c r="B164" s="2">
        <v>4500458476</v>
      </c>
      <c r="C164" s="2">
        <v>507209</v>
      </c>
      <c r="D164" s="2" t="s">
        <v>4385</v>
      </c>
      <c r="F164" s="2" t="s">
        <v>2361</v>
      </c>
      <c r="G164" s="2" t="s">
        <v>3265</v>
      </c>
      <c r="H164" s="2" t="s">
        <v>4394</v>
      </c>
      <c r="I164" s="35">
        <v>44503</v>
      </c>
      <c r="J164" s="38">
        <v>29</v>
      </c>
      <c r="K164" s="39">
        <v>6.45</v>
      </c>
    </row>
    <row r="165" spans="2:11" ht="15" customHeight="1">
      <c r="B165" s="2">
        <v>4500458476</v>
      </c>
      <c r="C165" s="2">
        <v>507209</v>
      </c>
      <c r="D165" s="2" t="s">
        <v>4385</v>
      </c>
      <c r="F165" s="2" t="s">
        <v>2361</v>
      </c>
      <c r="G165" s="2" t="s">
        <v>3265</v>
      </c>
      <c r="H165" s="2" t="s">
        <v>4393</v>
      </c>
      <c r="I165" s="35">
        <v>44503</v>
      </c>
      <c r="J165" s="38">
        <v>87</v>
      </c>
      <c r="K165" s="39">
        <v>6.45</v>
      </c>
    </row>
    <row r="166" spans="2:11" ht="15" customHeight="1">
      <c r="B166" s="2">
        <v>4500458476</v>
      </c>
      <c r="C166" s="2">
        <v>507209</v>
      </c>
      <c r="D166" s="2" t="s">
        <v>4385</v>
      </c>
      <c r="F166" s="2" t="s">
        <v>2361</v>
      </c>
      <c r="G166" s="2" t="s">
        <v>3265</v>
      </c>
      <c r="H166" s="2" t="s">
        <v>4392</v>
      </c>
      <c r="I166" s="35">
        <v>44503</v>
      </c>
      <c r="J166" s="38">
        <v>105</v>
      </c>
      <c r="K166" s="39">
        <v>6.45</v>
      </c>
    </row>
    <row r="167" spans="2:11" ht="15" customHeight="1">
      <c r="B167" s="2">
        <v>4500458476</v>
      </c>
      <c r="C167" s="2">
        <v>507209</v>
      </c>
      <c r="D167" s="2" t="s">
        <v>4385</v>
      </c>
      <c r="F167" s="2" t="s">
        <v>2361</v>
      </c>
      <c r="G167" s="2" t="s">
        <v>3265</v>
      </c>
      <c r="H167" s="2" t="s">
        <v>4395</v>
      </c>
      <c r="I167" s="35">
        <v>44503</v>
      </c>
      <c r="J167" s="38">
        <v>59</v>
      </c>
      <c r="K167" s="39">
        <v>6.45</v>
      </c>
    </row>
    <row r="168" spans="2:11" ht="15" customHeight="1">
      <c r="B168" s="2">
        <v>4500458476</v>
      </c>
      <c r="C168" s="2">
        <v>507209</v>
      </c>
      <c r="D168" s="2" t="s">
        <v>4385</v>
      </c>
      <c r="F168" s="2" t="s">
        <v>2361</v>
      </c>
      <c r="G168" s="2" t="s">
        <v>3265</v>
      </c>
      <c r="H168" s="2" t="s">
        <v>3224</v>
      </c>
      <c r="I168" s="35">
        <v>44503</v>
      </c>
      <c r="J168" s="38">
        <v>21</v>
      </c>
      <c r="K168" s="39">
        <v>6.45</v>
      </c>
    </row>
    <row r="169" spans="2:11" ht="15" customHeight="1">
      <c r="B169" s="2">
        <v>4500458476</v>
      </c>
      <c r="C169" s="2">
        <v>507209</v>
      </c>
      <c r="D169" s="2" t="s">
        <v>4385</v>
      </c>
      <c r="F169" s="2" t="s">
        <v>2361</v>
      </c>
      <c r="G169" s="2" t="s">
        <v>3255</v>
      </c>
      <c r="H169" s="2" t="s">
        <v>4394</v>
      </c>
      <c r="I169" s="35">
        <v>44503</v>
      </c>
      <c r="J169" s="38">
        <v>33</v>
      </c>
      <c r="K169" s="39">
        <v>5.82</v>
      </c>
    </row>
    <row r="170" spans="2:11" ht="15" customHeight="1">
      <c r="B170" s="2">
        <v>4500458476</v>
      </c>
      <c r="C170" s="2">
        <v>507209</v>
      </c>
      <c r="D170" s="2" t="s">
        <v>4385</v>
      </c>
      <c r="F170" s="2" t="s">
        <v>2361</v>
      </c>
      <c r="G170" s="2" t="s">
        <v>3255</v>
      </c>
      <c r="H170" s="2" t="s">
        <v>4393</v>
      </c>
      <c r="I170" s="35">
        <v>44503</v>
      </c>
      <c r="J170" s="38">
        <v>100</v>
      </c>
      <c r="K170" s="39">
        <v>5.82</v>
      </c>
    </row>
    <row r="171" spans="2:11" ht="15" customHeight="1">
      <c r="B171" s="2">
        <v>4500458476</v>
      </c>
      <c r="C171" s="2">
        <v>507209</v>
      </c>
      <c r="D171" s="2" t="s">
        <v>4385</v>
      </c>
      <c r="F171" s="2" t="s">
        <v>2361</v>
      </c>
      <c r="G171" s="2" t="s">
        <v>3255</v>
      </c>
      <c r="H171" s="2" t="s">
        <v>4392</v>
      </c>
      <c r="I171" s="35">
        <v>44503</v>
      </c>
      <c r="J171" s="38">
        <v>121</v>
      </c>
      <c r="K171" s="39">
        <v>5.82</v>
      </c>
    </row>
    <row r="172" spans="2:11" ht="15" customHeight="1">
      <c r="B172" s="2">
        <v>4500458476</v>
      </c>
      <c r="C172" s="2">
        <v>507209</v>
      </c>
      <c r="D172" s="2" t="s">
        <v>4385</v>
      </c>
      <c r="F172" s="2" t="s">
        <v>2361</v>
      </c>
      <c r="G172" s="2" t="s">
        <v>3255</v>
      </c>
      <c r="H172" s="2" t="s">
        <v>4395</v>
      </c>
      <c r="I172" s="35">
        <v>44503</v>
      </c>
      <c r="J172" s="38">
        <v>69</v>
      </c>
      <c r="K172" s="39">
        <v>5.82</v>
      </c>
    </row>
    <row r="173" spans="2:11" ht="15" customHeight="1">
      <c r="B173" s="2">
        <v>4500458476</v>
      </c>
      <c r="C173" s="2">
        <v>507209</v>
      </c>
      <c r="D173" s="2" t="s">
        <v>4385</v>
      </c>
      <c r="F173" s="2" t="s">
        <v>2361</v>
      </c>
      <c r="G173" s="2" t="s">
        <v>3255</v>
      </c>
      <c r="H173" s="2" t="s">
        <v>3224</v>
      </c>
      <c r="I173" s="35">
        <v>44503</v>
      </c>
      <c r="J173" s="38">
        <v>24</v>
      </c>
      <c r="K173" s="39">
        <v>5.82</v>
      </c>
    </row>
    <row r="174" spans="2:11" ht="15" customHeight="1">
      <c r="B174" s="2">
        <v>4500458476</v>
      </c>
      <c r="C174" s="2">
        <v>507209</v>
      </c>
      <c r="D174" s="2" t="s">
        <v>4385</v>
      </c>
      <c r="F174" s="2" t="s">
        <v>2361</v>
      </c>
      <c r="G174" s="2" t="s">
        <v>3257</v>
      </c>
      <c r="H174" s="2" t="s">
        <v>4394</v>
      </c>
      <c r="I174" s="35">
        <v>44503</v>
      </c>
      <c r="J174" s="38">
        <v>182</v>
      </c>
      <c r="K174" s="39">
        <v>5.9</v>
      </c>
    </row>
    <row r="175" spans="2:11" ht="15" customHeight="1">
      <c r="B175" s="2">
        <v>4500458476</v>
      </c>
      <c r="C175" s="2">
        <v>507209</v>
      </c>
      <c r="D175" s="2" t="s">
        <v>4385</v>
      </c>
      <c r="F175" s="2" t="s">
        <v>2361</v>
      </c>
      <c r="G175" s="2" t="s">
        <v>3257</v>
      </c>
      <c r="H175" s="2" t="s">
        <v>4393</v>
      </c>
      <c r="I175" s="35">
        <v>44503</v>
      </c>
      <c r="J175" s="38">
        <v>551</v>
      </c>
      <c r="K175" s="39">
        <v>5.9</v>
      </c>
    </row>
    <row r="176" spans="2:11" ht="15" customHeight="1">
      <c r="B176" s="2">
        <v>4500458476</v>
      </c>
      <c r="C176" s="2">
        <v>507209</v>
      </c>
      <c r="D176" s="2" t="s">
        <v>4385</v>
      </c>
      <c r="F176" s="2" t="s">
        <v>2361</v>
      </c>
      <c r="G176" s="2" t="s">
        <v>3257</v>
      </c>
      <c r="H176" s="2" t="s">
        <v>4392</v>
      </c>
      <c r="I176" s="35">
        <v>44503</v>
      </c>
      <c r="J176" s="38">
        <v>666</v>
      </c>
      <c r="K176" s="39">
        <v>5.9</v>
      </c>
    </row>
    <row r="177" spans="2:11" ht="15" customHeight="1">
      <c r="B177" s="2">
        <v>4500458476</v>
      </c>
      <c r="C177" s="2">
        <v>507209</v>
      </c>
      <c r="D177" s="2" t="s">
        <v>4385</v>
      </c>
      <c r="F177" s="2" t="s">
        <v>2361</v>
      </c>
      <c r="G177" s="2" t="s">
        <v>3257</v>
      </c>
      <c r="H177" s="2" t="s">
        <v>4395</v>
      </c>
      <c r="I177" s="35">
        <v>44503</v>
      </c>
      <c r="J177" s="38">
        <v>377</v>
      </c>
      <c r="K177" s="39">
        <v>5.9</v>
      </c>
    </row>
    <row r="178" spans="2:11" ht="15" customHeight="1">
      <c r="B178" s="2">
        <v>4500458476</v>
      </c>
      <c r="C178" s="2">
        <v>507209</v>
      </c>
      <c r="D178" s="2" t="s">
        <v>4385</v>
      </c>
      <c r="F178" s="2" t="s">
        <v>2361</v>
      </c>
      <c r="G178" s="2" t="s">
        <v>3257</v>
      </c>
      <c r="H178" s="2" t="s">
        <v>3224</v>
      </c>
      <c r="I178" s="35">
        <v>44503</v>
      </c>
      <c r="J178" s="38">
        <v>133</v>
      </c>
      <c r="K178" s="39">
        <v>5.9</v>
      </c>
    </row>
    <row r="179" spans="2:11" ht="15" customHeight="1">
      <c r="B179" s="2">
        <v>4500458476</v>
      </c>
      <c r="C179" s="2">
        <v>507209</v>
      </c>
      <c r="D179" s="2" t="s">
        <v>4385</v>
      </c>
      <c r="F179" s="2" t="s">
        <v>2361</v>
      </c>
      <c r="G179" s="2" t="s">
        <v>4396</v>
      </c>
      <c r="H179" s="2" t="s">
        <v>4394</v>
      </c>
      <c r="I179" s="35">
        <v>44503</v>
      </c>
      <c r="J179" s="38">
        <v>28</v>
      </c>
      <c r="K179" s="39">
        <v>5.95</v>
      </c>
    </row>
    <row r="180" spans="2:11" ht="15" customHeight="1">
      <c r="B180" s="2">
        <v>4500458476</v>
      </c>
      <c r="C180" s="2">
        <v>507209</v>
      </c>
      <c r="D180" s="2" t="s">
        <v>4385</v>
      </c>
      <c r="F180" s="2" t="s">
        <v>2361</v>
      </c>
      <c r="G180" s="2" t="s">
        <v>4396</v>
      </c>
      <c r="H180" s="2" t="s">
        <v>4393</v>
      </c>
      <c r="I180" s="35">
        <v>44503</v>
      </c>
      <c r="J180" s="38">
        <v>85</v>
      </c>
      <c r="K180" s="39">
        <v>5.95</v>
      </c>
    </row>
    <row r="181" spans="2:11" ht="15" customHeight="1">
      <c r="B181" s="2">
        <v>4500458476</v>
      </c>
      <c r="C181" s="2">
        <v>507209</v>
      </c>
      <c r="D181" s="2" t="s">
        <v>4385</v>
      </c>
      <c r="F181" s="2" t="s">
        <v>2361</v>
      </c>
      <c r="G181" s="2" t="s">
        <v>4396</v>
      </c>
      <c r="H181" s="2" t="s">
        <v>4392</v>
      </c>
      <c r="I181" s="35">
        <v>44503</v>
      </c>
      <c r="J181" s="38">
        <v>102</v>
      </c>
      <c r="K181" s="39">
        <v>5.95</v>
      </c>
    </row>
    <row r="182" spans="2:11" ht="15" customHeight="1">
      <c r="B182" s="2">
        <v>4500458476</v>
      </c>
      <c r="C182" s="2">
        <v>507209</v>
      </c>
      <c r="D182" s="2" t="s">
        <v>4385</v>
      </c>
      <c r="F182" s="2" t="s">
        <v>2361</v>
      </c>
      <c r="G182" s="2" t="s">
        <v>4396</v>
      </c>
      <c r="H182" s="2" t="s">
        <v>4395</v>
      </c>
      <c r="I182" s="35">
        <v>44503</v>
      </c>
      <c r="J182" s="38">
        <v>58</v>
      </c>
      <c r="K182" s="39">
        <v>5.95</v>
      </c>
    </row>
    <row r="183" spans="2:11" ht="15" customHeight="1">
      <c r="B183" s="2">
        <v>4500458476</v>
      </c>
      <c r="C183" s="2">
        <v>507209</v>
      </c>
      <c r="D183" s="2" t="s">
        <v>4385</v>
      </c>
      <c r="F183" s="2" t="s">
        <v>2361</v>
      </c>
      <c r="G183" s="2" t="s">
        <v>4396</v>
      </c>
      <c r="H183" s="2" t="s">
        <v>3224</v>
      </c>
      <c r="I183" s="35">
        <v>44503</v>
      </c>
      <c r="J183" s="38">
        <v>20</v>
      </c>
      <c r="K183" s="39">
        <v>5.95</v>
      </c>
    </row>
    <row r="184" spans="2:11" ht="15" customHeight="1">
      <c r="B184" s="2">
        <v>4500458476</v>
      </c>
      <c r="C184" s="2">
        <v>507209</v>
      </c>
      <c r="D184" s="2" t="s">
        <v>4385</v>
      </c>
      <c r="F184" s="2" t="s">
        <v>2361</v>
      </c>
      <c r="G184" s="2" t="s">
        <v>3258</v>
      </c>
      <c r="H184" s="2" t="s">
        <v>4394</v>
      </c>
      <c r="I184" s="35">
        <v>44503</v>
      </c>
      <c r="J184" s="38">
        <v>28</v>
      </c>
      <c r="K184" s="39">
        <v>5.82</v>
      </c>
    </row>
    <row r="185" spans="2:11" ht="15" customHeight="1">
      <c r="B185" s="2">
        <v>4500458476</v>
      </c>
      <c r="C185" s="2">
        <v>507209</v>
      </c>
      <c r="D185" s="2" t="s">
        <v>4385</v>
      </c>
      <c r="F185" s="2" t="s">
        <v>2361</v>
      </c>
      <c r="G185" s="2" t="s">
        <v>3258</v>
      </c>
      <c r="H185" s="2" t="s">
        <v>4393</v>
      </c>
      <c r="I185" s="35">
        <v>44503</v>
      </c>
      <c r="J185" s="38">
        <v>85</v>
      </c>
      <c r="K185" s="39">
        <v>5.82</v>
      </c>
    </row>
    <row r="186" spans="2:11" ht="15" customHeight="1">
      <c r="B186" s="2">
        <v>4500458476</v>
      </c>
      <c r="C186" s="2">
        <v>507209</v>
      </c>
      <c r="D186" s="2" t="s">
        <v>4385</v>
      </c>
      <c r="F186" s="2" t="s">
        <v>2361</v>
      </c>
      <c r="G186" s="2" t="s">
        <v>3258</v>
      </c>
      <c r="H186" s="2" t="s">
        <v>4392</v>
      </c>
      <c r="I186" s="35">
        <v>44503</v>
      </c>
      <c r="J186" s="38">
        <v>102</v>
      </c>
      <c r="K186" s="39">
        <v>5.82</v>
      </c>
    </row>
    <row r="187" spans="2:11" ht="15" customHeight="1">
      <c r="B187" s="2">
        <v>4500458476</v>
      </c>
      <c r="C187" s="2">
        <v>507209</v>
      </c>
      <c r="D187" s="2" t="s">
        <v>4385</v>
      </c>
      <c r="F187" s="2" t="s">
        <v>2361</v>
      </c>
      <c r="G187" s="2" t="s">
        <v>3258</v>
      </c>
      <c r="H187" s="2" t="s">
        <v>4395</v>
      </c>
      <c r="I187" s="35">
        <v>44503</v>
      </c>
      <c r="J187" s="38">
        <v>58</v>
      </c>
      <c r="K187" s="39">
        <v>5.82</v>
      </c>
    </row>
    <row r="188" spans="2:11" ht="15" customHeight="1">
      <c r="B188" s="2">
        <v>4500458476</v>
      </c>
      <c r="C188" s="2">
        <v>507209</v>
      </c>
      <c r="D188" s="2" t="s">
        <v>4385</v>
      </c>
      <c r="F188" s="2" t="s">
        <v>2361</v>
      </c>
      <c r="G188" s="2" t="s">
        <v>3258</v>
      </c>
      <c r="H188" s="2" t="s">
        <v>3224</v>
      </c>
      <c r="I188" s="35">
        <v>44503</v>
      </c>
      <c r="J188" s="38">
        <v>20</v>
      </c>
      <c r="K188" s="39">
        <v>5.82</v>
      </c>
    </row>
    <row r="189" spans="2:11" ht="15" customHeight="1">
      <c r="B189" s="2">
        <v>4500458476</v>
      </c>
      <c r="C189" s="2">
        <v>507209</v>
      </c>
      <c r="D189" s="2" t="s">
        <v>4385</v>
      </c>
      <c r="F189" s="2" t="s">
        <v>2361</v>
      </c>
      <c r="G189" s="2" t="s">
        <v>4397</v>
      </c>
      <c r="H189" s="2" t="s">
        <v>4394</v>
      </c>
      <c r="I189" s="35">
        <v>44503</v>
      </c>
      <c r="J189" s="38">
        <v>9</v>
      </c>
      <c r="K189" s="39">
        <v>5.82</v>
      </c>
    </row>
    <row r="190" spans="2:11" ht="15" customHeight="1">
      <c r="B190" s="2">
        <v>4500458476</v>
      </c>
      <c r="C190" s="2">
        <v>507209</v>
      </c>
      <c r="D190" s="2" t="s">
        <v>4385</v>
      </c>
      <c r="F190" s="2" t="s">
        <v>2361</v>
      </c>
      <c r="G190" s="2" t="s">
        <v>4397</v>
      </c>
      <c r="H190" s="2" t="s">
        <v>4393</v>
      </c>
      <c r="I190" s="35">
        <v>44503</v>
      </c>
      <c r="J190" s="38">
        <v>28</v>
      </c>
      <c r="K190" s="39">
        <v>5.82</v>
      </c>
    </row>
    <row r="191" spans="2:11" ht="15" customHeight="1">
      <c r="B191" s="2">
        <v>4500458476</v>
      </c>
      <c r="C191" s="2">
        <v>507209</v>
      </c>
      <c r="D191" s="2" t="s">
        <v>4385</v>
      </c>
      <c r="F191" s="2" t="s">
        <v>2361</v>
      </c>
      <c r="G191" s="2" t="s">
        <v>4397</v>
      </c>
      <c r="H191" s="2" t="s">
        <v>4392</v>
      </c>
      <c r="I191" s="35">
        <v>44503</v>
      </c>
      <c r="J191" s="38">
        <v>34</v>
      </c>
      <c r="K191" s="39">
        <v>5.82</v>
      </c>
    </row>
    <row r="192" spans="2:11" ht="15" customHeight="1">
      <c r="B192" s="2">
        <v>4500458476</v>
      </c>
      <c r="C192" s="2">
        <v>507209</v>
      </c>
      <c r="D192" s="2" t="s">
        <v>4385</v>
      </c>
      <c r="F192" s="2" t="s">
        <v>2361</v>
      </c>
      <c r="G192" s="2" t="s">
        <v>4397</v>
      </c>
      <c r="H192" s="2" t="s">
        <v>4395</v>
      </c>
      <c r="I192" s="35">
        <v>44503</v>
      </c>
      <c r="J192" s="38">
        <v>19</v>
      </c>
      <c r="K192" s="39">
        <v>5.82</v>
      </c>
    </row>
    <row r="193" spans="2:11" ht="15" customHeight="1">
      <c r="B193" s="2">
        <v>4500458476</v>
      </c>
      <c r="C193" s="2">
        <v>507209</v>
      </c>
      <c r="D193" s="2" t="s">
        <v>4385</v>
      </c>
      <c r="F193" s="2" t="s">
        <v>2361</v>
      </c>
      <c r="G193" s="2" t="s">
        <v>4397</v>
      </c>
      <c r="H193" s="2" t="s">
        <v>3224</v>
      </c>
      <c r="I193" s="35">
        <v>44503</v>
      </c>
      <c r="J193" s="38">
        <v>7</v>
      </c>
      <c r="K193" s="39">
        <v>5.82</v>
      </c>
    </row>
    <row r="194" spans="2:11" ht="15" customHeight="1">
      <c r="B194" s="2">
        <v>4500458476</v>
      </c>
      <c r="C194" s="2">
        <v>507209</v>
      </c>
      <c r="D194" s="2" t="s">
        <v>4385</v>
      </c>
      <c r="F194" s="2" t="s">
        <v>2361</v>
      </c>
      <c r="G194" s="2" t="s">
        <v>4386</v>
      </c>
      <c r="H194" s="2" t="s">
        <v>4394</v>
      </c>
      <c r="I194" s="35">
        <v>44503</v>
      </c>
      <c r="J194" s="38">
        <v>10</v>
      </c>
      <c r="K194" s="39">
        <v>5.95</v>
      </c>
    </row>
    <row r="195" spans="2:11" ht="15" customHeight="1">
      <c r="B195" s="2">
        <v>4500458476</v>
      </c>
      <c r="C195" s="2">
        <v>507209</v>
      </c>
      <c r="D195" s="2" t="s">
        <v>4385</v>
      </c>
      <c r="F195" s="2" t="s">
        <v>2361</v>
      </c>
      <c r="G195" s="2" t="s">
        <v>4386</v>
      </c>
      <c r="H195" s="2" t="s">
        <v>4393</v>
      </c>
      <c r="I195" s="35">
        <v>44503</v>
      </c>
      <c r="J195" s="38">
        <v>29</v>
      </c>
      <c r="K195" s="39">
        <v>5.95</v>
      </c>
    </row>
    <row r="196" spans="2:11" ht="15" customHeight="1">
      <c r="B196" s="2">
        <v>4500458476</v>
      </c>
      <c r="C196" s="2">
        <v>507209</v>
      </c>
      <c r="D196" s="2" t="s">
        <v>4385</v>
      </c>
      <c r="F196" s="2" t="s">
        <v>2361</v>
      </c>
      <c r="G196" s="2" t="s">
        <v>4386</v>
      </c>
      <c r="H196" s="2" t="s">
        <v>4392</v>
      </c>
      <c r="I196" s="35">
        <v>44503</v>
      </c>
      <c r="J196" s="38">
        <v>35</v>
      </c>
      <c r="K196" s="39">
        <v>5.95</v>
      </c>
    </row>
    <row r="197" spans="2:11" ht="15" customHeight="1">
      <c r="B197" s="2">
        <v>4500458476</v>
      </c>
      <c r="C197" s="2">
        <v>507209</v>
      </c>
      <c r="D197" s="2" t="s">
        <v>4385</v>
      </c>
      <c r="F197" s="2" t="s">
        <v>2361</v>
      </c>
      <c r="G197" s="2" t="s">
        <v>4386</v>
      </c>
      <c r="H197" s="2" t="s">
        <v>4395</v>
      </c>
      <c r="I197" s="35">
        <v>44503</v>
      </c>
      <c r="J197" s="38">
        <v>20</v>
      </c>
      <c r="K197" s="39">
        <v>5.95</v>
      </c>
    </row>
    <row r="198" spans="2:11" ht="15" customHeight="1">
      <c r="B198" s="2">
        <v>4500458476</v>
      </c>
      <c r="C198" s="2">
        <v>507209</v>
      </c>
      <c r="D198" s="2" t="s">
        <v>4385</v>
      </c>
      <c r="F198" s="2" t="s">
        <v>2361</v>
      </c>
      <c r="G198" s="2" t="s">
        <v>4386</v>
      </c>
      <c r="H198" s="2" t="s">
        <v>3224</v>
      </c>
      <c r="I198" s="35">
        <v>44503</v>
      </c>
      <c r="J198" s="38">
        <v>7</v>
      </c>
      <c r="K198" s="39">
        <v>5.95</v>
      </c>
    </row>
    <row r="199" spans="2:11" ht="15" customHeight="1">
      <c r="B199" s="2">
        <v>4500458476</v>
      </c>
      <c r="C199" s="2">
        <v>507209</v>
      </c>
      <c r="D199" s="2" t="s">
        <v>4385</v>
      </c>
      <c r="F199" s="2" t="s">
        <v>2361</v>
      </c>
      <c r="G199" s="2" t="s">
        <v>4388</v>
      </c>
      <c r="H199" s="2" t="s">
        <v>4394</v>
      </c>
      <c r="I199" s="35">
        <v>44503</v>
      </c>
      <c r="J199" s="38">
        <v>13</v>
      </c>
      <c r="K199" s="39">
        <v>5.82</v>
      </c>
    </row>
    <row r="200" spans="2:11" ht="15" customHeight="1">
      <c r="B200" s="2">
        <v>4500458476</v>
      </c>
      <c r="C200" s="2">
        <v>507209</v>
      </c>
      <c r="D200" s="2" t="s">
        <v>4385</v>
      </c>
      <c r="F200" s="2" t="s">
        <v>2361</v>
      </c>
      <c r="G200" s="2" t="s">
        <v>4388</v>
      </c>
      <c r="H200" s="2" t="s">
        <v>4393</v>
      </c>
      <c r="I200" s="35">
        <v>44503</v>
      </c>
      <c r="J200" s="38">
        <v>38</v>
      </c>
      <c r="K200" s="39">
        <v>5.82</v>
      </c>
    </row>
    <row r="201" spans="2:11" ht="15" customHeight="1">
      <c r="B201" s="2">
        <v>4500458476</v>
      </c>
      <c r="C201" s="2">
        <v>507209</v>
      </c>
      <c r="D201" s="2" t="s">
        <v>4385</v>
      </c>
      <c r="F201" s="2" t="s">
        <v>2361</v>
      </c>
      <c r="G201" s="2" t="s">
        <v>4388</v>
      </c>
      <c r="H201" s="2" t="s">
        <v>4392</v>
      </c>
      <c r="I201" s="35">
        <v>44503</v>
      </c>
      <c r="J201" s="38">
        <v>46</v>
      </c>
      <c r="K201" s="39">
        <v>5.82</v>
      </c>
    </row>
    <row r="202" spans="2:11" ht="15" customHeight="1">
      <c r="B202" s="2">
        <v>4500458476</v>
      </c>
      <c r="C202" s="2">
        <v>507209</v>
      </c>
      <c r="D202" s="2" t="s">
        <v>4385</v>
      </c>
      <c r="F202" s="2" t="s">
        <v>2361</v>
      </c>
      <c r="G202" s="2" t="s">
        <v>4388</v>
      </c>
      <c r="H202" s="2" t="s">
        <v>4395</v>
      </c>
      <c r="I202" s="35">
        <v>44503</v>
      </c>
      <c r="J202" s="38">
        <v>26</v>
      </c>
      <c r="K202" s="39">
        <v>5.82</v>
      </c>
    </row>
    <row r="203" spans="2:11" ht="15" customHeight="1">
      <c r="B203" s="2">
        <v>4500458476</v>
      </c>
      <c r="C203" s="2">
        <v>507209</v>
      </c>
      <c r="D203" s="2" t="s">
        <v>4385</v>
      </c>
      <c r="F203" s="2" t="s">
        <v>2361</v>
      </c>
      <c r="G203" s="2" t="s">
        <v>4388</v>
      </c>
      <c r="H203" s="2" t="s">
        <v>3224</v>
      </c>
      <c r="I203" s="35">
        <v>44503</v>
      </c>
      <c r="J203" s="38">
        <v>9</v>
      </c>
      <c r="K203" s="39">
        <v>5.82</v>
      </c>
    </row>
    <row r="204" spans="2:11" ht="15" customHeight="1">
      <c r="B204" s="2">
        <v>4500458476</v>
      </c>
      <c r="C204" s="2">
        <v>507209</v>
      </c>
      <c r="D204" s="2" t="s">
        <v>4385</v>
      </c>
      <c r="F204" s="2" t="s">
        <v>2361</v>
      </c>
      <c r="G204" s="2" t="s">
        <v>3256</v>
      </c>
      <c r="H204" s="2" t="s">
        <v>4394</v>
      </c>
      <c r="I204" s="35">
        <v>44503</v>
      </c>
      <c r="J204" s="38">
        <v>38</v>
      </c>
      <c r="K204" s="39">
        <v>5.9</v>
      </c>
    </row>
    <row r="205" spans="2:11" ht="15" customHeight="1">
      <c r="B205" s="2">
        <v>4500458476</v>
      </c>
      <c r="C205" s="2">
        <v>507209</v>
      </c>
      <c r="D205" s="2" t="s">
        <v>4385</v>
      </c>
      <c r="F205" s="2" t="s">
        <v>2361</v>
      </c>
      <c r="G205" s="2" t="s">
        <v>3256</v>
      </c>
      <c r="H205" s="2" t="s">
        <v>4393</v>
      </c>
      <c r="I205" s="35">
        <v>44503</v>
      </c>
      <c r="J205" s="38">
        <v>115</v>
      </c>
      <c r="K205" s="39">
        <v>5.9</v>
      </c>
    </row>
    <row r="206" spans="2:11" ht="15" customHeight="1">
      <c r="B206" s="2">
        <v>4500458476</v>
      </c>
      <c r="C206" s="2">
        <v>507209</v>
      </c>
      <c r="D206" s="2" t="s">
        <v>4385</v>
      </c>
      <c r="F206" s="2" t="s">
        <v>2361</v>
      </c>
      <c r="G206" s="2" t="s">
        <v>3256</v>
      </c>
      <c r="H206" s="2" t="s">
        <v>4392</v>
      </c>
      <c r="I206" s="35">
        <v>44503</v>
      </c>
      <c r="J206" s="38">
        <v>140</v>
      </c>
      <c r="K206" s="39">
        <v>5.9</v>
      </c>
    </row>
    <row r="207" spans="2:11" ht="15" customHeight="1">
      <c r="B207" s="2">
        <v>4500458476</v>
      </c>
      <c r="C207" s="2">
        <v>507209</v>
      </c>
      <c r="D207" s="2" t="s">
        <v>4385</v>
      </c>
      <c r="F207" s="2" t="s">
        <v>2361</v>
      </c>
      <c r="G207" s="2" t="s">
        <v>3256</v>
      </c>
      <c r="H207" s="2" t="s">
        <v>4395</v>
      </c>
      <c r="I207" s="35">
        <v>44503</v>
      </c>
      <c r="J207" s="38">
        <v>79</v>
      </c>
      <c r="K207" s="39">
        <v>5.9</v>
      </c>
    </row>
    <row r="208" spans="2:11" ht="15" customHeight="1">
      <c r="B208" s="2">
        <v>4500458476</v>
      </c>
      <c r="C208" s="2">
        <v>507209</v>
      </c>
      <c r="D208" s="2" t="s">
        <v>4385</v>
      </c>
      <c r="F208" s="2" t="s">
        <v>2361</v>
      </c>
      <c r="G208" s="2" t="s">
        <v>3256</v>
      </c>
      <c r="H208" s="2" t="s">
        <v>3224</v>
      </c>
      <c r="I208" s="35">
        <v>44503</v>
      </c>
      <c r="J208" s="38">
        <v>28</v>
      </c>
      <c r="K208" s="39">
        <v>5.9</v>
      </c>
    </row>
    <row r="209" spans="2:11" ht="15" customHeight="1">
      <c r="B209" s="2">
        <v>4500458476</v>
      </c>
      <c r="C209" s="2">
        <v>529692</v>
      </c>
      <c r="D209" s="2" t="s">
        <v>4385</v>
      </c>
      <c r="F209" s="2" t="s">
        <v>2361</v>
      </c>
      <c r="G209" s="2" t="s">
        <v>3252</v>
      </c>
      <c r="H209" s="2" t="s">
        <v>3261</v>
      </c>
      <c r="I209" s="35">
        <v>44503</v>
      </c>
      <c r="J209" s="38">
        <v>36</v>
      </c>
      <c r="K209" s="39">
        <v>6.03</v>
      </c>
    </row>
    <row r="210" spans="2:11" ht="15" customHeight="1">
      <c r="B210" s="2">
        <v>4500458476</v>
      </c>
      <c r="C210" s="2">
        <v>529692</v>
      </c>
      <c r="D210" s="2" t="s">
        <v>4385</v>
      </c>
      <c r="F210" s="2" t="s">
        <v>2361</v>
      </c>
      <c r="G210" s="2" t="s">
        <v>3252</v>
      </c>
      <c r="H210" s="2" t="s">
        <v>4390</v>
      </c>
      <c r="I210" s="35">
        <v>44503</v>
      </c>
      <c r="J210" s="38">
        <v>29</v>
      </c>
      <c r="K210" s="39">
        <v>6.03</v>
      </c>
    </row>
    <row r="211" spans="2:11" ht="15" customHeight="1">
      <c r="B211" s="2">
        <v>4500458476</v>
      </c>
      <c r="C211" s="2">
        <v>529692</v>
      </c>
      <c r="D211" s="2" t="s">
        <v>4385</v>
      </c>
      <c r="F211" s="2" t="s">
        <v>2361</v>
      </c>
      <c r="G211" s="2" t="s">
        <v>3252</v>
      </c>
      <c r="H211" s="2" t="s">
        <v>4391</v>
      </c>
      <c r="I211" s="35">
        <v>44503</v>
      </c>
      <c r="J211" s="38">
        <v>9</v>
      </c>
      <c r="K211" s="39">
        <v>6.03</v>
      </c>
    </row>
    <row r="212" spans="2:11" ht="15" customHeight="1">
      <c r="B212" s="2">
        <v>4500458476</v>
      </c>
      <c r="C212" s="2">
        <v>529692</v>
      </c>
      <c r="D212" s="2" t="s">
        <v>4385</v>
      </c>
      <c r="F212" s="2" t="s">
        <v>2361</v>
      </c>
      <c r="G212" s="2" t="s">
        <v>3253</v>
      </c>
      <c r="H212" s="2" t="s">
        <v>3261</v>
      </c>
      <c r="I212" s="35">
        <v>44503</v>
      </c>
      <c r="J212" s="38">
        <v>45</v>
      </c>
      <c r="K212" s="39">
        <v>7.63</v>
      </c>
    </row>
    <row r="213" spans="2:11" ht="15" customHeight="1">
      <c r="B213" s="2">
        <v>4500458476</v>
      </c>
      <c r="C213" s="2">
        <v>529692</v>
      </c>
      <c r="D213" s="2" t="s">
        <v>4385</v>
      </c>
      <c r="F213" s="2" t="s">
        <v>2361</v>
      </c>
      <c r="G213" s="2" t="s">
        <v>3253</v>
      </c>
      <c r="H213" s="2" t="s">
        <v>4390</v>
      </c>
      <c r="I213" s="35">
        <v>44503</v>
      </c>
      <c r="J213" s="38">
        <v>38</v>
      </c>
      <c r="K213" s="39">
        <v>7.63</v>
      </c>
    </row>
    <row r="214" spans="2:11" ht="15" customHeight="1">
      <c r="B214" s="2">
        <v>4500458476</v>
      </c>
      <c r="C214" s="2">
        <v>529692</v>
      </c>
      <c r="D214" s="2" t="s">
        <v>4385</v>
      </c>
      <c r="F214" s="2" t="s">
        <v>2361</v>
      </c>
      <c r="G214" s="2" t="s">
        <v>3253</v>
      </c>
      <c r="H214" s="2" t="s">
        <v>4391</v>
      </c>
      <c r="I214" s="35">
        <v>44503</v>
      </c>
      <c r="J214" s="38">
        <v>11</v>
      </c>
      <c r="K214" s="39">
        <v>7.63</v>
      </c>
    </row>
    <row r="215" spans="2:11" ht="15" customHeight="1">
      <c r="B215" s="2">
        <v>4500458476</v>
      </c>
      <c r="C215" s="2">
        <v>529692</v>
      </c>
      <c r="D215" s="2" t="s">
        <v>4385</v>
      </c>
      <c r="F215" s="2" t="s">
        <v>2361</v>
      </c>
      <c r="G215" s="2" t="s">
        <v>4387</v>
      </c>
      <c r="H215" s="2" t="s">
        <v>3261</v>
      </c>
      <c r="I215" s="35">
        <v>44503</v>
      </c>
      <c r="J215" s="38">
        <v>128</v>
      </c>
      <c r="K215" s="39">
        <v>6.29</v>
      </c>
    </row>
    <row r="216" spans="2:11" ht="15" customHeight="1">
      <c r="B216" s="2">
        <v>4500458476</v>
      </c>
      <c r="C216" s="2">
        <v>529692</v>
      </c>
      <c r="D216" s="2" t="s">
        <v>4385</v>
      </c>
      <c r="F216" s="2" t="s">
        <v>2361</v>
      </c>
      <c r="G216" s="2" t="s">
        <v>4387</v>
      </c>
      <c r="H216" s="2" t="s">
        <v>4390</v>
      </c>
      <c r="I216" s="35">
        <v>44503</v>
      </c>
      <c r="J216" s="38">
        <v>106</v>
      </c>
      <c r="K216" s="39">
        <v>6.29</v>
      </c>
    </row>
    <row r="217" spans="2:11" ht="15" customHeight="1">
      <c r="B217" s="2">
        <v>4500458476</v>
      </c>
      <c r="C217" s="2">
        <v>529692</v>
      </c>
      <c r="D217" s="2" t="s">
        <v>4385</v>
      </c>
      <c r="F217" s="2" t="s">
        <v>2361</v>
      </c>
      <c r="G217" s="2" t="s">
        <v>4387</v>
      </c>
      <c r="H217" s="2" t="s">
        <v>4391</v>
      </c>
      <c r="I217" s="35">
        <v>44503</v>
      </c>
      <c r="J217" s="38">
        <v>32</v>
      </c>
      <c r="K217" s="39">
        <v>6.29</v>
      </c>
    </row>
    <row r="218" spans="2:11" ht="15" customHeight="1">
      <c r="B218" s="2">
        <v>4500458476</v>
      </c>
      <c r="C218" s="2">
        <v>529688</v>
      </c>
      <c r="D218" s="2" t="s">
        <v>4385</v>
      </c>
      <c r="F218" s="2" t="s">
        <v>2361</v>
      </c>
      <c r="G218" s="2" t="s">
        <v>3257</v>
      </c>
      <c r="H218" s="2" t="s">
        <v>3261</v>
      </c>
      <c r="I218" s="35">
        <v>44503</v>
      </c>
      <c r="J218" s="38">
        <v>77</v>
      </c>
      <c r="K218" s="39">
        <v>6.35</v>
      </c>
    </row>
    <row r="219" spans="2:11" ht="15" customHeight="1">
      <c r="B219" s="2">
        <v>4500458476</v>
      </c>
      <c r="C219" s="2">
        <v>529688</v>
      </c>
      <c r="D219" s="2" t="s">
        <v>4385</v>
      </c>
      <c r="F219" s="2" t="s">
        <v>2361</v>
      </c>
      <c r="G219" s="2" t="s">
        <v>3257</v>
      </c>
      <c r="H219" s="2" t="s">
        <v>4390</v>
      </c>
      <c r="I219" s="35">
        <v>44503</v>
      </c>
      <c r="J219" s="38">
        <v>63</v>
      </c>
      <c r="K219" s="39">
        <v>6.35</v>
      </c>
    </row>
    <row r="220" spans="2:11" ht="15" customHeight="1">
      <c r="B220" s="2">
        <v>4500458476</v>
      </c>
      <c r="C220" s="2">
        <v>529688</v>
      </c>
      <c r="D220" s="2" t="s">
        <v>4385</v>
      </c>
      <c r="F220" s="2" t="s">
        <v>2361</v>
      </c>
      <c r="G220" s="2" t="s">
        <v>3257</v>
      </c>
      <c r="H220" s="2" t="s">
        <v>4391</v>
      </c>
      <c r="I220" s="35">
        <v>44503</v>
      </c>
      <c r="J220" s="38">
        <v>19</v>
      </c>
      <c r="K220" s="39">
        <v>6.35</v>
      </c>
    </row>
    <row r="221" spans="2:11" ht="15" customHeight="1">
      <c r="B221" s="2">
        <v>4500458477</v>
      </c>
      <c r="C221" s="2">
        <v>506896</v>
      </c>
      <c r="D221" s="2" t="s">
        <v>4385</v>
      </c>
      <c r="F221" s="2" t="s">
        <v>2361</v>
      </c>
      <c r="G221" s="2" t="s">
        <v>3248</v>
      </c>
      <c r="H221" s="2" t="s">
        <v>4394</v>
      </c>
      <c r="I221" s="35">
        <v>44524</v>
      </c>
      <c r="J221" s="38">
        <v>114</v>
      </c>
      <c r="K221" s="39">
        <v>5.6</v>
      </c>
    </row>
    <row r="222" spans="2:11" ht="15" customHeight="1">
      <c r="B222" s="2">
        <v>4500458477</v>
      </c>
      <c r="C222" s="2">
        <v>506896</v>
      </c>
      <c r="D222" s="2" t="s">
        <v>4385</v>
      </c>
      <c r="F222" s="2" t="s">
        <v>2361</v>
      </c>
      <c r="G222" s="2" t="s">
        <v>3248</v>
      </c>
      <c r="H222" s="2" t="s">
        <v>4393</v>
      </c>
      <c r="I222" s="35">
        <v>44524</v>
      </c>
      <c r="J222" s="38">
        <v>209</v>
      </c>
      <c r="K222" s="39">
        <v>5.6</v>
      </c>
    </row>
    <row r="223" spans="2:11" ht="15" customHeight="1">
      <c r="B223" s="2">
        <v>4500458477</v>
      </c>
      <c r="C223" s="2">
        <v>506896</v>
      </c>
      <c r="D223" s="2" t="s">
        <v>4385</v>
      </c>
      <c r="F223" s="2" t="s">
        <v>2361</v>
      </c>
      <c r="G223" s="2" t="s">
        <v>3248</v>
      </c>
      <c r="H223" s="2" t="s">
        <v>4392</v>
      </c>
      <c r="I223" s="35">
        <v>44524</v>
      </c>
      <c r="J223" s="38">
        <v>152</v>
      </c>
      <c r="K223" s="39">
        <v>5.6</v>
      </c>
    </row>
    <row r="224" spans="2:11" ht="15" customHeight="1">
      <c r="B224" s="2">
        <v>4500458477</v>
      </c>
      <c r="C224" s="2">
        <v>506896</v>
      </c>
      <c r="D224" s="2" t="s">
        <v>4385</v>
      </c>
      <c r="F224" s="2" t="s">
        <v>2361</v>
      </c>
      <c r="G224" s="2" t="s">
        <v>3248</v>
      </c>
      <c r="H224" s="2" t="s">
        <v>4395</v>
      </c>
      <c r="I224" s="35">
        <v>44524</v>
      </c>
      <c r="J224" s="38">
        <v>143</v>
      </c>
      <c r="K224" s="39">
        <v>5.6</v>
      </c>
    </row>
    <row r="225" spans="2:11" ht="15" customHeight="1">
      <c r="B225" s="2">
        <v>4500458477</v>
      </c>
      <c r="C225" s="2">
        <v>506896</v>
      </c>
      <c r="D225" s="2" t="s">
        <v>4385</v>
      </c>
      <c r="F225" s="2" t="s">
        <v>2361</v>
      </c>
      <c r="G225" s="2" t="s">
        <v>3248</v>
      </c>
      <c r="H225" s="2" t="s">
        <v>3224</v>
      </c>
      <c r="I225" s="35">
        <v>44524</v>
      </c>
      <c r="J225" s="38">
        <v>59</v>
      </c>
      <c r="K225" s="39">
        <v>5.6</v>
      </c>
    </row>
    <row r="226" spans="2:11" ht="15" customHeight="1">
      <c r="B226" s="2">
        <v>4500458477</v>
      </c>
      <c r="C226" s="2">
        <v>506896</v>
      </c>
      <c r="D226" s="2" t="s">
        <v>4385</v>
      </c>
      <c r="F226" s="2" t="s">
        <v>2361</v>
      </c>
      <c r="G226" s="2" t="s">
        <v>3249</v>
      </c>
      <c r="H226" s="2" t="s">
        <v>4394</v>
      </c>
      <c r="I226" s="35">
        <v>44524</v>
      </c>
      <c r="J226" s="38">
        <v>110</v>
      </c>
      <c r="K226" s="39">
        <v>5.84</v>
      </c>
    </row>
    <row r="227" spans="2:11" ht="15" customHeight="1">
      <c r="B227" s="2">
        <v>4500458477</v>
      </c>
      <c r="C227" s="2">
        <v>506896</v>
      </c>
      <c r="D227" s="2" t="s">
        <v>4385</v>
      </c>
      <c r="F227" s="2" t="s">
        <v>2361</v>
      </c>
      <c r="G227" s="2" t="s">
        <v>3249</v>
      </c>
      <c r="H227" s="2" t="s">
        <v>4393</v>
      </c>
      <c r="I227" s="35">
        <v>44524</v>
      </c>
      <c r="J227" s="38">
        <v>278</v>
      </c>
      <c r="K227" s="39">
        <v>5.84</v>
      </c>
    </row>
    <row r="228" spans="2:11" ht="15" customHeight="1">
      <c r="B228" s="2">
        <v>4500458477</v>
      </c>
      <c r="C228" s="2">
        <v>506896</v>
      </c>
      <c r="D228" s="2" t="s">
        <v>4385</v>
      </c>
      <c r="F228" s="2" t="s">
        <v>2361</v>
      </c>
      <c r="G228" s="2" t="s">
        <v>3249</v>
      </c>
      <c r="H228" s="2" t="s">
        <v>4392</v>
      </c>
      <c r="I228" s="35">
        <v>44524</v>
      </c>
      <c r="J228" s="38">
        <v>152</v>
      </c>
      <c r="K228" s="39">
        <v>5.84</v>
      </c>
    </row>
    <row r="229" spans="2:11" ht="15" customHeight="1">
      <c r="B229" s="2">
        <v>4500458477</v>
      </c>
      <c r="C229" s="2">
        <v>506896</v>
      </c>
      <c r="D229" s="2" t="s">
        <v>4385</v>
      </c>
      <c r="F229" s="2" t="s">
        <v>2361</v>
      </c>
      <c r="G229" s="2" t="s">
        <v>3249</v>
      </c>
      <c r="H229" s="2" t="s">
        <v>4395</v>
      </c>
      <c r="I229" s="35">
        <v>44524</v>
      </c>
      <c r="J229" s="38">
        <v>176</v>
      </c>
      <c r="K229" s="39">
        <v>5.84</v>
      </c>
    </row>
    <row r="230" spans="2:11" ht="15" customHeight="1">
      <c r="B230" s="2">
        <v>4500458477</v>
      </c>
      <c r="C230" s="2">
        <v>506896</v>
      </c>
      <c r="D230" s="2" t="s">
        <v>4385</v>
      </c>
      <c r="F230" s="2" t="s">
        <v>2361</v>
      </c>
      <c r="G230" s="2" t="s">
        <v>3249</v>
      </c>
      <c r="H230" s="2" t="s">
        <v>3224</v>
      </c>
      <c r="I230" s="35">
        <v>44524</v>
      </c>
      <c r="J230" s="38">
        <v>81</v>
      </c>
      <c r="K230" s="39">
        <v>5.84</v>
      </c>
    </row>
    <row r="231" spans="2:11" ht="15" customHeight="1">
      <c r="B231" s="2">
        <v>4500458477</v>
      </c>
      <c r="C231" s="2">
        <v>506896</v>
      </c>
      <c r="D231" s="2" t="s">
        <v>4385</v>
      </c>
      <c r="F231" s="2" t="s">
        <v>2361</v>
      </c>
      <c r="G231" s="2" t="s">
        <v>3250</v>
      </c>
      <c r="H231" s="2" t="s">
        <v>4394</v>
      </c>
      <c r="I231" s="35">
        <v>44524</v>
      </c>
      <c r="J231" s="38">
        <v>117</v>
      </c>
      <c r="K231" s="39">
        <v>6.9</v>
      </c>
    </row>
    <row r="232" spans="2:11" ht="15" customHeight="1">
      <c r="B232" s="2">
        <v>4500458477</v>
      </c>
      <c r="C232" s="2">
        <v>506896</v>
      </c>
      <c r="D232" s="2" t="s">
        <v>4385</v>
      </c>
      <c r="F232" s="2" t="s">
        <v>2361</v>
      </c>
      <c r="G232" s="2" t="s">
        <v>3250</v>
      </c>
      <c r="H232" s="2" t="s">
        <v>4393</v>
      </c>
      <c r="I232" s="35">
        <v>44524</v>
      </c>
      <c r="J232" s="38">
        <v>355</v>
      </c>
      <c r="K232" s="39">
        <v>6.9</v>
      </c>
    </row>
    <row r="233" spans="2:11" ht="15" customHeight="1">
      <c r="B233" s="2">
        <v>4500458477</v>
      </c>
      <c r="C233" s="2">
        <v>506896</v>
      </c>
      <c r="D233" s="2" t="s">
        <v>4385</v>
      </c>
      <c r="F233" s="2" t="s">
        <v>2361</v>
      </c>
      <c r="G233" s="2" t="s">
        <v>3250</v>
      </c>
      <c r="H233" s="2" t="s">
        <v>4392</v>
      </c>
      <c r="I233" s="35">
        <v>44524</v>
      </c>
      <c r="J233" s="38">
        <v>429</v>
      </c>
      <c r="K233" s="39">
        <v>6.9</v>
      </c>
    </row>
    <row r="234" spans="2:11" ht="15" customHeight="1">
      <c r="B234" s="2">
        <v>4500458477</v>
      </c>
      <c r="C234" s="2">
        <v>506896</v>
      </c>
      <c r="D234" s="2" t="s">
        <v>4385</v>
      </c>
      <c r="F234" s="2" t="s">
        <v>2361</v>
      </c>
      <c r="G234" s="2" t="s">
        <v>3250</v>
      </c>
      <c r="H234" s="2" t="s">
        <v>4395</v>
      </c>
      <c r="I234" s="35">
        <v>44524</v>
      </c>
      <c r="J234" s="38">
        <v>243</v>
      </c>
      <c r="K234" s="39">
        <v>6.9</v>
      </c>
    </row>
    <row r="235" spans="2:11" ht="15" customHeight="1">
      <c r="B235" s="2">
        <v>4500458477</v>
      </c>
      <c r="C235" s="2">
        <v>506896</v>
      </c>
      <c r="D235" s="2" t="s">
        <v>4385</v>
      </c>
      <c r="F235" s="2" t="s">
        <v>2361</v>
      </c>
      <c r="G235" s="2" t="s">
        <v>3250</v>
      </c>
      <c r="H235" s="2" t="s">
        <v>3224</v>
      </c>
      <c r="I235" s="35">
        <v>44524</v>
      </c>
      <c r="J235" s="38">
        <v>86</v>
      </c>
      <c r="K235" s="39">
        <v>6.9</v>
      </c>
    </row>
    <row r="236" spans="2:11" ht="15" customHeight="1">
      <c r="B236" s="2">
        <v>4500458477</v>
      </c>
      <c r="C236" s="2">
        <v>506896</v>
      </c>
      <c r="D236" s="2" t="s">
        <v>4385</v>
      </c>
      <c r="F236" s="2" t="s">
        <v>2361</v>
      </c>
      <c r="G236" s="2" t="s">
        <v>3252</v>
      </c>
      <c r="H236" s="2" t="s">
        <v>4394</v>
      </c>
      <c r="I236" s="35">
        <v>44524</v>
      </c>
      <c r="J236" s="38">
        <v>313</v>
      </c>
      <c r="K236" s="39">
        <v>5.6</v>
      </c>
    </row>
    <row r="237" spans="2:11" ht="15" customHeight="1">
      <c r="B237" s="2">
        <v>4500458477</v>
      </c>
      <c r="C237" s="2">
        <v>506896</v>
      </c>
      <c r="D237" s="2" t="s">
        <v>4385</v>
      </c>
      <c r="F237" s="2" t="s">
        <v>2361</v>
      </c>
      <c r="G237" s="2" t="s">
        <v>3252</v>
      </c>
      <c r="H237" s="2" t="s">
        <v>4393</v>
      </c>
      <c r="I237" s="35">
        <v>44524</v>
      </c>
      <c r="J237" s="38">
        <v>829</v>
      </c>
      <c r="K237" s="39">
        <v>5.6</v>
      </c>
    </row>
    <row r="238" spans="2:11" ht="15" customHeight="1">
      <c r="B238" s="2">
        <v>4500458477</v>
      </c>
      <c r="C238" s="2">
        <v>506896</v>
      </c>
      <c r="D238" s="2" t="s">
        <v>4385</v>
      </c>
      <c r="F238" s="2" t="s">
        <v>2361</v>
      </c>
      <c r="G238" s="2" t="s">
        <v>3252</v>
      </c>
      <c r="H238" s="2" t="s">
        <v>4392</v>
      </c>
      <c r="I238" s="35">
        <v>44524</v>
      </c>
      <c r="J238" s="38">
        <v>970</v>
      </c>
      <c r="K238" s="39">
        <v>5.6</v>
      </c>
    </row>
    <row r="239" spans="2:11" ht="15" customHeight="1">
      <c r="B239" s="2">
        <v>4500458477</v>
      </c>
      <c r="C239" s="2">
        <v>506896</v>
      </c>
      <c r="D239" s="2" t="s">
        <v>4385</v>
      </c>
      <c r="F239" s="2" t="s">
        <v>2361</v>
      </c>
      <c r="G239" s="2" t="s">
        <v>3252</v>
      </c>
      <c r="H239" s="2" t="s">
        <v>4395</v>
      </c>
      <c r="I239" s="35">
        <v>44524</v>
      </c>
      <c r="J239" s="38">
        <v>627</v>
      </c>
      <c r="K239" s="39">
        <v>5.6</v>
      </c>
    </row>
    <row r="240" spans="2:11" ht="15" customHeight="1">
      <c r="B240" s="2">
        <v>4500458477</v>
      </c>
      <c r="C240" s="2">
        <v>506896</v>
      </c>
      <c r="D240" s="2" t="s">
        <v>4385</v>
      </c>
      <c r="F240" s="2" t="s">
        <v>2361</v>
      </c>
      <c r="G240" s="2" t="s">
        <v>3252</v>
      </c>
      <c r="H240" s="2" t="s">
        <v>3224</v>
      </c>
      <c r="I240" s="35">
        <v>44524</v>
      </c>
      <c r="J240" s="38">
        <v>301</v>
      </c>
      <c r="K240" s="39">
        <v>5.6</v>
      </c>
    </row>
    <row r="241" spans="2:11" ht="15" customHeight="1">
      <c r="B241" s="2">
        <v>4500458477</v>
      </c>
      <c r="C241" s="2">
        <v>506896</v>
      </c>
      <c r="D241" s="2" t="s">
        <v>4385</v>
      </c>
      <c r="F241" s="2" t="s">
        <v>2361</v>
      </c>
      <c r="G241" s="2" t="s">
        <v>3253</v>
      </c>
      <c r="H241" s="2" t="s">
        <v>4394</v>
      </c>
      <c r="I241" s="35">
        <v>44524</v>
      </c>
      <c r="J241" s="38">
        <v>205</v>
      </c>
      <c r="K241" s="39">
        <v>7.15</v>
      </c>
    </row>
    <row r="242" spans="2:11" ht="15" customHeight="1">
      <c r="B242" s="2">
        <v>4500458477</v>
      </c>
      <c r="C242" s="2">
        <v>506896</v>
      </c>
      <c r="D242" s="2" t="s">
        <v>4385</v>
      </c>
      <c r="F242" s="2" t="s">
        <v>2361</v>
      </c>
      <c r="G242" s="2" t="s">
        <v>3253</v>
      </c>
      <c r="H242" s="2" t="s">
        <v>4393</v>
      </c>
      <c r="I242" s="35">
        <v>44524</v>
      </c>
      <c r="J242" s="38">
        <v>620</v>
      </c>
      <c r="K242" s="39">
        <v>7.15</v>
      </c>
    </row>
    <row r="243" spans="2:11" ht="15" customHeight="1">
      <c r="B243" s="2">
        <v>4500458477</v>
      </c>
      <c r="C243" s="2">
        <v>506896</v>
      </c>
      <c r="D243" s="2" t="s">
        <v>4385</v>
      </c>
      <c r="F243" s="2" t="s">
        <v>2361</v>
      </c>
      <c r="G243" s="2" t="s">
        <v>3253</v>
      </c>
      <c r="H243" s="2" t="s">
        <v>4392</v>
      </c>
      <c r="I243" s="35">
        <v>44524</v>
      </c>
      <c r="J243" s="38">
        <v>750</v>
      </c>
      <c r="K243" s="39">
        <v>7.15</v>
      </c>
    </row>
    <row r="244" spans="2:11" ht="15" customHeight="1">
      <c r="B244" s="2">
        <v>4500458477</v>
      </c>
      <c r="C244" s="2">
        <v>506896</v>
      </c>
      <c r="D244" s="2" t="s">
        <v>4385</v>
      </c>
      <c r="F244" s="2" t="s">
        <v>2361</v>
      </c>
      <c r="G244" s="2" t="s">
        <v>3253</v>
      </c>
      <c r="H244" s="2" t="s">
        <v>4395</v>
      </c>
      <c r="I244" s="35">
        <v>44524</v>
      </c>
      <c r="J244" s="38">
        <v>424</v>
      </c>
      <c r="K244" s="39">
        <v>7.15</v>
      </c>
    </row>
    <row r="245" spans="2:11" ht="15" customHeight="1">
      <c r="B245" s="2">
        <v>4500458477</v>
      </c>
      <c r="C245" s="2">
        <v>506896</v>
      </c>
      <c r="D245" s="2" t="s">
        <v>4385</v>
      </c>
      <c r="F245" s="2" t="s">
        <v>2361</v>
      </c>
      <c r="G245" s="2" t="s">
        <v>3253</v>
      </c>
      <c r="H245" s="2" t="s">
        <v>3224</v>
      </c>
      <c r="I245" s="35">
        <v>44524</v>
      </c>
      <c r="J245" s="38">
        <v>150</v>
      </c>
      <c r="K245" s="39">
        <v>7.15</v>
      </c>
    </row>
    <row r="246" spans="2:11" ht="15" customHeight="1">
      <c r="B246" s="2">
        <v>4500458477</v>
      </c>
      <c r="C246" s="2">
        <v>506896</v>
      </c>
      <c r="D246" s="2" t="s">
        <v>4385</v>
      </c>
      <c r="F246" s="2" t="s">
        <v>2361</v>
      </c>
      <c r="G246" s="2" t="s">
        <v>4387</v>
      </c>
      <c r="H246" s="2" t="s">
        <v>4394</v>
      </c>
      <c r="I246" s="35">
        <v>44524</v>
      </c>
      <c r="J246" s="38">
        <v>258</v>
      </c>
      <c r="K246" s="39">
        <v>5.84</v>
      </c>
    </row>
    <row r="247" spans="2:11" ht="15" customHeight="1">
      <c r="B247" s="2">
        <v>4500458477</v>
      </c>
      <c r="C247" s="2">
        <v>506896</v>
      </c>
      <c r="D247" s="2" t="s">
        <v>4385</v>
      </c>
      <c r="F247" s="2" t="s">
        <v>2361</v>
      </c>
      <c r="G247" s="2" t="s">
        <v>4387</v>
      </c>
      <c r="H247" s="2" t="s">
        <v>4393</v>
      </c>
      <c r="I247" s="35">
        <v>44524</v>
      </c>
      <c r="J247" s="38">
        <v>645</v>
      </c>
      <c r="K247" s="39">
        <v>5.84</v>
      </c>
    </row>
    <row r="248" spans="2:11" ht="15" customHeight="1">
      <c r="B248" s="2">
        <v>4500458477</v>
      </c>
      <c r="C248" s="2">
        <v>506896</v>
      </c>
      <c r="D248" s="2" t="s">
        <v>4385</v>
      </c>
      <c r="F248" s="2" t="s">
        <v>2361</v>
      </c>
      <c r="G248" s="2" t="s">
        <v>4387</v>
      </c>
      <c r="H248" s="2" t="s">
        <v>4392</v>
      </c>
      <c r="I248" s="35">
        <v>44524</v>
      </c>
      <c r="J248" s="38">
        <v>763</v>
      </c>
      <c r="K248" s="39">
        <v>5.84</v>
      </c>
    </row>
    <row r="249" spans="2:11" ht="15" customHeight="1">
      <c r="B249" s="2">
        <v>4500458477</v>
      </c>
      <c r="C249" s="2">
        <v>506896</v>
      </c>
      <c r="D249" s="2" t="s">
        <v>4385</v>
      </c>
      <c r="F249" s="2" t="s">
        <v>2361</v>
      </c>
      <c r="G249" s="2" t="s">
        <v>4387</v>
      </c>
      <c r="H249" s="2" t="s">
        <v>4395</v>
      </c>
      <c r="I249" s="35">
        <v>44524</v>
      </c>
      <c r="J249" s="38">
        <v>492</v>
      </c>
      <c r="K249" s="39">
        <v>5.84</v>
      </c>
    </row>
    <row r="250" spans="2:11" ht="15" customHeight="1">
      <c r="B250" s="2">
        <v>4500458477</v>
      </c>
      <c r="C250" s="2">
        <v>506896</v>
      </c>
      <c r="D250" s="2" t="s">
        <v>4385</v>
      </c>
      <c r="F250" s="2" t="s">
        <v>2361</v>
      </c>
      <c r="G250" s="2" t="s">
        <v>4387</v>
      </c>
      <c r="H250" s="2" t="s">
        <v>3224</v>
      </c>
      <c r="I250" s="35">
        <v>44524</v>
      </c>
      <c r="J250" s="38">
        <v>161</v>
      </c>
      <c r="K250" s="39">
        <v>5.84</v>
      </c>
    </row>
    <row r="251" spans="2:11" ht="15" customHeight="1">
      <c r="B251" s="2">
        <v>4500458477</v>
      </c>
      <c r="C251" s="2">
        <v>506896</v>
      </c>
      <c r="D251" s="2" t="s">
        <v>4385</v>
      </c>
      <c r="F251" s="2" t="s">
        <v>2361</v>
      </c>
      <c r="G251" s="2" t="s">
        <v>4389</v>
      </c>
      <c r="H251" s="2" t="s">
        <v>4394</v>
      </c>
      <c r="I251" s="35">
        <v>44524</v>
      </c>
      <c r="J251" s="38">
        <v>95</v>
      </c>
      <c r="K251" s="39">
        <v>6.9</v>
      </c>
    </row>
    <row r="252" spans="2:11" ht="15" customHeight="1">
      <c r="B252" s="2">
        <v>4500458477</v>
      </c>
      <c r="C252" s="2">
        <v>506896</v>
      </c>
      <c r="D252" s="2" t="s">
        <v>4385</v>
      </c>
      <c r="F252" s="2" t="s">
        <v>2361</v>
      </c>
      <c r="G252" s="2" t="s">
        <v>4389</v>
      </c>
      <c r="H252" s="2" t="s">
        <v>4393</v>
      </c>
      <c r="I252" s="35">
        <v>44524</v>
      </c>
      <c r="J252" s="38">
        <v>287</v>
      </c>
      <c r="K252" s="39">
        <v>6.9</v>
      </c>
    </row>
    <row r="253" spans="2:11" ht="15" customHeight="1">
      <c r="B253" s="2">
        <v>4500458477</v>
      </c>
      <c r="C253" s="2">
        <v>506896</v>
      </c>
      <c r="D253" s="2" t="s">
        <v>4385</v>
      </c>
      <c r="F253" s="2" t="s">
        <v>2361</v>
      </c>
      <c r="G253" s="2" t="s">
        <v>4389</v>
      </c>
      <c r="H253" s="2" t="s">
        <v>4392</v>
      </c>
      <c r="I253" s="35">
        <v>44524</v>
      </c>
      <c r="J253" s="38">
        <v>348</v>
      </c>
      <c r="K253" s="39">
        <v>6.9</v>
      </c>
    </row>
    <row r="254" spans="2:11" ht="15" customHeight="1">
      <c r="B254" s="2">
        <v>4500458477</v>
      </c>
      <c r="C254" s="2">
        <v>506896</v>
      </c>
      <c r="D254" s="2" t="s">
        <v>4385</v>
      </c>
      <c r="F254" s="2" t="s">
        <v>2361</v>
      </c>
      <c r="G254" s="2" t="s">
        <v>4389</v>
      </c>
      <c r="H254" s="2" t="s">
        <v>4395</v>
      </c>
      <c r="I254" s="35">
        <v>44524</v>
      </c>
      <c r="J254" s="38">
        <v>197</v>
      </c>
      <c r="K254" s="39">
        <v>6.9</v>
      </c>
    </row>
    <row r="255" spans="2:11" ht="15" customHeight="1">
      <c r="B255" s="2">
        <v>4500458477</v>
      </c>
      <c r="C255" s="2">
        <v>506896</v>
      </c>
      <c r="D255" s="2" t="s">
        <v>4385</v>
      </c>
      <c r="F255" s="2" t="s">
        <v>2361</v>
      </c>
      <c r="G255" s="2" t="s">
        <v>4389</v>
      </c>
      <c r="H255" s="2" t="s">
        <v>3224</v>
      </c>
      <c r="I255" s="35">
        <v>44524</v>
      </c>
      <c r="J255" s="38">
        <v>70</v>
      </c>
      <c r="K255" s="39">
        <v>6.9</v>
      </c>
    </row>
    <row r="256" spans="2:11" ht="15" customHeight="1">
      <c r="B256" s="2">
        <v>4500458477</v>
      </c>
      <c r="C256" s="2">
        <v>507209</v>
      </c>
      <c r="D256" s="2" t="s">
        <v>4385</v>
      </c>
      <c r="F256" s="2" t="s">
        <v>2361</v>
      </c>
      <c r="G256" s="2" t="s">
        <v>3254</v>
      </c>
      <c r="H256" s="2" t="s">
        <v>4394</v>
      </c>
      <c r="I256" s="35">
        <v>44524</v>
      </c>
      <c r="J256" s="38">
        <v>112</v>
      </c>
      <c r="K256" s="39">
        <v>5.82</v>
      </c>
    </row>
    <row r="257" spans="2:11" ht="15" customHeight="1">
      <c r="B257" s="2">
        <v>4500458477</v>
      </c>
      <c r="C257" s="2">
        <v>507209</v>
      </c>
      <c r="D257" s="2" t="s">
        <v>4385</v>
      </c>
      <c r="F257" s="2" t="s">
        <v>2361</v>
      </c>
      <c r="G257" s="2" t="s">
        <v>3254</v>
      </c>
      <c r="H257" s="2" t="s">
        <v>4393</v>
      </c>
      <c r="I257" s="35">
        <v>44524</v>
      </c>
      <c r="J257" s="38">
        <v>340</v>
      </c>
      <c r="K257" s="39">
        <v>5.82</v>
      </c>
    </row>
    <row r="258" spans="2:11" ht="15" customHeight="1">
      <c r="B258" s="2">
        <v>4500458477</v>
      </c>
      <c r="C258" s="2">
        <v>507209</v>
      </c>
      <c r="D258" s="2" t="s">
        <v>4385</v>
      </c>
      <c r="F258" s="2" t="s">
        <v>2361</v>
      </c>
      <c r="G258" s="2" t="s">
        <v>3254</v>
      </c>
      <c r="H258" s="2" t="s">
        <v>4392</v>
      </c>
      <c r="I258" s="35">
        <v>44524</v>
      </c>
      <c r="J258" s="38">
        <v>411</v>
      </c>
      <c r="K258" s="39">
        <v>5.82</v>
      </c>
    </row>
    <row r="259" spans="2:11" ht="15" customHeight="1">
      <c r="B259" s="2">
        <v>4500458477</v>
      </c>
      <c r="C259" s="2">
        <v>507209</v>
      </c>
      <c r="D259" s="2" t="s">
        <v>4385</v>
      </c>
      <c r="F259" s="2" t="s">
        <v>2361</v>
      </c>
      <c r="G259" s="2" t="s">
        <v>3254</v>
      </c>
      <c r="H259" s="2" t="s">
        <v>4395</v>
      </c>
      <c r="I259" s="35">
        <v>44524</v>
      </c>
      <c r="J259" s="38">
        <v>232</v>
      </c>
      <c r="K259" s="39">
        <v>5.82</v>
      </c>
    </row>
    <row r="260" spans="2:11" ht="15" customHeight="1">
      <c r="B260" s="2">
        <v>4500458477</v>
      </c>
      <c r="C260" s="2">
        <v>507209</v>
      </c>
      <c r="D260" s="2" t="s">
        <v>4385</v>
      </c>
      <c r="F260" s="2" t="s">
        <v>2361</v>
      </c>
      <c r="G260" s="2" t="s">
        <v>3254</v>
      </c>
      <c r="H260" s="2" t="s">
        <v>3224</v>
      </c>
      <c r="I260" s="35">
        <v>44524</v>
      </c>
      <c r="J260" s="38">
        <v>82</v>
      </c>
      <c r="K260" s="39">
        <v>5.82</v>
      </c>
    </row>
    <row r="261" spans="2:11" ht="15" customHeight="1">
      <c r="B261" s="2">
        <v>4500458477</v>
      </c>
      <c r="C261" s="2">
        <v>507209</v>
      </c>
      <c r="D261" s="2" t="s">
        <v>4385</v>
      </c>
      <c r="F261" s="2" t="s">
        <v>2361</v>
      </c>
      <c r="G261" s="2" t="s">
        <v>3265</v>
      </c>
      <c r="H261" s="2" t="s">
        <v>4394</v>
      </c>
      <c r="I261" s="35">
        <v>44524</v>
      </c>
      <c r="J261" s="38">
        <v>125</v>
      </c>
      <c r="K261" s="39">
        <v>6.45</v>
      </c>
    </row>
    <row r="262" spans="2:11" ht="15" customHeight="1">
      <c r="B262" s="2">
        <v>4500458477</v>
      </c>
      <c r="C262" s="2">
        <v>507209</v>
      </c>
      <c r="D262" s="2" t="s">
        <v>4385</v>
      </c>
      <c r="F262" s="2" t="s">
        <v>2361</v>
      </c>
      <c r="G262" s="2" t="s">
        <v>3265</v>
      </c>
      <c r="H262" s="2" t="s">
        <v>4393</v>
      </c>
      <c r="I262" s="35">
        <v>44524</v>
      </c>
      <c r="J262" s="38">
        <v>380</v>
      </c>
      <c r="K262" s="39">
        <v>6.45</v>
      </c>
    </row>
    <row r="263" spans="2:11" ht="15" customHeight="1">
      <c r="B263" s="2">
        <v>4500458477</v>
      </c>
      <c r="C263" s="2">
        <v>507209</v>
      </c>
      <c r="D263" s="2" t="s">
        <v>4385</v>
      </c>
      <c r="F263" s="2" t="s">
        <v>2361</v>
      </c>
      <c r="G263" s="2" t="s">
        <v>3265</v>
      </c>
      <c r="H263" s="2" t="s">
        <v>4392</v>
      </c>
      <c r="I263" s="35">
        <v>44524</v>
      </c>
      <c r="J263" s="38">
        <v>459</v>
      </c>
      <c r="K263" s="39">
        <v>6.45</v>
      </c>
    </row>
    <row r="264" spans="2:11" ht="15" customHeight="1">
      <c r="B264" s="2">
        <v>4500458477</v>
      </c>
      <c r="C264" s="2">
        <v>507209</v>
      </c>
      <c r="D264" s="2" t="s">
        <v>4385</v>
      </c>
      <c r="F264" s="2" t="s">
        <v>2361</v>
      </c>
      <c r="G264" s="2" t="s">
        <v>3265</v>
      </c>
      <c r="H264" s="2" t="s">
        <v>4395</v>
      </c>
      <c r="I264" s="35">
        <v>44524</v>
      </c>
      <c r="J264" s="38">
        <v>260</v>
      </c>
      <c r="K264" s="39">
        <v>6.45</v>
      </c>
    </row>
    <row r="265" spans="2:11" ht="15" customHeight="1">
      <c r="B265" s="2">
        <v>4500458477</v>
      </c>
      <c r="C265" s="2">
        <v>507209</v>
      </c>
      <c r="D265" s="2" t="s">
        <v>4385</v>
      </c>
      <c r="F265" s="2" t="s">
        <v>2361</v>
      </c>
      <c r="G265" s="2" t="s">
        <v>3265</v>
      </c>
      <c r="H265" s="2" t="s">
        <v>3224</v>
      </c>
      <c r="I265" s="35">
        <v>44524</v>
      </c>
      <c r="J265" s="38">
        <v>92</v>
      </c>
      <c r="K265" s="39">
        <v>6.45</v>
      </c>
    </row>
    <row r="266" spans="2:11" ht="15" customHeight="1">
      <c r="B266" s="2">
        <v>4500458477</v>
      </c>
      <c r="C266" s="2">
        <v>507209</v>
      </c>
      <c r="D266" s="2" t="s">
        <v>4385</v>
      </c>
      <c r="F266" s="2" t="s">
        <v>2361</v>
      </c>
      <c r="G266" s="2" t="s">
        <v>3255</v>
      </c>
      <c r="H266" s="2" t="s">
        <v>4394</v>
      </c>
      <c r="I266" s="35">
        <v>44524</v>
      </c>
      <c r="J266" s="38">
        <v>189</v>
      </c>
      <c r="K266" s="39">
        <v>5.82</v>
      </c>
    </row>
    <row r="267" spans="2:11" ht="15" customHeight="1">
      <c r="B267" s="2">
        <v>4500458477</v>
      </c>
      <c r="C267" s="2">
        <v>507209</v>
      </c>
      <c r="D267" s="2" t="s">
        <v>4385</v>
      </c>
      <c r="F267" s="2" t="s">
        <v>2361</v>
      </c>
      <c r="G267" s="2" t="s">
        <v>3255</v>
      </c>
      <c r="H267" s="2" t="s">
        <v>4393</v>
      </c>
      <c r="I267" s="35">
        <v>44524</v>
      </c>
      <c r="J267" s="38">
        <v>573</v>
      </c>
      <c r="K267" s="39">
        <v>5.82</v>
      </c>
    </row>
    <row r="268" spans="2:11" ht="15" customHeight="1">
      <c r="B268" s="2">
        <v>4500458477</v>
      </c>
      <c r="C268" s="2">
        <v>507209</v>
      </c>
      <c r="D268" s="2" t="s">
        <v>4385</v>
      </c>
      <c r="F268" s="2" t="s">
        <v>2361</v>
      </c>
      <c r="G268" s="2" t="s">
        <v>3255</v>
      </c>
      <c r="H268" s="2" t="s">
        <v>4392</v>
      </c>
      <c r="I268" s="35">
        <v>44524</v>
      </c>
      <c r="J268" s="38">
        <v>693</v>
      </c>
      <c r="K268" s="39">
        <v>5.82</v>
      </c>
    </row>
    <row r="269" spans="2:11" ht="15" customHeight="1">
      <c r="B269" s="2">
        <v>4500458477</v>
      </c>
      <c r="C269" s="2">
        <v>507209</v>
      </c>
      <c r="D269" s="2" t="s">
        <v>4385</v>
      </c>
      <c r="F269" s="2" t="s">
        <v>2361</v>
      </c>
      <c r="G269" s="2" t="s">
        <v>3255</v>
      </c>
      <c r="H269" s="2" t="s">
        <v>4395</v>
      </c>
      <c r="I269" s="35">
        <v>44524</v>
      </c>
      <c r="J269" s="38">
        <v>392</v>
      </c>
      <c r="K269" s="39">
        <v>5.82</v>
      </c>
    </row>
    <row r="270" spans="2:11" ht="15" customHeight="1">
      <c r="B270" s="2">
        <v>4500458477</v>
      </c>
      <c r="C270" s="2">
        <v>507209</v>
      </c>
      <c r="D270" s="2" t="s">
        <v>4385</v>
      </c>
      <c r="F270" s="2" t="s">
        <v>2361</v>
      </c>
      <c r="G270" s="2" t="s">
        <v>3255</v>
      </c>
      <c r="H270" s="2" t="s">
        <v>3224</v>
      </c>
      <c r="I270" s="35">
        <v>44524</v>
      </c>
      <c r="J270" s="38">
        <v>139</v>
      </c>
      <c r="K270" s="39">
        <v>5.82</v>
      </c>
    </row>
    <row r="271" spans="2:11" ht="15" customHeight="1">
      <c r="B271" s="2">
        <v>4500458477</v>
      </c>
      <c r="C271" s="2">
        <v>507209</v>
      </c>
      <c r="D271" s="2" t="s">
        <v>4385</v>
      </c>
      <c r="F271" s="2" t="s">
        <v>2361</v>
      </c>
      <c r="G271" s="2" t="s">
        <v>3257</v>
      </c>
      <c r="H271" s="2" t="s">
        <v>4394</v>
      </c>
      <c r="I271" s="35">
        <v>44524</v>
      </c>
      <c r="J271" s="38">
        <v>606</v>
      </c>
      <c r="K271" s="39">
        <v>5.9</v>
      </c>
    </row>
    <row r="272" spans="2:11" ht="15" customHeight="1">
      <c r="B272" s="2">
        <v>4500458477</v>
      </c>
      <c r="C272" s="2">
        <v>507209</v>
      </c>
      <c r="D272" s="2" t="s">
        <v>4385</v>
      </c>
      <c r="F272" s="2" t="s">
        <v>2361</v>
      </c>
      <c r="G272" s="2" t="s">
        <v>3257</v>
      </c>
      <c r="H272" s="2" t="s">
        <v>4393</v>
      </c>
      <c r="I272" s="35">
        <v>44524</v>
      </c>
      <c r="J272" s="38">
        <v>1835</v>
      </c>
      <c r="K272" s="39">
        <v>5.9</v>
      </c>
    </row>
    <row r="273" spans="2:11" ht="15" customHeight="1">
      <c r="B273" s="2">
        <v>4500458477</v>
      </c>
      <c r="C273" s="2">
        <v>507209</v>
      </c>
      <c r="D273" s="2" t="s">
        <v>4385</v>
      </c>
      <c r="F273" s="2" t="s">
        <v>2361</v>
      </c>
      <c r="G273" s="2" t="s">
        <v>3257</v>
      </c>
      <c r="H273" s="2" t="s">
        <v>4392</v>
      </c>
      <c r="I273" s="35">
        <v>44524</v>
      </c>
      <c r="J273" s="38">
        <v>2219</v>
      </c>
      <c r="K273" s="39">
        <v>5.9</v>
      </c>
    </row>
    <row r="274" spans="2:11" ht="15" customHeight="1">
      <c r="B274" s="2">
        <v>4500458477</v>
      </c>
      <c r="C274" s="2">
        <v>507209</v>
      </c>
      <c r="D274" s="2" t="s">
        <v>4385</v>
      </c>
      <c r="F274" s="2" t="s">
        <v>2361</v>
      </c>
      <c r="G274" s="2" t="s">
        <v>3257</v>
      </c>
      <c r="H274" s="2" t="s">
        <v>4395</v>
      </c>
      <c r="I274" s="35">
        <v>44524</v>
      </c>
      <c r="J274" s="38">
        <v>1256</v>
      </c>
      <c r="K274" s="39">
        <v>5.9</v>
      </c>
    </row>
    <row r="275" spans="2:11" ht="15" customHeight="1">
      <c r="B275" s="2">
        <v>4500458477</v>
      </c>
      <c r="C275" s="2">
        <v>507209</v>
      </c>
      <c r="D275" s="2" t="s">
        <v>4385</v>
      </c>
      <c r="F275" s="2" t="s">
        <v>2361</v>
      </c>
      <c r="G275" s="2" t="s">
        <v>3257</v>
      </c>
      <c r="H275" s="2" t="s">
        <v>3224</v>
      </c>
      <c r="I275" s="35">
        <v>44524</v>
      </c>
      <c r="J275" s="38">
        <v>444</v>
      </c>
      <c r="K275" s="39">
        <v>5.9</v>
      </c>
    </row>
    <row r="276" spans="2:11" ht="15" customHeight="1">
      <c r="B276" s="2">
        <v>4500458477</v>
      </c>
      <c r="C276" s="2">
        <v>507209</v>
      </c>
      <c r="D276" s="2" t="s">
        <v>4385</v>
      </c>
      <c r="F276" s="2" t="s">
        <v>2361</v>
      </c>
      <c r="G276" s="2" t="s">
        <v>4396</v>
      </c>
      <c r="H276" s="2" t="s">
        <v>4394</v>
      </c>
      <c r="I276" s="35">
        <v>44524</v>
      </c>
      <c r="J276" s="38">
        <v>119</v>
      </c>
      <c r="K276" s="39">
        <v>5.95</v>
      </c>
    </row>
    <row r="277" spans="2:11" ht="15" customHeight="1">
      <c r="B277" s="2">
        <v>4500458477</v>
      </c>
      <c r="C277" s="2">
        <v>507209</v>
      </c>
      <c r="D277" s="2" t="s">
        <v>4385</v>
      </c>
      <c r="F277" s="2" t="s">
        <v>2361</v>
      </c>
      <c r="G277" s="2" t="s">
        <v>4396</v>
      </c>
      <c r="H277" s="2" t="s">
        <v>4393</v>
      </c>
      <c r="I277" s="35">
        <v>44524</v>
      </c>
      <c r="J277" s="38">
        <v>360</v>
      </c>
      <c r="K277" s="39">
        <v>5.95</v>
      </c>
    </row>
    <row r="278" spans="2:11" ht="15" customHeight="1">
      <c r="B278" s="2">
        <v>4500458477</v>
      </c>
      <c r="C278" s="2">
        <v>507209</v>
      </c>
      <c r="D278" s="2" t="s">
        <v>4385</v>
      </c>
      <c r="F278" s="2" t="s">
        <v>2361</v>
      </c>
      <c r="G278" s="2" t="s">
        <v>4396</v>
      </c>
      <c r="H278" s="2" t="s">
        <v>4392</v>
      </c>
      <c r="I278" s="35">
        <v>44524</v>
      </c>
      <c r="J278" s="38">
        <v>435</v>
      </c>
      <c r="K278" s="39">
        <v>5.95</v>
      </c>
    </row>
    <row r="279" spans="2:11" ht="15" customHeight="1">
      <c r="B279" s="2">
        <v>4500458477</v>
      </c>
      <c r="C279" s="2">
        <v>507209</v>
      </c>
      <c r="D279" s="2" t="s">
        <v>4385</v>
      </c>
      <c r="F279" s="2" t="s">
        <v>2361</v>
      </c>
      <c r="G279" s="2" t="s">
        <v>4396</v>
      </c>
      <c r="H279" s="2" t="s">
        <v>4395</v>
      </c>
      <c r="I279" s="35">
        <v>44524</v>
      </c>
      <c r="J279" s="38">
        <v>246</v>
      </c>
      <c r="K279" s="39">
        <v>5.95</v>
      </c>
    </row>
    <row r="280" spans="2:11" ht="15" customHeight="1">
      <c r="B280" s="2">
        <v>4500458477</v>
      </c>
      <c r="C280" s="2">
        <v>507209</v>
      </c>
      <c r="D280" s="2" t="s">
        <v>4385</v>
      </c>
      <c r="F280" s="2" t="s">
        <v>2361</v>
      </c>
      <c r="G280" s="2" t="s">
        <v>4396</v>
      </c>
      <c r="H280" s="2" t="s">
        <v>3224</v>
      </c>
      <c r="I280" s="35">
        <v>44524</v>
      </c>
      <c r="J280" s="38">
        <v>87</v>
      </c>
      <c r="K280" s="39">
        <v>5.95</v>
      </c>
    </row>
    <row r="281" spans="2:11" ht="15" customHeight="1">
      <c r="B281" s="2">
        <v>4500458477</v>
      </c>
      <c r="C281" s="2">
        <v>507209</v>
      </c>
      <c r="D281" s="2" t="s">
        <v>4385</v>
      </c>
      <c r="F281" s="2" t="s">
        <v>2361</v>
      </c>
      <c r="G281" s="2" t="s">
        <v>3258</v>
      </c>
      <c r="H281" s="2" t="s">
        <v>4394</v>
      </c>
      <c r="I281" s="35">
        <v>44524</v>
      </c>
      <c r="J281" s="38">
        <v>111</v>
      </c>
      <c r="K281" s="39">
        <v>5.82</v>
      </c>
    </row>
    <row r="282" spans="2:11" ht="15" customHeight="1">
      <c r="B282" s="2">
        <v>4500458477</v>
      </c>
      <c r="C282" s="2">
        <v>507209</v>
      </c>
      <c r="D282" s="2" t="s">
        <v>4385</v>
      </c>
      <c r="F282" s="2" t="s">
        <v>2361</v>
      </c>
      <c r="G282" s="2" t="s">
        <v>3258</v>
      </c>
      <c r="H282" s="2" t="s">
        <v>4393</v>
      </c>
      <c r="I282" s="35">
        <v>44524</v>
      </c>
      <c r="J282" s="38">
        <v>335</v>
      </c>
      <c r="K282" s="39">
        <v>5.82</v>
      </c>
    </row>
    <row r="283" spans="2:11" ht="15" customHeight="1">
      <c r="B283" s="2">
        <v>4500458477</v>
      </c>
      <c r="C283" s="2">
        <v>507209</v>
      </c>
      <c r="D283" s="2" t="s">
        <v>4385</v>
      </c>
      <c r="F283" s="2" t="s">
        <v>2361</v>
      </c>
      <c r="G283" s="2" t="s">
        <v>3258</v>
      </c>
      <c r="H283" s="2" t="s">
        <v>4392</v>
      </c>
      <c r="I283" s="35">
        <v>44524</v>
      </c>
      <c r="J283" s="38">
        <v>405</v>
      </c>
      <c r="K283" s="39">
        <v>5.82</v>
      </c>
    </row>
    <row r="284" spans="2:11" ht="15" customHeight="1">
      <c r="B284" s="2">
        <v>4500458477</v>
      </c>
      <c r="C284" s="2">
        <v>507209</v>
      </c>
      <c r="D284" s="2" t="s">
        <v>4385</v>
      </c>
      <c r="F284" s="2" t="s">
        <v>2361</v>
      </c>
      <c r="G284" s="2" t="s">
        <v>3258</v>
      </c>
      <c r="H284" s="2" t="s">
        <v>4395</v>
      </c>
      <c r="I284" s="35">
        <v>44524</v>
      </c>
      <c r="J284" s="38">
        <v>229</v>
      </c>
      <c r="K284" s="39">
        <v>5.82</v>
      </c>
    </row>
    <row r="285" spans="2:11" ht="15" customHeight="1">
      <c r="B285" s="2">
        <v>4500458477</v>
      </c>
      <c r="C285" s="2">
        <v>507209</v>
      </c>
      <c r="D285" s="2" t="s">
        <v>4385</v>
      </c>
      <c r="F285" s="2" t="s">
        <v>2361</v>
      </c>
      <c r="G285" s="2" t="s">
        <v>3258</v>
      </c>
      <c r="H285" s="2" t="s">
        <v>3224</v>
      </c>
      <c r="I285" s="35">
        <v>44524</v>
      </c>
      <c r="J285" s="38">
        <v>81</v>
      </c>
      <c r="K285" s="39">
        <v>5.82</v>
      </c>
    </row>
    <row r="286" spans="2:11" ht="15" customHeight="1">
      <c r="B286" s="2">
        <v>4500458477</v>
      </c>
      <c r="C286" s="2">
        <v>507209</v>
      </c>
      <c r="D286" s="2" t="s">
        <v>4385</v>
      </c>
      <c r="F286" s="2" t="s">
        <v>2361</v>
      </c>
      <c r="G286" s="2" t="s">
        <v>4397</v>
      </c>
      <c r="H286" s="2" t="s">
        <v>4394</v>
      </c>
      <c r="I286" s="35">
        <v>44524</v>
      </c>
      <c r="J286" s="38">
        <v>28</v>
      </c>
      <c r="K286" s="39">
        <v>5.82</v>
      </c>
    </row>
    <row r="287" spans="2:11" ht="15" customHeight="1">
      <c r="B287" s="2">
        <v>4500458477</v>
      </c>
      <c r="C287" s="2">
        <v>507209</v>
      </c>
      <c r="D287" s="2" t="s">
        <v>4385</v>
      </c>
      <c r="F287" s="2" t="s">
        <v>2361</v>
      </c>
      <c r="G287" s="2" t="s">
        <v>4397</v>
      </c>
      <c r="H287" s="2" t="s">
        <v>4393</v>
      </c>
      <c r="I287" s="35">
        <v>44524</v>
      </c>
      <c r="J287" s="38">
        <v>85</v>
      </c>
      <c r="K287" s="39">
        <v>5.82</v>
      </c>
    </row>
    <row r="288" spans="2:11" ht="15" customHeight="1">
      <c r="B288" s="2">
        <v>4500458477</v>
      </c>
      <c r="C288" s="2">
        <v>507209</v>
      </c>
      <c r="D288" s="2" t="s">
        <v>4385</v>
      </c>
      <c r="F288" s="2" t="s">
        <v>2361</v>
      </c>
      <c r="G288" s="2" t="s">
        <v>4397</v>
      </c>
      <c r="H288" s="2" t="s">
        <v>4392</v>
      </c>
      <c r="I288" s="35">
        <v>44524</v>
      </c>
      <c r="J288" s="38">
        <v>102</v>
      </c>
      <c r="K288" s="39">
        <v>5.82</v>
      </c>
    </row>
    <row r="289" spans="2:11" ht="15" customHeight="1">
      <c r="B289" s="2">
        <v>4500458477</v>
      </c>
      <c r="C289" s="2">
        <v>507209</v>
      </c>
      <c r="D289" s="2" t="s">
        <v>4385</v>
      </c>
      <c r="F289" s="2" t="s">
        <v>2361</v>
      </c>
      <c r="G289" s="2" t="s">
        <v>4397</v>
      </c>
      <c r="H289" s="2" t="s">
        <v>4395</v>
      </c>
      <c r="I289" s="35">
        <v>44524</v>
      </c>
      <c r="J289" s="38">
        <v>58</v>
      </c>
      <c r="K289" s="39">
        <v>5.82</v>
      </c>
    </row>
    <row r="290" spans="2:11" ht="15" customHeight="1">
      <c r="B290" s="2">
        <v>4500458477</v>
      </c>
      <c r="C290" s="2">
        <v>507209</v>
      </c>
      <c r="D290" s="2" t="s">
        <v>4385</v>
      </c>
      <c r="F290" s="2" t="s">
        <v>2361</v>
      </c>
      <c r="G290" s="2" t="s">
        <v>4397</v>
      </c>
      <c r="H290" s="2" t="s">
        <v>3224</v>
      </c>
      <c r="I290" s="35">
        <v>44524</v>
      </c>
      <c r="J290" s="38">
        <v>20</v>
      </c>
      <c r="K290" s="39">
        <v>5.82</v>
      </c>
    </row>
    <row r="291" spans="2:11" ht="15" customHeight="1">
      <c r="B291" s="2">
        <v>4500458477</v>
      </c>
      <c r="C291" s="2">
        <v>507209</v>
      </c>
      <c r="D291" s="2" t="s">
        <v>4385</v>
      </c>
      <c r="F291" s="2" t="s">
        <v>2361</v>
      </c>
      <c r="G291" s="2" t="s">
        <v>4386</v>
      </c>
      <c r="H291" s="2" t="s">
        <v>4394</v>
      </c>
      <c r="I291" s="35">
        <v>44524</v>
      </c>
      <c r="J291" s="38">
        <v>28</v>
      </c>
      <c r="K291" s="39">
        <v>5.95</v>
      </c>
    </row>
    <row r="292" spans="2:11" ht="15" customHeight="1">
      <c r="B292" s="2">
        <v>4500458477</v>
      </c>
      <c r="C292" s="2">
        <v>507209</v>
      </c>
      <c r="D292" s="2" t="s">
        <v>4385</v>
      </c>
      <c r="F292" s="2" t="s">
        <v>2361</v>
      </c>
      <c r="G292" s="2" t="s">
        <v>4386</v>
      </c>
      <c r="H292" s="2" t="s">
        <v>4393</v>
      </c>
      <c r="I292" s="35">
        <v>44524</v>
      </c>
      <c r="J292" s="38">
        <v>85</v>
      </c>
      <c r="K292" s="39">
        <v>5.95</v>
      </c>
    </row>
    <row r="293" spans="2:11" ht="15" customHeight="1">
      <c r="B293" s="2">
        <v>4500458477</v>
      </c>
      <c r="C293" s="2">
        <v>507209</v>
      </c>
      <c r="D293" s="2" t="s">
        <v>4385</v>
      </c>
      <c r="F293" s="2" t="s">
        <v>2361</v>
      </c>
      <c r="G293" s="2" t="s">
        <v>4386</v>
      </c>
      <c r="H293" s="2" t="s">
        <v>4392</v>
      </c>
      <c r="I293" s="35">
        <v>44524</v>
      </c>
      <c r="J293" s="38">
        <v>103</v>
      </c>
      <c r="K293" s="39">
        <v>5.95</v>
      </c>
    </row>
    <row r="294" spans="2:11" ht="15" customHeight="1">
      <c r="B294" s="2">
        <v>4500458477</v>
      </c>
      <c r="C294" s="2">
        <v>507209</v>
      </c>
      <c r="D294" s="2" t="s">
        <v>4385</v>
      </c>
      <c r="F294" s="2" t="s">
        <v>2361</v>
      </c>
      <c r="G294" s="2" t="s">
        <v>4386</v>
      </c>
      <c r="H294" s="2" t="s">
        <v>4395</v>
      </c>
      <c r="I294" s="35">
        <v>44524</v>
      </c>
      <c r="J294" s="38">
        <v>58</v>
      </c>
      <c r="K294" s="39">
        <v>5.95</v>
      </c>
    </row>
    <row r="295" spans="2:11" ht="15" customHeight="1">
      <c r="B295" s="2">
        <v>4500458477</v>
      </c>
      <c r="C295" s="2">
        <v>507209</v>
      </c>
      <c r="D295" s="2" t="s">
        <v>4385</v>
      </c>
      <c r="F295" s="2" t="s">
        <v>2361</v>
      </c>
      <c r="G295" s="2" t="s">
        <v>4386</v>
      </c>
      <c r="H295" s="2" t="s">
        <v>3224</v>
      </c>
      <c r="I295" s="35">
        <v>44524</v>
      </c>
      <c r="J295" s="38">
        <v>21</v>
      </c>
      <c r="K295" s="39">
        <v>5.95</v>
      </c>
    </row>
    <row r="296" spans="2:11" ht="15" customHeight="1">
      <c r="B296" s="2">
        <v>4500458477</v>
      </c>
      <c r="C296" s="2">
        <v>507209</v>
      </c>
      <c r="D296" s="2" t="s">
        <v>4385</v>
      </c>
      <c r="F296" s="2" t="s">
        <v>2361</v>
      </c>
      <c r="G296" s="2" t="s">
        <v>4388</v>
      </c>
      <c r="H296" s="2" t="s">
        <v>4394</v>
      </c>
      <c r="I296" s="35">
        <v>44524</v>
      </c>
      <c r="J296" s="38">
        <v>60</v>
      </c>
      <c r="K296" s="39">
        <v>5.82</v>
      </c>
    </row>
    <row r="297" spans="2:11" ht="15" customHeight="1">
      <c r="B297" s="2">
        <v>4500458477</v>
      </c>
      <c r="C297" s="2">
        <v>507209</v>
      </c>
      <c r="D297" s="2" t="s">
        <v>4385</v>
      </c>
      <c r="F297" s="2" t="s">
        <v>2361</v>
      </c>
      <c r="G297" s="2" t="s">
        <v>4388</v>
      </c>
      <c r="H297" s="2" t="s">
        <v>4393</v>
      </c>
      <c r="I297" s="35">
        <v>44524</v>
      </c>
      <c r="J297" s="38">
        <v>181</v>
      </c>
      <c r="K297" s="39">
        <v>5.82</v>
      </c>
    </row>
    <row r="298" spans="2:11" ht="15" customHeight="1">
      <c r="B298" s="2">
        <v>4500458477</v>
      </c>
      <c r="C298" s="2">
        <v>507209</v>
      </c>
      <c r="D298" s="2" t="s">
        <v>4385</v>
      </c>
      <c r="F298" s="2" t="s">
        <v>2361</v>
      </c>
      <c r="G298" s="2" t="s">
        <v>4388</v>
      </c>
      <c r="H298" s="2" t="s">
        <v>4392</v>
      </c>
      <c r="I298" s="35">
        <v>44524</v>
      </c>
      <c r="J298" s="38">
        <v>219</v>
      </c>
      <c r="K298" s="39">
        <v>5.82</v>
      </c>
    </row>
    <row r="299" spans="2:11" ht="15" customHeight="1">
      <c r="B299" s="2">
        <v>4500458477</v>
      </c>
      <c r="C299" s="2">
        <v>507209</v>
      </c>
      <c r="D299" s="2" t="s">
        <v>4385</v>
      </c>
      <c r="F299" s="2" t="s">
        <v>2361</v>
      </c>
      <c r="G299" s="2" t="s">
        <v>4388</v>
      </c>
      <c r="H299" s="2" t="s">
        <v>4395</v>
      </c>
      <c r="I299" s="35">
        <v>44524</v>
      </c>
      <c r="J299" s="38">
        <v>124</v>
      </c>
      <c r="K299" s="39">
        <v>5.82</v>
      </c>
    </row>
    <row r="300" spans="2:11" ht="15" customHeight="1">
      <c r="B300" s="2">
        <v>4500458477</v>
      </c>
      <c r="C300" s="2">
        <v>507209</v>
      </c>
      <c r="D300" s="2" t="s">
        <v>4385</v>
      </c>
      <c r="F300" s="2" t="s">
        <v>2361</v>
      </c>
      <c r="G300" s="2" t="s">
        <v>4388</v>
      </c>
      <c r="H300" s="2" t="s">
        <v>3224</v>
      </c>
      <c r="I300" s="35">
        <v>44524</v>
      </c>
      <c r="J300" s="38">
        <v>44</v>
      </c>
      <c r="K300" s="39">
        <v>5.82</v>
      </c>
    </row>
    <row r="301" spans="2:11" ht="15" customHeight="1">
      <c r="B301" s="2">
        <v>4500458477</v>
      </c>
      <c r="C301" s="2">
        <v>507209</v>
      </c>
      <c r="D301" s="2" t="s">
        <v>4385</v>
      </c>
      <c r="F301" s="2" t="s">
        <v>2361</v>
      </c>
      <c r="G301" s="2" t="s">
        <v>3256</v>
      </c>
      <c r="H301" s="2" t="s">
        <v>4394</v>
      </c>
      <c r="I301" s="35">
        <v>44524</v>
      </c>
      <c r="J301" s="38">
        <v>162</v>
      </c>
      <c r="K301" s="39">
        <v>5.9</v>
      </c>
    </row>
    <row r="302" spans="2:11" ht="15" customHeight="1">
      <c r="B302" s="2">
        <v>4500458477</v>
      </c>
      <c r="C302" s="2">
        <v>507209</v>
      </c>
      <c r="D302" s="2" t="s">
        <v>4385</v>
      </c>
      <c r="F302" s="2" t="s">
        <v>2361</v>
      </c>
      <c r="G302" s="2" t="s">
        <v>3256</v>
      </c>
      <c r="H302" s="2" t="s">
        <v>4393</v>
      </c>
      <c r="I302" s="35">
        <v>44524</v>
      </c>
      <c r="J302" s="38">
        <v>491</v>
      </c>
      <c r="K302" s="39">
        <v>5.9</v>
      </c>
    </row>
    <row r="303" spans="2:11" ht="15" customHeight="1">
      <c r="B303" s="2">
        <v>4500458477</v>
      </c>
      <c r="C303" s="2">
        <v>507209</v>
      </c>
      <c r="D303" s="2" t="s">
        <v>4385</v>
      </c>
      <c r="F303" s="2" t="s">
        <v>2361</v>
      </c>
      <c r="G303" s="2" t="s">
        <v>3256</v>
      </c>
      <c r="H303" s="2" t="s">
        <v>4392</v>
      </c>
      <c r="I303" s="35">
        <v>44524</v>
      </c>
      <c r="J303" s="38">
        <v>593</v>
      </c>
      <c r="K303" s="39">
        <v>5.9</v>
      </c>
    </row>
    <row r="304" spans="2:11" ht="15" customHeight="1">
      <c r="B304" s="2">
        <v>4500458477</v>
      </c>
      <c r="C304" s="2">
        <v>507209</v>
      </c>
      <c r="D304" s="2" t="s">
        <v>4385</v>
      </c>
      <c r="F304" s="2" t="s">
        <v>2361</v>
      </c>
      <c r="G304" s="2" t="s">
        <v>3256</v>
      </c>
      <c r="H304" s="2" t="s">
        <v>4395</v>
      </c>
      <c r="I304" s="35">
        <v>44524</v>
      </c>
      <c r="J304" s="38">
        <v>336</v>
      </c>
      <c r="K304" s="39">
        <v>5.9</v>
      </c>
    </row>
    <row r="305" spans="2:11" ht="15" customHeight="1">
      <c r="B305" s="2">
        <v>4500458477</v>
      </c>
      <c r="C305" s="2">
        <v>507209</v>
      </c>
      <c r="D305" s="2" t="s">
        <v>4385</v>
      </c>
      <c r="F305" s="2" t="s">
        <v>2361</v>
      </c>
      <c r="G305" s="2" t="s">
        <v>3256</v>
      </c>
      <c r="H305" s="2" t="s">
        <v>3224</v>
      </c>
      <c r="I305" s="35">
        <v>44524</v>
      </c>
      <c r="J305" s="38">
        <v>119</v>
      </c>
      <c r="K305" s="39">
        <v>5.9</v>
      </c>
    </row>
    <row r="306" spans="2:11" ht="15" customHeight="1">
      <c r="B306" s="2">
        <v>4500458477</v>
      </c>
      <c r="C306" s="2">
        <v>529692</v>
      </c>
      <c r="D306" s="2" t="s">
        <v>4385</v>
      </c>
      <c r="F306" s="2" t="s">
        <v>2361</v>
      </c>
      <c r="G306" s="2" t="s">
        <v>3252</v>
      </c>
      <c r="H306" s="2" t="s">
        <v>3261</v>
      </c>
      <c r="I306" s="35">
        <v>44524</v>
      </c>
      <c r="J306" s="38">
        <v>136</v>
      </c>
      <c r="K306" s="39">
        <v>6.03</v>
      </c>
    </row>
    <row r="307" spans="2:11" ht="15" customHeight="1">
      <c r="B307" s="2">
        <v>4500458477</v>
      </c>
      <c r="C307" s="2">
        <v>529692</v>
      </c>
      <c r="D307" s="2" t="s">
        <v>4385</v>
      </c>
      <c r="F307" s="2" t="s">
        <v>2361</v>
      </c>
      <c r="G307" s="2" t="s">
        <v>3252</v>
      </c>
      <c r="H307" s="2" t="s">
        <v>4390</v>
      </c>
      <c r="I307" s="35">
        <v>44524</v>
      </c>
      <c r="J307" s="38">
        <v>112</v>
      </c>
      <c r="K307" s="39">
        <v>6.03</v>
      </c>
    </row>
    <row r="308" spans="2:11" ht="15" customHeight="1">
      <c r="B308" s="2">
        <v>4500458477</v>
      </c>
      <c r="C308" s="2">
        <v>529692</v>
      </c>
      <c r="D308" s="2" t="s">
        <v>4385</v>
      </c>
      <c r="F308" s="2" t="s">
        <v>2361</v>
      </c>
      <c r="G308" s="2" t="s">
        <v>3252</v>
      </c>
      <c r="H308" s="2" t="s">
        <v>4391</v>
      </c>
      <c r="I308" s="35">
        <v>44524</v>
      </c>
      <c r="J308" s="38">
        <v>34</v>
      </c>
      <c r="K308" s="39">
        <v>6.03</v>
      </c>
    </row>
    <row r="309" spans="2:11" ht="15" customHeight="1">
      <c r="B309" s="2">
        <v>4500458531</v>
      </c>
      <c r="C309" s="2">
        <v>506896</v>
      </c>
      <c r="D309" s="2" t="s">
        <v>4385</v>
      </c>
      <c r="F309" s="2" t="s">
        <v>2361</v>
      </c>
      <c r="G309" s="2" t="s">
        <v>3249</v>
      </c>
      <c r="H309" s="2" t="s">
        <v>4394</v>
      </c>
      <c r="I309" s="35">
        <v>44549</v>
      </c>
      <c r="J309" s="38">
        <v>28</v>
      </c>
      <c r="K309" s="39">
        <v>5.84</v>
      </c>
    </row>
    <row r="310" spans="2:11" ht="15" customHeight="1">
      <c r="B310" s="2">
        <v>4500458531</v>
      </c>
      <c r="C310" s="2">
        <v>506896</v>
      </c>
      <c r="D310" s="2" t="s">
        <v>4385</v>
      </c>
      <c r="F310" s="2" t="s">
        <v>2361</v>
      </c>
      <c r="G310" s="2" t="s">
        <v>3249</v>
      </c>
      <c r="H310" s="2" t="s">
        <v>4393</v>
      </c>
      <c r="I310" s="35">
        <v>44549</v>
      </c>
      <c r="J310" s="38">
        <v>104</v>
      </c>
      <c r="K310" s="39">
        <v>5.84</v>
      </c>
    </row>
    <row r="311" spans="2:11" ht="15" customHeight="1">
      <c r="B311" s="2">
        <v>4500458531</v>
      </c>
      <c r="C311" s="2">
        <v>506896</v>
      </c>
      <c r="D311" s="2" t="s">
        <v>4385</v>
      </c>
      <c r="F311" s="2" t="s">
        <v>2361</v>
      </c>
      <c r="G311" s="2" t="s">
        <v>3249</v>
      </c>
      <c r="H311" s="2" t="s">
        <v>4392</v>
      </c>
      <c r="I311" s="35">
        <v>44549</v>
      </c>
      <c r="J311" s="38">
        <v>132</v>
      </c>
      <c r="K311" s="39">
        <v>5.84</v>
      </c>
    </row>
    <row r="312" spans="2:11" ht="15" customHeight="1">
      <c r="B312" s="2">
        <v>4500458531</v>
      </c>
      <c r="C312" s="2">
        <v>506896</v>
      </c>
      <c r="D312" s="2" t="s">
        <v>4385</v>
      </c>
      <c r="F312" s="2" t="s">
        <v>2361</v>
      </c>
      <c r="G312" s="2" t="s">
        <v>3249</v>
      </c>
      <c r="H312" s="2" t="s">
        <v>4395</v>
      </c>
      <c r="I312" s="35">
        <v>44549</v>
      </c>
      <c r="J312" s="38">
        <v>89</v>
      </c>
      <c r="K312" s="39">
        <v>5.84</v>
      </c>
    </row>
    <row r="313" spans="2:11" ht="15" customHeight="1">
      <c r="B313" s="2">
        <v>4500458531</v>
      </c>
      <c r="C313" s="2">
        <v>506896</v>
      </c>
      <c r="D313" s="2" t="s">
        <v>4385</v>
      </c>
      <c r="F313" s="2" t="s">
        <v>2361</v>
      </c>
      <c r="G313" s="2" t="s">
        <v>3249</v>
      </c>
      <c r="H313" s="2" t="s">
        <v>3224</v>
      </c>
      <c r="I313" s="35">
        <v>44549</v>
      </c>
      <c r="J313" s="38">
        <v>42</v>
      </c>
      <c r="K313" s="39">
        <v>5.84</v>
      </c>
    </row>
    <row r="314" spans="2:11" ht="15" customHeight="1">
      <c r="B314" s="2">
        <v>4500458531</v>
      </c>
      <c r="C314" s="2">
        <v>506896</v>
      </c>
      <c r="D314" s="2" t="s">
        <v>4385</v>
      </c>
      <c r="F314" s="2" t="s">
        <v>2361</v>
      </c>
      <c r="G314" s="2" t="s">
        <v>3250</v>
      </c>
      <c r="H314" s="2" t="s">
        <v>4394</v>
      </c>
      <c r="I314" s="35">
        <v>44549</v>
      </c>
      <c r="J314" s="38">
        <v>32</v>
      </c>
      <c r="K314" s="39">
        <v>6.9</v>
      </c>
    </row>
    <row r="315" spans="2:11" ht="15" customHeight="1">
      <c r="B315" s="2">
        <v>4500458531</v>
      </c>
      <c r="C315" s="2">
        <v>506896</v>
      </c>
      <c r="D315" s="2" t="s">
        <v>4385</v>
      </c>
      <c r="F315" s="2" t="s">
        <v>2361</v>
      </c>
      <c r="G315" s="2" t="s">
        <v>3250</v>
      </c>
      <c r="H315" s="2" t="s">
        <v>4393</v>
      </c>
      <c r="I315" s="35">
        <v>44549</v>
      </c>
      <c r="J315" s="38">
        <v>118</v>
      </c>
      <c r="K315" s="39">
        <v>6.9</v>
      </c>
    </row>
    <row r="316" spans="2:11" ht="15" customHeight="1">
      <c r="B316" s="2">
        <v>4500458531</v>
      </c>
      <c r="C316" s="2">
        <v>506896</v>
      </c>
      <c r="D316" s="2" t="s">
        <v>4385</v>
      </c>
      <c r="F316" s="2" t="s">
        <v>2361</v>
      </c>
      <c r="G316" s="2" t="s">
        <v>3250</v>
      </c>
      <c r="H316" s="2" t="s">
        <v>4392</v>
      </c>
      <c r="I316" s="35">
        <v>44549</v>
      </c>
      <c r="J316" s="38">
        <v>150</v>
      </c>
      <c r="K316" s="39">
        <v>6.9</v>
      </c>
    </row>
    <row r="317" spans="2:11" ht="15" customHeight="1">
      <c r="B317" s="2">
        <v>4500458531</v>
      </c>
      <c r="C317" s="2">
        <v>506896</v>
      </c>
      <c r="D317" s="2" t="s">
        <v>4385</v>
      </c>
      <c r="F317" s="2" t="s">
        <v>2361</v>
      </c>
      <c r="G317" s="2" t="s">
        <v>3250</v>
      </c>
      <c r="H317" s="2" t="s">
        <v>4395</v>
      </c>
      <c r="I317" s="35">
        <v>44549</v>
      </c>
      <c r="J317" s="38">
        <v>101</v>
      </c>
      <c r="K317" s="39">
        <v>6.9</v>
      </c>
    </row>
    <row r="318" spans="2:11" ht="15" customHeight="1">
      <c r="B318" s="2">
        <v>4500458531</v>
      </c>
      <c r="C318" s="2">
        <v>506896</v>
      </c>
      <c r="D318" s="2" t="s">
        <v>4385</v>
      </c>
      <c r="F318" s="2" t="s">
        <v>2361</v>
      </c>
      <c r="G318" s="2" t="s">
        <v>3250</v>
      </c>
      <c r="H318" s="2" t="s">
        <v>3224</v>
      </c>
      <c r="I318" s="35">
        <v>44549</v>
      </c>
      <c r="J318" s="38">
        <v>48</v>
      </c>
      <c r="K318" s="39">
        <v>6.9</v>
      </c>
    </row>
    <row r="319" spans="2:11" ht="15" customHeight="1">
      <c r="B319" s="2">
        <v>4500458531</v>
      </c>
      <c r="C319" s="2">
        <v>506896</v>
      </c>
      <c r="D319" s="2" t="s">
        <v>4385</v>
      </c>
      <c r="F319" s="2" t="s">
        <v>2361</v>
      </c>
      <c r="G319" s="2" t="s">
        <v>3252</v>
      </c>
      <c r="H319" s="2" t="s">
        <v>4394</v>
      </c>
      <c r="I319" s="35">
        <v>44549</v>
      </c>
      <c r="J319" s="38">
        <v>40</v>
      </c>
      <c r="K319" s="39">
        <v>5.6</v>
      </c>
    </row>
    <row r="320" spans="2:11" ht="15" customHeight="1">
      <c r="B320" s="2">
        <v>4500458531</v>
      </c>
      <c r="C320" s="2">
        <v>506896</v>
      </c>
      <c r="D320" s="2" t="s">
        <v>4385</v>
      </c>
      <c r="F320" s="2" t="s">
        <v>2361</v>
      </c>
      <c r="G320" s="2" t="s">
        <v>3252</v>
      </c>
      <c r="H320" s="2" t="s">
        <v>4393</v>
      </c>
      <c r="I320" s="35">
        <v>44549</v>
      </c>
      <c r="J320" s="38">
        <v>147</v>
      </c>
      <c r="K320" s="39">
        <v>5.6</v>
      </c>
    </row>
    <row r="321" spans="2:11" ht="15" customHeight="1">
      <c r="B321" s="2">
        <v>4500458531</v>
      </c>
      <c r="C321" s="2">
        <v>506896</v>
      </c>
      <c r="D321" s="2" t="s">
        <v>4385</v>
      </c>
      <c r="F321" s="2" t="s">
        <v>2361</v>
      </c>
      <c r="G321" s="2" t="s">
        <v>3252</v>
      </c>
      <c r="H321" s="2" t="s">
        <v>4392</v>
      </c>
      <c r="I321" s="35">
        <v>44549</v>
      </c>
      <c r="J321" s="38">
        <v>186</v>
      </c>
      <c r="K321" s="39">
        <v>5.6</v>
      </c>
    </row>
    <row r="322" spans="2:11" ht="15" customHeight="1">
      <c r="B322" s="2">
        <v>4500458531</v>
      </c>
      <c r="C322" s="2">
        <v>506896</v>
      </c>
      <c r="D322" s="2" t="s">
        <v>4385</v>
      </c>
      <c r="F322" s="2" t="s">
        <v>2361</v>
      </c>
      <c r="G322" s="2" t="s">
        <v>3252</v>
      </c>
      <c r="H322" s="2" t="s">
        <v>4395</v>
      </c>
      <c r="I322" s="35">
        <v>44549</v>
      </c>
      <c r="J322" s="38">
        <v>125</v>
      </c>
      <c r="K322" s="39">
        <v>5.6</v>
      </c>
    </row>
    <row r="323" spans="2:11" ht="15" customHeight="1">
      <c r="B323" s="2">
        <v>4500458531</v>
      </c>
      <c r="C323" s="2">
        <v>506896</v>
      </c>
      <c r="D323" s="2" t="s">
        <v>4385</v>
      </c>
      <c r="F323" s="2" t="s">
        <v>2361</v>
      </c>
      <c r="G323" s="2" t="s">
        <v>3252</v>
      </c>
      <c r="H323" s="2" t="s">
        <v>3224</v>
      </c>
      <c r="I323" s="35">
        <v>44549</v>
      </c>
      <c r="J323" s="38">
        <v>60</v>
      </c>
      <c r="K323" s="39">
        <v>5.6</v>
      </c>
    </row>
    <row r="324" spans="2:11" ht="15" customHeight="1">
      <c r="B324" s="2">
        <v>4500458531</v>
      </c>
      <c r="C324" s="2">
        <v>506896</v>
      </c>
      <c r="D324" s="2" t="s">
        <v>4385</v>
      </c>
      <c r="F324" s="2" t="s">
        <v>2361</v>
      </c>
      <c r="G324" s="2" t="s">
        <v>4387</v>
      </c>
      <c r="H324" s="2" t="s">
        <v>4394</v>
      </c>
      <c r="I324" s="35">
        <v>44549</v>
      </c>
      <c r="J324" s="38">
        <v>28</v>
      </c>
      <c r="K324" s="39">
        <v>5.84</v>
      </c>
    </row>
    <row r="325" spans="2:11" ht="15" customHeight="1">
      <c r="B325" s="2">
        <v>4500458531</v>
      </c>
      <c r="C325" s="2">
        <v>506896</v>
      </c>
      <c r="D325" s="2" t="s">
        <v>4385</v>
      </c>
      <c r="F325" s="2" t="s">
        <v>2361</v>
      </c>
      <c r="G325" s="2" t="s">
        <v>4387</v>
      </c>
      <c r="H325" s="2" t="s">
        <v>4393</v>
      </c>
      <c r="I325" s="35">
        <v>44549</v>
      </c>
      <c r="J325" s="38">
        <v>104</v>
      </c>
      <c r="K325" s="39">
        <v>5.84</v>
      </c>
    </row>
    <row r="326" spans="2:11" ht="15" customHeight="1">
      <c r="B326" s="2">
        <v>4500458531</v>
      </c>
      <c r="C326" s="2">
        <v>506896</v>
      </c>
      <c r="D326" s="2" t="s">
        <v>4385</v>
      </c>
      <c r="F326" s="2" t="s">
        <v>2361</v>
      </c>
      <c r="G326" s="2" t="s">
        <v>4387</v>
      </c>
      <c r="H326" s="2" t="s">
        <v>4392</v>
      </c>
      <c r="I326" s="35">
        <v>44549</v>
      </c>
      <c r="J326" s="38">
        <v>132</v>
      </c>
      <c r="K326" s="39">
        <v>5.84</v>
      </c>
    </row>
    <row r="327" spans="2:11" ht="15" customHeight="1">
      <c r="B327" s="2">
        <v>4500458531</v>
      </c>
      <c r="C327" s="2">
        <v>506896</v>
      </c>
      <c r="D327" s="2" t="s">
        <v>4385</v>
      </c>
      <c r="F327" s="2" t="s">
        <v>2361</v>
      </c>
      <c r="G327" s="2" t="s">
        <v>4387</v>
      </c>
      <c r="H327" s="2" t="s">
        <v>4395</v>
      </c>
      <c r="I327" s="35">
        <v>44549</v>
      </c>
      <c r="J327" s="38">
        <v>89</v>
      </c>
      <c r="K327" s="39">
        <v>5.84</v>
      </c>
    </row>
    <row r="328" spans="2:11" ht="15" customHeight="1">
      <c r="B328" s="2">
        <v>4500458531</v>
      </c>
      <c r="C328" s="2">
        <v>506896</v>
      </c>
      <c r="D328" s="2" t="s">
        <v>4385</v>
      </c>
      <c r="F328" s="2" t="s">
        <v>2361</v>
      </c>
      <c r="G328" s="2" t="s">
        <v>4387</v>
      </c>
      <c r="H328" s="2" t="s">
        <v>3224</v>
      </c>
      <c r="I328" s="35">
        <v>44549</v>
      </c>
      <c r="J328" s="38">
        <v>42</v>
      </c>
      <c r="K328" s="39">
        <v>5.84</v>
      </c>
    </row>
    <row r="329" spans="2:11" ht="15" customHeight="1">
      <c r="B329" s="2">
        <v>4500458531</v>
      </c>
      <c r="C329" s="2">
        <v>507209</v>
      </c>
      <c r="D329" s="2" t="s">
        <v>4385</v>
      </c>
      <c r="F329" s="2" t="s">
        <v>2361</v>
      </c>
      <c r="G329" s="2" t="s">
        <v>3265</v>
      </c>
      <c r="H329" s="2" t="s">
        <v>4394</v>
      </c>
      <c r="I329" s="35">
        <v>44549</v>
      </c>
      <c r="J329" s="38">
        <v>16</v>
      </c>
      <c r="K329" s="39">
        <v>6.45</v>
      </c>
    </row>
    <row r="330" spans="2:11" ht="15" customHeight="1">
      <c r="B330" s="2">
        <v>4500458531</v>
      </c>
      <c r="C330" s="2">
        <v>507209</v>
      </c>
      <c r="D330" s="2" t="s">
        <v>4385</v>
      </c>
      <c r="F330" s="2" t="s">
        <v>2361</v>
      </c>
      <c r="G330" s="2" t="s">
        <v>3265</v>
      </c>
      <c r="H330" s="2" t="s">
        <v>4393</v>
      </c>
      <c r="I330" s="35">
        <v>44549</v>
      </c>
      <c r="J330" s="38">
        <v>60</v>
      </c>
      <c r="K330" s="39">
        <v>6.45</v>
      </c>
    </row>
    <row r="331" spans="2:11" ht="15" customHeight="1">
      <c r="B331" s="2">
        <v>4500458531</v>
      </c>
      <c r="C331" s="2">
        <v>507209</v>
      </c>
      <c r="D331" s="2" t="s">
        <v>4385</v>
      </c>
      <c r="F331" s="2" t="s">
        <v>2361</v>
      </c>
      <c r="G331" s="2" t="s">
        <v>3265</v>
      </c>
      <c r="H331" s="2" t="s">
        <v>4392</v>
      </c>
      <c r="I331" s="35">
        <v>44549</v>
      </c>
      <c r="J331" s="38">
        <v>77</v>
      </c>
      <c r="K331" s="39">
        <v>6.45</v>
      </c>
    </row>
    <row r="332" spans="2:11" ht="15" customHeight="1">
      <c r="B332" s="2">
        <v>4500458531</v>
      </c>
      <c r="C332" s="2">
        <v>507209</v>
      </c>
      <c r="D332" s="2" t="s">
        <v>4385</v>
      </c>
      <c r="F332" s="2" t="s">
        <v>2361</v>
      </c>
      <c r="G332" s="2" t="s">
        <v>3265</v>
      </c>
      <c r="H332" s="2" t="s">
        <v>4395</v>
      </c>
      <c r="I332" s="35">
        <v>44549</v>
      </c>
      <c r="J332" s="38">
        <v>52</v>
      </c>
      <c r="K332" s="39">
        <v>6.45</v>
      </c>
    </row>
    <row r="333" spans="2:11" ht="15" customHeight="1">
      <c r="B333" s="2">
        <v>4500458531</v>
      </c>
      <c r="C333" s="2">
        <v>507209</v>
      </c>
      <c r="D333" s="2" t="s">
        <v>4385</v>
      </c>
      <c r="F333" s="2" t="s">
        <v>2361</v>
      </c>
      <c r="G333" s="2" t="s">
        <v>3265</v>
      </c>
      <c r="H333" s="2" t="s">
        <v>3224</v>
      </c>
      <c r="I333" s="35">
        <v>44549</v>
      </c>
      <c r="J333" s="38">
        <v>25</v>
      </c>
      <c r="K333" s="39">
        <v>6.45</v>
      </c>
    </row>
    <row r="334" spans="2:11" ht="15" customHeight="1">
      <c r="B334" s="2">
        <v>4500458531</v>
      </c>
      <c r="C334" s="2">
        <v>507209</v>
      </c>
      <c r="D334" s="2" t="s">
        <v>4385</v>
      </c>
      <c r="F334" s="2" t="s">
        <v>2361</v>
      </c>
      <c r="G334" s="2" t="s">
        <v>3255</v>
      </c>
      <c r="H334" s="2" t="s">
        <v>4394</v>
      </c>
      <c r="I334" s="35">
        <v>44549</v>
      </c>
      <c r="J334" s="38">
        <v>16</v>
      </c>
      <c r="K334" s="39">
        <v>5.82</v>
      </c>
    </row>
    <row r="335" spans="2:11" ht="15" customHeight="1">
      <c r="B335" s="2">
        <v>4500458531</v>
      </c>
      <c r="C335" s="2">
        <v>507209</v>
      </c>
      <c r="D335" s="2" t="s">
        <v>4385</v>
      </c>
      <c r="F335" s="2" t="s">
        <v>2361</v>
      </c>
      <c r="G335" s="2" t="s">
        <v>3255</v>
      </c>
      <c r="H335" s="2" t="s">
        <v>4393</v>
      </c>
      <c r="I335" s="35">
        <v>44549</v>
      </c>
      <c r="J335" s="38">
        <v>57</v>
      </c>
      <c r="K335" s="39">
        <v>5.82</v>
      </c>
    </row>
    <row r="336" spans="2:11" ht="15" customHeight="1">
      <c r="B336" s="2">
        <v>4500458531</v>
      </c>
      <c r="C336" s="2">
        <v>507209</v>
      </c>
      <c r="D336" s="2" t="s">
        <v>4385</v>
      </c>
      <c r="F336" s="2" t="s">
        <v>2361</v>
      </c>
      <c r="G336" s="2" t="s">
        <v>3255</v>
      </c>
      <c r="H336" s="2" t="s">
        <v>4392</v>
      </c>
      <c r="I336" s="35">
        <v>44549</v>
      </c>
      <c r="J336" s="38">
        <v>73</v>
      </c>
      <c r="K336" s="39">
        <v>5.82</v>
      </c>
    </row>
    <row r="337" spans="2:11" ht="15" customHeight="1">
      <c r="B337" s="2">
        <v>4500458531</v>
      </c>
      <c r="C337" s="2">
        <v>507209</v>
      </c>
      <c r="D337" s="2" t="s">
        <v>4385</v>
      </c>
      <c r="F337" s="2" t="s">
        <v>2361</v>
      </c>
      <c r="G337" s="2" t="s">
        <v>3255</v>
      </c>
      <c r="H337" s="2" t="s">
        <v>4395</v>
      </c>
      <c r="I337" s="35">
        <v>44549</v>
      </c>
      <c r="J337" s="38">
        <v>49</v>
      </c>
      <c r="K337" s="39">
        <v>5.82</v>
      </c>
    </row>
    <row r="338" spans="2:11" ht="15" customHeight="1">
      <c r="B338" s="2">
        <v>4500458531</v>
      </c>
      <c r="C338" s="2">
        <v>507209</v>
      </c>
      <c r="D338" s="2" t="s">
        <v>4385</v>
      </c>
      <c r="F338" s="2" t="s">
        <v>2361</v>
      </c>
      <c r="G338" s="2" t="s">
        <v>3255</v>
      </c>
      <c r="H338" s="2" t="s">
        <v>3224</v>
      </c>
      <c r="I338" s="35">
        <v>44549</v>
      </c>
      <c r="J338" s="38">
        <v>23</v>
      </c>
      <c r="K338" s="39">
        <v>5.82</v>
      </c>
    </row>
    <row r="339" spans="2:11" ht="15" customHeight="1">
      <c r="B339" s="2">
        <v>4500458531</v>
      </c>
      <c r="C339" s="2">
        <v>507209</v>
      </c>
      <c r="D339" s="2" t="s">
        <v>4385</v>
      </c>
      <c r="F339" s="2" t="s">
        <v>2361</v>
      </c>
      <c r="G339" s="2" t="s">
        <v>3257</v>
      </c>
      <c r="H339" s="2" t="s">
        <v>4394</v>
      </c>
      <c r="I339" s="35">
        <v>44549</v>
      </c>
      <c r="J339" s="38">
        <v>10</v>
      </c>
      <c r="K339" s="39">
        <v>5.9</v>
      </c>
    </row>
    <row r="340" spans="2:11" ht="15" customHeight="1">
      <c r="B340" s="2">
        <v>4500458531</v>
      </c>
      <c r="C340" s="2">
        <v>507209</v>
      </c>
      <c r="D340" s="2" t="s">
        <v>4385</v>
      </c>
      <c r="F340" s="2" t="s">
        <v>2361</v>
      </c>
      <c r="G340" s="2" t="s">
        <v>3257</v>
      </c>
      <c r="H340" s="2" t="s">
        <v>4393</v>
      </c>
      <c r="I340" s="35">
        <v>44549</v>
      </c>
      <c r="J340" s="38">
        <v>36</v>
      </c>
      <c r="K340" s="39">
        <v>5.9</v>
      </c>
    </row>
    <row r="341" spans="2:11" ht="15" customHeight="1">
      <c r="B341" s="2">
        <v>4500458531</v>
      </c>
      <c r="C341" s="2">
        <v>507209</v>
      </c>
      <c r="D341" s="2" t="s">
        <v>4385</v>
      </c>
      <c r="F341" s="2" t="s">
        <v>2361</v>
      </c>
      <c r="G341" s="2" t="s">
        <v>3257</v>
      </c>
      <c r="H341" s="2" t="s">
        <v>4392</v>
      </c>
      <c r="I341" s="35">
        <v>44549</v>
      </c>
      <c r="J341" s="38">
        <v>46</v>
      </c>
      <c r="K341" s="39">
        <v>5.9</v>
      </c>
    </row>
    <row r="342" spans="2:11" ht="15" customHeight="1">
      <c r="B342" s="2">
        <v>4500458531</v>
      </c>
      <c r="C342" s="2">
        <v>507209</v>
      </c>
      <c r="D342" s="2" t="s">
        <v>4385</v>
      </c>
      <c r="F342" s="2" t="s">
        <v>2361</v>
      </c>
      <c r="G342" s="2" t="s">
        <v>3257</v>
      </c>
      <c r="H342" s="2" t="s">
        <v>4395</v>
      </c>
      <c r="I342" s="35">
        <v>44549</v>
      </c>
      <c r="J342" s="38">
        <v>31</v>
      </c>
      <c r="K342" s="39">
        <v>5.9</v>
      </c>
    </row>
    <row r="343" spans="2:11" ht="15" customHeight="1">
      <c r="B343" s="2">
        <v>4500458531</v>
      </c>
      <c r="C343" s="2">
        <v>507209</v>
      </c>
      <c r="D343" s="2" t="s">
        <v>4385</v>
      </c>
      <c r="F343" s="2" t="s">
        <v>2361</v>
      </c>
      <c r="G343" s="2" t="s">
        <v>3257</v>
      </c>
      <c r="H343" s="2" t="s">
        <v>3224</v>
      </c>
      <c r="I343" s="35">
        <v>44549</v>
      </c>
      <c r="J343" s="38">
        <v>15</v>
      </c>
      <c r="K343" s="39">
        <v>5.9</v>
      </c>
    </row>
    <row r="344" spans="2:11" ht="15" customHeight="1">
      <c r="B344" s="2">
        <v>4500458531</v>
      </c>
      <c r="C344" s="2">
        <v>507209</v>
      </c>
      <c r="D344" s="2" t="s">
        <v>4385</v>
      </c>
      <c r="F344" s="2" t="s">
        <v>2361</v>
      </c>
      <c r="G344" s="2" t="s">
        <v>4396</v>
      </c>
      <c r="H344" s="2" t="s">
        <v>4394</v>
      </c>
      <c r="I344" s="35">
        <v>44549</v>
      </c>
      <c r="J344" s="38">
        <v>14</v>
      </c>
      <c r="K344" s="39">
        <v>5.95</v>
      </c>
    </row>
    <row r="345" spans="2:11" ht="15" customHeight="1">
      <c r="B345" s="2">
        <v>4500458531</v>
      </c>
      <c r="C345" s="2">
        <v>507209</v>
      </c>
      <c r="D345" s="2" t="s">
        <v>4385</v>
      </c>
      <c r="F345" s="2" t="s">
        <v>2361</v>
      </c>
      <c r="G345" s="2" t="s">
        <v>4396</v>
      </c>
      <c r="H345" s="2" t="s">
        <v>4393</v>
      </c>
      <c r="I345" s="35">
        <v>44549</v>
      </c>
      <c r="J345" s="38">
        <v>51</v>
      </c>
      <c r="K345" s="39">
        <v>5.95</v>
      </c>
    </row>
    <row r="346" spans="2:11" ht="15" customHeight="1">
      <c r="B346" s="2">
        <v>4500458531</v>
      </c>
      <c r="C346" s="2">
        <v>507209</v>
      </c>
      <c r="D346" s="2" t="s">
        <v>4385</v>
      </c>
      <c r="F346" s="2" t="s">
        <v>2361</v>
      </c>
      <c r="G346" s="2" t="s">
        <v>4396</v>
      </c>
      <c r="H346" s="2" t="s">
        <v>4392</v>
      </c>
      <c r="I346" s="35">
        <v>44549</v>
      </c>
      <c r="J346" s="38">
        <v>65</v>
      </c>
      <c r="K346" s="39">
        <v>5.95</v>
      </c>
    </row>
    <row r="347" spans="2:11" ht="15" customHeight="1">
      <c r="B347" s="2">
        <v>4500458531</v>
      </c>
      <c r="C347" s="2">
        <v>507209</v>
      </c>
      <c r="D347" s="2" t="s">
        <v>4385</v>
      </c>
      <c r="F347" s="2" t="s">
        <v>2361</v>
      </c>
      <c r="G347" s="2" t="s">
        <v>4396</v>
      </c>
      <c r="H347" s="2" t="s">
        <v>4395</v>
      </c>
      <c r="I347" s="35">
        <v>44549</v>
      </c>
      <c r="J347" s="38">
        <v>44</v>
      </c>
      <c r="K347" s="39">
        <v>5.95</v>
      </c>
    </row>
    <row r="348" spans="2:11" ht="15" customHeight="1">
      <c r="B348" s="2">
        <v>4500458531</v>
      </c>
      <c r="C348" s="2">
        <v>507209</v>
      </c>
      <c r="D348" s="2" t="s">
        <v>4385</v>
      </c>
      <c r="F348" s="2" t="s">
        <v>2361</v>
      </c>
      <c r="G348" s="2" t="s">
        <v>4396</v>
      </c>
      <c r="H348" s="2" t="s">
        <v>3224</v>
      </c>
      <c r="I348" s="35">
        <v>44549</v>
      </c>
      <c r="J348" s="38">
        <v>21</v>
      </c>
      <c r="K348" s="39">
        <v>5.95</v>
      </c>
    </row>
    <row r="349" spans="2:11" ht="15" customHeight="1">
      <c r="B349" s="2">
        <v>4500458531</v>
      </c>
      <c r="C349" s="2">
        <v>507209</v>
      </c>
      <c r="D349" s="2" t="s">
        <v>4385</v>
      </c>
      <c r="F349" s="2" t="s">
        <v>2361</v>
      </c>
      <c r="G349" s="2" t="s">
        <v>4397</v>
      </c>
      <c r="H349" s="2" t="s">
        <v>4394</v>
      </c>
      <c r="I349" s="35">
        <v>44549</v>
      </c>
      <c r="J349" s="38">
        <v>11</v>
      </c>
      <c r="K349" s="39">
        <v>5.82</v>
      </c>
    </row>
    <row r="350" spans="2:11" ht="15" customHeight="1">
      <c r="B350" s="2">
        <v>4500458531</v>
      </c>
      <c r="C350" s="2">
        <v>507209</v>
      </c>
      <c r="D350" s="2" t="s">
        <v>4385</v>
      </c>
      <c r="F350" s="2" t="s">
        <v>2361</v>
      </c>
      <c r="G350" s="2" t="s">
        <v>4397</v>
      </c>
      <c r="H350" s="2" t="s">
        <v>4393</v>
      </c>
      <c r="I350" s="35">
        <v>44549</v>
      </c>
      <c r="J350" s="38">
        <v>39</v>
      </c>
      <c r="K350" s="39">
        <v>5.82</v>
      </c>
    </row>
    <row r="351" spans="2:11" ht="15" customHeight="1">
      <c r="B351" s="2">
        <v>4500458531</v>
      </c>
      <c r="C351" s="2">
        <v>507209</v>
      </c>
      <c r="D351" s="2" t="s">
        <v>4385</v>
      </c>
      <c r="F351" s="2" t="s">
        <v>2361</v>
      </c>
      <c r="G351" s="2" t="s">
        <v>4397</v>
      </c>
      <c r="H351" s="2" t="s">
        <v>4392</v>
      </c>
      <c r="I351" s="35">
        <v>44549</v>
      </c>
      <c r="J351" s="38">
        <v>50</v>
      </c>
      <c r="K351" s="39">
        <v>5.82</v>
      </c>
    </row>
    <row r="352" spans="2:11" ht="15" customHeight="1">
      <c r="B352" s="2">
        <v>4500458531</v>
      </c>
      <c r="C352" s="2">
        <v>507209</v>
      </c>
      <c r="D352" s="2" t="s">
        <v>4385</v>
      </c>
      <c r="F352" s="2" t="s">
        <v>2361</v>
      </c>
      <c r="G352" s="2" t="s">
        <v>4397</v>
      </c>
      <c r="H352" s="2" t="s">
        <v>4395</v>
      </c>
      <c r="I352" s="35">
        <v>44549</v>
      </c>
      <c r="J352" s="38">
        <v>34</v>
      </c>
      <c r="K352" s="39">
        <v>5.82</v>
      </c>
    </row>
    <row r="353" spans="2:11" ht="15" customHeight="1">
      <c r="B353" s="2">
        <v>4500458531</v>
      </c>
      <c r="C353" s="2">
        <v>507209</v>
      </c>
      <c r="D353" s="2" t="s">
        <v>4385</v>
      </c>
      <c r="F353" s="2" t="s">
        <v>2361</v>
      </c>
      <c r="G353" s="2" t="s">
        <v>4397</v>
      </c>
      <c r="H353" s="2" t="s">
        <v>3224</v>
      </c>
      <c r="I353" s="35">
        <v>44549</v>
      </c>
      <c r="J353" s="38">
        <v>16</v>
      </c>
      <c r="K353" s="39">
        <v>5.82</v>
      </c>
    </row>
    <row r="354" spans="2:11" ht="15" customHeight="1">
      <c r="B354" s="2">
        <v>4500458531</v>
      </c>
      <c r="C354" s="2">
        <v>507209</v>
      </c>
      <c r="D354" s="2" t="s">
        <v>4385</v>
      </c>
      <c r="F354" s="2" t="s">
        <v>2361</v>
      </c>
      <c r="G354" s="2" t="s">
        <v>3256</v>
      </c>
      <c r="H354" s="2" t="s">
        <v>4394</v>
      </c>
      <c r="I354" s="35">
        <v>44549</v>
      </c>
      <c r="J354" s="38">
        <v>16</v>
      </c>
      <c r="K354" s="39">
        <v>5.9</v>
      </c>
    </row>
    <row r="355" spans="2:11" ht="15" customHeight="1">
      <c r="B355" s="2">
        <v>4500458531</v>
      </c>
      <c r="C355" s="2">
        <v>507209</v>
      </c>
      <c r="D355" s="2" t="s">
        <v>4385</v>
      </c>
      <c r="F355" s="2" t="s">
        <v>2361</v>
      </c>
      <c r="G355" s="2" t="s">
        <v>3256</v>
      </c>
      <c r="H355" s="2" t="s">
        <v>4393</v>
      </c>
      <c r="I355" s="35">
        <v>44549</v>
      </c>
      <c r="J355" s="38">
        <v>57</v>
      </c>
      <c r="K355" s="39">
        <v>5.9</v>
      </c>
    </row>
    <row r="356" spans="2:11" ht="15" customHeight="1">
      <c r="B356" s="2">
        <v>4500458531</v>
      </c>
      <c r="C356" s="2">
        <v>507209</v>
      </c>
      <c r="D356" s="2" t="s">
        <v>4385</v>
      </c>
      <c r="F356" s="2" t="s">
        <v>2361</v>
      </c>
      <c r="G356" s="2" t="s">
        <v>3256</v>
      </c>
      <c r="H356" s="2" t="s">
        <v>4392</v>
      </c>
      <c r="I356" s="35">
        <v>44549</v>
      </c>
      <c r="J356" s="38">
        <v>73</v>
      </c>
      <c r="K356" s="39">
        <v>5.9</v>
      </c>
    </row>
    <row r="357" spans="2:11" ht="15" customHeight="1">
      <c r="B357" s="2">
        <v>4500458531</v>
      </c>
      <c r="C357" s="2">
        <v>507209</v>
      </c>
      <c r="D357" s="2" t="s">
        <v>4385</v>
      </c>
      <c r="F357" s="2" t="s">
        <v>2361</v>
      </c>
      <c r="G357" s="2" t="s">
        <v>3256</v>
      </c>
      <c r="H357" s="2" t="s">
        <v>4395</v>
      </c>
      <c r="I357" s="35">
        <v>44549</v>
      </c>
      <c r="J357" s="38">
        <v>49</v>
      </c>
      <c r="K357" s="39">
        <v>5.9</v>
      </c>
    </row>
    <row r="358" spans="2:11" ht="15" customHeight="1">
      <c r="B358" s="2">
        <v>4500458531</v>
      </c>
      <c r="C358" s="2">
        <v>507209</v>
      </c>
      <c r="D358" s="2" t="s">
        <v>4385</v>
      </c>
      <c r="F358" s="2" t="s">
        <v>2361</v>
      </c>
      <c r="G358" s="2" t="s">
        <v>3256</v>
      </c>
      <c r="H358" s="2" t="s">
        <v>3224</v>
      </c>
      <c r="I358" s="35">
        <v>44549</v>
      </c>
      <c r="J358" s="38">
        <v>23</v>
      </c>
      <c r="K358" s="39">
        <v>5.9</v>
      </c>
    </row>
    <row r="359" spans="2:11" ht="15" customHeight="1">
      <c r="B359" s="2">
        <v>4500458532</v>
      </c>
      <c r="C359" s="2">
        <v>506896</v>
      </c>
      <c r="D359" s="2" t="s">
        <v>4385</v>
      </c>
      <c r="F359" s="2" t="s">
        <v>2361</v>
      </c>
      <c r="G359" s="2" t="s">
        <v>3249</v>
      </c>
      <c r="H359" s="2" t="s">
        <v>4394</v>
      </c>
      <c r="I359" s="35">
        <v>44585</v>
      </c>
      <c r="J359" s="38">
        <v>28</v>
      </c>
      <c r="K359" s="39">
        <v>5.84</v>
      </c>
    </row>
    <row r="360" spans="2:11" ht="15" customHeight="1">
      <c r="B360" s="2">
        <v>4500458532</v>
      </c>
      <c r="C360" s="2">
        <v>506896</v>
      </c>
      <c r="D360" s="2" t="s">
        <v>4385</v>
      </c>
      <c r="F360" s="2" t="s">
        <v>2361</v>
      </c>
      <c r="G360" s="2" t="s">
        <v>3249</v>
      </c>
      <c r="H360" s="2" t="s">
        <v>4393</v>
      </c>
      <c r="I360" s="35">
        <v>44585</v>
      </c>
      <c r="J360" s="38">
        <v>104</v>
      </c>
      <c r="K360" s="39">
        <v>5.84</v>
      </c>
    </row>
    <row r="361" spans="2:11" ht="15" customHeight="1">
      <c r="B361" s="2">
        <v>4500458532</v>
      </c>
      <c r="C361" s="2">
        <v>506896</v>
      </c>
      <c r="D361" s="2" t="s">
        <v>4385</v>
      </c>
      <c r="F361" s="2" t="s">
        <v>2361</v>
      </c>
      <c r="G361" s="2" t="s">
        <v>3249</v>
      </c>
      <c r="H361" s="2" t="s">
        <v>4392</v>
      </c>
      <c r="I361" s="35">
        <v>44585</v>
      </c>
      <c r="J361" s="38">
        <v>132</v>
      </c>
      <c r="K361" s="39">
        <v>5.84</v>
      </c>
    </row>
    <row r="362" spans="2:11" ht="15" customHeight="1">
      <c r="B362" s="2">
        <v>4500458532</v>
      </c>
      <c r="C362" s="2">
        <v>506896</v>
      </c>
      <c r="D362" s="2" t="s">
        <v>4385</v>
      </c>
      <c r="F362" s="2" t="s">
        <v>2361</v>
      </c>
      <c r="G362" s="2" t="s">
        <v>3249</v>
      </c>
      <c r="H362" s="2" t="s">
        <v>4395</v>
      </c>
      <c r="I362" s="35">
        <v>44585</v>
      </c>
      <c r="J362" s="38">
        <v>89</v>
      </c>
      <c r="K362" s="39">
        <v>5.84</v>
      </c>
    </row>
    <row r="363" spans="2:11" ht="15" customHeight="1">
      <c r="B363" s="2">
        <v>4500458532</v>
      </c>
      <c r="C363" s="2">
        <v>506896</v>
      </c>
      <c r="D363" s="2" t="s">
        <v>4385</v>
      </c>
      <c r="F363" s="2" t="s">
        <v>2361</v>
      </c>
      <c r="G363" s="2" t="s">
        <v>3249</v>
      </c>
      <c r="H363" s="2" t="s">
        <v>3224</v>
      </c>
      <c r="I363" s="35">
        <v>44585</v>
      </c>
      <c r="J363" s="38">
        <v>42</v>
      </c>
      <c r="K363" s="39">
        <v>5.84</v>
      </c>
    </row>
    <row r="364" spans="2:11" ht="15" customHeight="1">
      <c r="B364" s="2">
        <v>4500458532</v>
      </c>
      <c r="C364" s="2">
        <v>506896</v>
      </c>
      <c r="D364" s="2" t="s">
        <v>4385</v>
      </c>
      <c r="F364" s="2" t="s">
        <v>2361</v>
      </c>
      <c r="G364" s="2" t="s">
        <v>3250</v>
      </c>
      <c r="H364" s="2" t="s">
        <v>4394</v>
      </c>
      <c r="I364" s="35">
        <v>44585</v>
      </c>
      <c r="J364" s="38">
        <v>32</v>
      </c>
      <c r="K364" s="39">
        <v>6.9</v>
      </c>
    </row>
    <row r="365" spans="2:11" ht="15" customHeight="1">
      <c r="B365" s="2">
        <v>4500458532</v>
      </c>
      <c r="C365" s="2">
        <v>506896</v>
      </c>
      <c r="D365" s="2" t="s">
        <v>4385</v>
      </c>
      <c r="F365" s="2" t="s">
        <v>2361</v>
      </c>
      <c r="G365" s="2" t="s">
        <v>3250</v>
      </c>
      <c r="H365" s="2" t="s">
        <v>4393</v>
      </c>
      <c r="I365" s="35">
        <v>44585</v>
      </c>
      <c r="J365" s="38">
        <v>118</v>
      </c>
      <c r="K365" s="39">
        <v>6.9</v>
      </c>
    </row>
    <row r="366" spans="2:11" ht="15" customHeight="1">
      <c r="B366" s="2">
        <v>4500458532</v>
      </c>
      <c r="C366" s="2">
        <v>506896</v>
      </c>
      <c r="D366" s="2" t="s">
        <v>4385</v>
      </c>
      <c r="F366" s="2" t="s">
        <v>2361</v>
      </c>
      <c r="G366" s="2" t="s">
        <v>3250</v>
      </c>
      <c r="H366" s="2" t="s">
        <v>4392</v>
      </c>
      <c r="I366" s="35">
        <v>44585</v>
      </c>
      <c r="J366" s="38">
        <v>150</v>
      </c>
      <c r="K366" s="39">
        <v>6.9</v>
      </c>
    </row>
    <row r="367" spans="2:11" ht="15" customHeight="1">
      <c r="B367" s="2">
        <v>4500458532</v>
      </c>
      <c r="C367" s="2">
        <v>506896</v>
      </c>
      <c r="D367" s="2" t="s">
        <v>4385</v>
      </c>
      <c r="F367" s="2" t="s">
        <v>2361</v>
      </c>
      <c r="G367" s="2" t="s">
        <v>3250</v>
      </c>
      <c r="H367" s="2" t="s">
        <v>4395</v>
      </c>
      <c r="I367" s="35">
        <v>44585</v>
      </c>
      <c r="J367" s="38">
        <v>101</v>
      </c>
      <c r="K367" s="39">
        <v>6.9</v>
      </c>
    </row>
    <row r="368" spans="2:11" ht="15" customHeight="1">
      <c r="B368" s="2">
        <v>4500458532</v>
      </c>
      <c r="C368" s="2">
        <v>506896</v>
      </c>
      <c r="D368" s="2" t="s">
        <v>4385</v>
      </c>
      <c r="F368" s="2" t="s">
        <v>2361</v>
      </c>
      <c r="G368" s="2" t="s">
        <v>3250</v>
      </c>
      <c r="H368" s="2" t="s">
        <v>3224</v>
      </c>
      <c r="I368" s="35">
        <v>44585</v>
      </c>
      <c r="J368" s="38">
        <v>48</v>
      </c>
      <c r="K368" s="39">
        <v>6.9</v>
      </c>
    </row>
    <row r="369" spans="2:11" ht="15" customHeight="1">
      <c r="B369" s="2">
        <v>4500458532</v>
      </c>
      <c r="C369" s="2">
        <v>506896</v>
      </c>
      <c r="D369" s="2" t="s">
        <v>4385</v>
      </c>
      <c r="F369" s="2" t="s">
        <v>2361</v>
      </c>
      <c r="G369" s="2" t="s">
        <v>3252</v>
      </c>
      <c r="H369" s="2" t="s">
        <v>4394</v>
      </c>
      <c r="I369" s="35">
        <v>44585</v>
      </c>
      <c r="J369" s="38">
        <v>40</v>
      </c>
      <c r="K369" s="39">
        <v>5.6</v>
      </c>
    </row>
    <row r="370" spans="2:11" ht="15" customHeight="1">
      <c r="B370" s="2">
        <v>4500458532</v>
      </c>
      <c r="C370" s="2">
        <v>506896</v>
      </c>
      <c r="D370" s="2" t="s">
        <v>4385</v>
      </c>
      <c r="F370" s="2" t="s">
        <v>2361</v>
      </c>
      <c r="G370" s="2" t="s">
        <v>3252</v>
      </c>
      <c r="H370" s="2" t="s">
        <v>4393</v>
      </c>
      <c r="I370" s="35">
        <v>44585</v>
      </c>
      <c r="J370" s="38">
        <v>147</v>
      </c>
      <c r="K370" s="39">
        <v>5.6</v>
      </c>
    </row>
    <row r="371" spans="2:11" ht="15" customHeight="1">
      <c r="B371" s="2">
        <v>4500458532</v>
      </c>
      <c r="C371" s="2">
        <v>506896</v>
      </c>
      <c r="D371" s="2" t="s">
        <v>4385</v>
      </c>
      <c r="F371" s="2" t="s">
        <v>2361</v>
      </c>
      <c r="G371" s="2" t="s">
        <v>3252</v>
      </c>
      <c r="H371" s="2" t="s">
        <v>4392</v>
      </c>
      <c r="I371" s="35">
        <v>44585</v>
      </c>
      <c r="J371" s="38">
        <v>186</v>
      </c>
      <c r="K371" s="39">
        <v>5.6</v>
      </c>
    </row>
    <row r="372" spans="2:11" ht="15" customHeight="1">
      <c r="B372" s="2">
        <v>4500458532</v>
      </c>
      <c r="C372" s="2">
        <v>506896</v>
      </c>
      <c r="D372" s="2" t="s">
        <v>4385</v>
      </c>
      <c r="F372" s="2" t="s">
        <v>2361</v>
      </c>
      <c r="G372" s="2" t="s">
        <v>3252</v>
      </c>
      <c r="H372" s="2" t="s">
        <v>4395</v>
      </c>
      <c r="I372" s="35">
        <v>44585</v>
      </c>
      <c r="J372" s="38">
        <v>125</v>
      </c>
      <c r="K372" s="39">
        <v>5.6</v>
      </c>
    </row>
    <row r="373" spans="2:11" ht="15" customHeight="1">
      <c r="B373" s="2">
        <v>4500458532</v>
      </c>
      <c r="C373" s="2">
        <v>506896</v>
      </c>
      <c r="D373" s="2" t="s">
        <v>4385</v>
      </c>
      <c r="F373" s="2" t="s">
        <v>2361</v>
      </c>
      <c r="G373" s="2" t="s">
        <v>3252</v>
      </c>
      <c r="H373" s="2" t="s">
        <v>3224</v>
      </c>
      <c r="I373" s="35">
        <v>44585</v>
      </c>
      <c r="J373" s="38">
        <v>60</v>
      </c>
      <c r="K373" s="39">
        <v>5.6</v>
      </c>
    </row>
    <row r="374" spans="2:11" ht="15" customHeight="1">
      <c r="B374" s="2">
        <v>4500458532</v>
      </c>
      <c r="C374" s="2">
        <v>506896</v>
      </c>
      <c r="D374" s="2" t="s">
        <v>4385</v>
      </c>
      <c r="F374" s="2" t="s">
        <v>2361</v>
      </c>
      <c r="G374" s="2" t="s">
        <v>4387</v>
      </c>
      <c r="H374" s="2" t="s">
        <v>4394</v>
      </c>
      <c r="I374" s="35">
        <v>44585</v>
      </c>
      <c r="J374" s="38">
        <v>28</v>
      </c>
      <c r="K374" s="39">
        <v>5.84</v>
      </c>
    </row>
    <row r="375" spans="2:11" ht="15" customHeight="1">
      <c r="B375" s="2">
        <v>4500458532</v>
      </c>
      <c r="C375" s="2">
        <v>506896</v>
      </c>
      <c r="D375" s="2" t="s">
        <v>4385</v>
      </c>
      <c r="F375" s="2" t="s">
        <v>2361</v>
      </c>
      <c r="G375" s="2" t="s">
        <v>4387</v>
      </c>
      <c r="H375" s="2" t="s">
        <v>4393</v>
      </c>
      <c r="I375" s="35">
        <v>44585</v>
      </c>
      <c r="J375" s="38">
        <v>104</v>
      </c>
      <c r="K375" s="39">
        <v>5.84</v>
      </c>
    </row>
    <row r="376" spans="2:11" ht="15" customHeight="1">
      <c r="B376" s="2">
        <v>4500458532</v>
      </c>
      <c r="C376" s="2">
        <v>506896</v>
      </c>
      <c r="D376" s="2" t="s">
        <v>4385</v>
      </c>
      <c r="F376" s="2" t="s">
        <v>2361</v>
      </c>
      <c r="G376" s="2" t="s">
        <v>4387</v>
      </c>
      <c r="H376" s="2" t="s">
        <v>4392</v>
      </c>
      <c r="I376" s="35">
        <v>44585</v>
      </c>
      <c r="J376" s="38">
        <v>132</v>
      </c>
      <c r="K376" s="39">
        <v>5.84</v>
      </c>
    </row>
    <row r="377" spans="2:11" ht="15" customHeight="1">
      <c r="B377" s="2">
        <v>4500458532</v>
      </c>
      <c r="C377" s="2">
        <v>506896</v>
      </c>
      <c r="D377" s="2" t="s">
        <v>4385</v>
      </c>
      <c r="F377" s="2" t="s">
        <v>2361</v>
      </c>
      <c r="G377" s="2" t="s">
        <v>4387</v>
      </c>
      <c r="H377" s="2" t="s">
        <v>4395</v>
      </c>
      <c r="I377" s="35">
        <v>44585</v>
      </c>
      <c r="J377" s="38">
        <v>89</v>
      </c>
      <c r="K377" s="39">
        <v>5.84</v>
      </c>
    </row>
    <row r="378" spans="2:11" ht="15" customHeight="1">
      <c r="B378" s="2">
        <v>4500458532</v>
      </c>
      <c r="C378" s="2">
        <v>506896</v>
      </c>
      <c r="D378" s="2" t="s">
        <v>4385</v>
      </c>
      <c r="F378" s="2" t="s">
        <v>2361</v>
      </c>
      <c r="G378" s="2" t="s">
        <v>4387</v>
      </c>
      <c r="H378" s="2" t="s">
        <v>3224</v>
      </c>
      <c r="I378" s="35">
        <v>44585</v>
      </c>
      <c r="J378" s="38">
        <v>42</v>
      </c>
      <c r="K378" s="39">
        <v>5.84</v>
      </c>
    </row>
    <row r="379" spans="2:11" ht="15" customHeight="1">
      <c r="B379" s="2">
        <v>4500458532</v>
      </c>
      <c r="C379" s="2">
        <v>507209</v>
      </c>
      <c r="D379" s="2" t="s">
        <v>4385</v>
      </c>
      <c r="F379" s="2" t="s">
        <v>2361</v>
      </c>
      <c r="G379" s="2" t="s">
        <v>3265</v>
      </c>
      <c r="H379" s="2" t="s">
        <v>4394</v>
      </c>
      <c r="I379" s="35">
        <v>44585</v>
      </c>
      <c r="J379" s="38">
        <v>16</v>
      </c>
      <c r="K379" s="39">
        <v>6.45</v>
      </c>
    </row>
    <row r="380" spans="2:11" ht="15" customHeight="1">
      <c r="B380" s="2">
        <v>4500458532</v>
      </c>
      <c r="C380" s="2">
        <v>507209</v>
      </c>
      <c r="D380" s="2" t="s">
        <v>4385</v>
      </c>
      <c r="F380" s="2" t="s">
        <v>2361</v>
      </c>
      <c r="G380" s="2" t="s">
        <v>3265</v>
      </c>
      <c r="H380" s="2" t="s">
        <v>4393</v>
      </c>
      <c r="I380" s="35">
        <v>44585</v>
      </c>
      <c r="J380" s="38">
        <v>60</v>
      </c>
      <c r="K380" s="39">
        <v>6.45</v>
      </c>
    </row>
    <row r="381" spans="2:11" ht="15" customHeight="1">
      <c r="B381" s="2">
        <v>4500458532</v>
      </c>
      <c r="C381" s="2">
        <v>507209</v>
      </c>
      <c r="D381" s="2" t="s">
        <v>4385</v>
      </c>
      <c r="F381" s="2" t="s">
        <v>2361</v>
      </c>
      <c r="G381" s="2" t="s">
        <v>3265</v>
      </c>
      <c r="H381" s="2" t="s">
        <v>4392</v>
      </c>
      <c r="I381" s="35">
        <v>44585</v>
      </c>
      <c r="J381" s="38">
        <v>77</v>
      </c>
      <c r="K381" s="39">
        <v>6.45</v>
      </c>
    </row>
    <row r="382" spans="2:11" ht="15" customHeight="1">
      <c r="B382" s="2">
        <v>4500458532</v>
      </c>
      <c r="C382" s="2">
        <v>507209</v>
      </c>
      <c r="D382" s="2" t="s">
        <v>4385</v>
      </c>
      <c r="F382" s="2" t="s">
        <v>2361</v>
      </c>
      <c r="G382" s="2" t="s">
        <v>3265</v>
      </c>
      <c r="H382" s="2" t="s">
        <v>4395</v>
      </c>
      <c r="I382" s="35">
        <v>44585</v>
      </c>
      <c r="J382" s="38">
        <v>52</v>
      </c>
      <c r="K382" s="39">
        <v>6.45</v>
      </c>
    </row>
    <row r="383" spans="2:11" ht="15" customHeight="1">
      <c r="B383" s="2">
        <v>4500458532</v>
      </c>
      <c r="C383" s="2">
        <v>507209</v>
      </c>
      <c r="D383" s="2" t="s">
        <v>4385</v>
      </c>
      <c r="F383" s="2" t="s">
        <v>2361</v>
      </c>
      <c r="G383" s="2" t="s">
        <v>3265</v>
      </c>
      <c r="H383" s="2" t="s">
        <v>3224</v>
      </c>
      <c r="I383" s="35">
        <v>44585</v>
      </c>
      <c r="J383" s="38">
        <v>25</v>
      </c>
      <c r="K383" s="39">
        <v>6.45</v>
      </c>
    </row>
    <row r="384" spans="2:11" ht="15" customHeight="1">
      <c r="B384" s="2">
        <v>4500458532</v>
      </c>
      <c r="C384" s="2">
        <v>507209</v>
      </c>
      <c r="D384" s="2" t="s">
        <v>4385</v>
      </c>
      <c r="F384" s="2" t="s">
        <v>2361</v>
      </c>
      <c r="G384" s="2" t="s">
        <v>3255</v>
      </c>
      <c r="H384" s="2" t="s">
        <v>4394</v>
      </c>
      <c r="I384" s="35">
        <v>44585</v>
      </c>
      <c r="J384" s="38">
        <v>16</v>
      </c>
      <c r="K384" s="39">
        <v>5.82</v>
      </c>
    </row>
    <row r="385" spans="2:11" ht="15" customHeight="1">
      <c r="B385" s="2">
        <v>4500458532</v>
      </c>
      <c r="C385" s="2">
        <v>507209</v>
      </c>
      <c r="D385" s="2" t="s">
        <v>4385</v>
      </c>
      <c r="F385" s="2" t="s">
        <v>2361</v>
      </c>
      <c r="G385" s="2" t="s">
        <v>3255</v>
      </c>
      <c r="H385" s="2" t="s">
        <v>4393</v>
      </c>
      <c r="I385" s="35">
        <v>44585</v>
      </c>
      <c r="J385" s="38">
        <v>57</v>
      </c>
      <c r="K385" s="39">
        <v>5.82</v>
      </c>
    </row>
    <row r="386" spans="2:11" ht="15" customHeight="1">
      <c r="B386" s="2">
        <v>4500458532</v>
      </c>
      <c r="C386" s="2">
        <v>507209</v>
      </c>
      <c r="D386" s="2" t="s">
        <v>4385</v>
      </c>
      <c r="F386" s="2" t="s">
        <v>2361</v>
      </c>
      <c r="G386" s="2" t="s">
        <v>3255</v>
      </c>
      <c r="H386" s="2" t="s">
        <v>4392</v>
      </c>
      <c r="I386" s="35">
        <v>44585</v>
      </c>
      <c r="J386" s="38">
        <v>73</v>
      </c>
      <c r="K386" s="39">
        <v>5.82</v>
      </c>
    </row>
    <row r="387" spans="2:11" ht="15" customHeight="1">
      <c r="B387" s="2">
        <v>4500458532</v>
      </c>
      <c r="C387" s="2">
        <v>507209</v>
      </c>
      <c r="D387" s="2" t="s">
        <v>4385</v>
      </c>
      <c r="F387" s="2" t="s">
        <v>2361</v>
      </c>
      <c r="G387" s="2" t="s">
        <v>3255</v>
      </c>
      <c r="H387" s="2" t="s">
        <v>4395</v>
      </c>
      <c r="I387" s="35">
        <v>44585</v>
      </c>
      <c r="J387" s="38">
        <v>49</v>
      </c>
      <c r="K387" s="39">
        <v>5.82</v>
      </c>
    </row>
    <row r="388" spans="2:11" ht="15" customHeight="1">
      <c r="B388" s="2">
        <v>4500458532</v>
      </c>
      <c r="C388" s="2">
        <v>507209</v>
      </c>
      <c r="D388" s="2" t="s">
        <v>4385</v>
      </c>
      <c r="F388" s="2" t="s">
        <v>2361</v>
      </c>
      <c r="G388" s="2" t="s">
        <v>3255</v>
      </c>
      <c r="H388" s="2" t="s">
        <v>3224</v>
      </c>
      <c r="I388" s="35">
        <v>44585</v>
      </c>
      <c r="J388" s="38">
        <v>23</v>
      </c>
      <c r="K388" s="39">
        <v>5.82</v>
      </c>
    </row>
    <row r="389" spans="2:11" ht="15" customHeight="1">
      <c r="B389" s="2">
        <v>4500458532</v>
      </c>
      <c r="C389" s="2">
        <v>507209</v>
      </c>
      <c r="D389" s="2" t="s">
        <v>4385</v>
      </c>
      <c r="F389" s="2" t="s">
        <v>2361</v>
      </c>
      <c r="G389" s="2" t="s">
        <v>3257</v>
      </c>
      <c r="H389" s="2" t="s">
        <v>4394</v>
      </c>
      <c r="I389" s="35">
        <v>44585</v>
      </c>
      <c r="J389" s="38">
        <v>10</v>
      </c>
      <c r="K389" s="39">
        <v>5.9</v>
      </c>
    </row>
    <row r="390" spans="2:11" ht="15" customHeight="1">
      <c r="B390" s="2">
        <v>4500458532</v>
      </c>
      <c r="C390" s="2">
        <v>507209</v>
      </c>
      <c r="D390" s="2" t="s">
        <v>4385</v>
      </c>
      <c r="F390" s="2" t="s">
        <v>2361</v>
      </c>
      <c r="G390" s="2" t="s">
        <v>3257</v>
      </c>
      <c r="H390" s="2" t="s">
        <v>4393</v>
      </c>
      <c r="I390" s="35">
        <v>44585</v>
      </c>
      <c r="J390" s="38">
        <v>36</v>
      </c>
      <c r="K390" s="39">
        <v>5.9</v>
      </c>
    </row>
    <row r="391" spans="2:11" ht="15" customHeight="1">
      <c r="B391" s="2">
        <v>4500458532</v>
      </c>
      <c r="C391" s="2">
        <v>507209</v>
      </c>
      <c r="D391" s="2" t="s">
        <v>4385</v>
      </c>
      <c r="F391" s="2" t="s">
        <v>2361</v>
      </c>
      <c r="G391" s="2" t="s">
        <v>3257</v>
      </c>
      <c r="H391" s="2" t="s">
        <v>4392</v>
      </c>
      <c r="I391" s="35">
        <v>44585</v>
      </c>
      <c r="J391" s="38">
        <v>46</v>
      </c>
      <c r="K391" s="39">
        <v>5.9</v>
      </c>
    </row>
    <row r="392" spans="2:11" ht="15" customHeight="1">
      <c r="B392" s="2">
        <v>4500458532</v>
      </c>
      <c r="C392" s="2">
        <v>507209</v>
      </c>
      <c r="D392" s="2" t="s">
        <v>4385</v>
      </c>
      <c r="F392" s="2" t="s">
        <v>2361</v>
      </c>
      <c r="G392" s="2" t="s">
        <v>3257</v>
      </c>
      <c r="H392" s="2" t="s">
        <v>4395</v>
      </c>
      <c r="I392" s="35">
        <v>44585</v>
      </c>
      <c r="J392" s="38">
        <v>31</v>
      </c>
      <c r="K392" s="39">
        <v>5.9</v>
      </c>
    </row>
    <row r="393" spans="2:11" ht="15" customHeight="1">
      <c r="B393" s="2">
        <v>4500458532</v>
      </c>
      <c r="C393" s="2">
        <v>507209</v>
      </c>
      <c r="D393" s="2" t="s">
        <v>4385</v>
      </c>
      <c r="F393" s="2" t="s">
        <v>2361</v>
      </c>
      <c r="G393" s="2" t="s">
        <v>3257</v>
      </c>
      <c r="H393" s="2" t="s">
        <v>3224</v>
      </c>
      <c r="I393" s="35">
        <v>44585</v>
      </c>
      <c r="J393" s="38">
        <v>15</v>
      </c>
      <c r="K393" s="39">
        <v>5.9</v>
      </c>
    </row>
    <row r="394" spans="2:11" ht="15" customHeight="1">
      <c r="B394" s="2">
        <v>4500458532</v>
      </c>
      <c r="C394" s="2">
        <v>507209</v>
      </c>
      <c r="D394" s="2" t="s">
        <v>4385</v>
      </c>
      <c r="F394" s="2" t="s">
        <v>2361</v>
      </c>
      <c r="G394" s="2" t="s">
        <v>4396</v>
      </c>
      <c r="H394" s="2" t="s">
        <v>4394</v>
      </c>
      <c r="I394" s="35">
        <v>44585</v>
      </c>
      <c r="J394" s="38">
        <v>14</v>
      </c>
      <c r="K394" s="39">
        <v>5.95</v>
      </c>
    </row>
    <row r="395" spans="2:11" ht="15" customHeight="1">
      <c r="B395" s="2">
        <v>4500458532</v>
      </c>
      <c r="C395" s="2">
        <v>507209</v>
      </c>
      <c r="D395" s="2" t="s">
        <v>4385</v>
      </c>
      <c r="F395" s="2" t="s">
        <v>2361</v>
      </c>
      <c r="G395" s="2" t="s">
        <v>4396</v>
      </c>
      <c r="H395" s="2" t="s">
        <v>4393</v>
      </c>
      <c r="I395" s="35">
        <v>44585</v>
      </c>
      <c r="J395" s="38">
        <v>51</v>
      </c>
      <c r="K395" s="39">
        <v>5.95</v>
      </c>
    </row>
    <row r="396" spans="2:11" ht="15" customHeight="1">
      <c r="B396" s="2">
        <v>4500458532</v>
      </c>
      <c r="C396" s="2">
        <v>507209</v>
      </c>
      <c r="D396" s="2" t="s">
        <v>4385</v>
      </c>
      <c r="F396" s="2" t="s">
        <v>2361</v>
      </c>
      <c r="G396" s="2" t="s">
        <v>4396</v>
      </c>
      <c r="H396" s="2" t="s">
        <v>4392</v>
      </c>
      <c r="I396" s="35">
        <v>44585</v>
      </c>
      <c r="J396" s="38">
        <v>65</v>
      </c>
      <c r="K396" s="39">
        <v>5.95</v>
      </c>
    </row>
    <row r="397" spans="2:11" ht="15" customHeight="1">
      <c r="B397" s="2">
        <v>4500458532</v>
      </c>
      <c r="C397" s="2">
        <v>507209</v>
      </c>
      <c r="D397" s="2" t="s">
        <v>4385</v>
      </c>
      <c r="F397" s="2" t="s">
        <v>2361</v>
      </c>
      <c r="G397" s="2" t="s">
        <v>4396</v>
      </c>
      <c r="H397" s="2" t="s">
        <v>4395</v>
      </c>
      <c r="I397" s="35">
        <v>44585</v>
      </c>
      <c r="J397" s="38">
        <v>44</v>
      </c>
      <c r="K397" s="39">
        <v>5.95</v>
      </c>
    </row>
    <row r="398" spans="2:11" ht="15" customHeight="1">
      <c r="B398" s="2">
        <v>4500458532</v>
      </c>
      <c r="C398" s="2">
        <v>507209</v>
      </c>
      <c r="D398" s="2" t="s">
        <v>4385</v>
      </c>
      <c r="F398" s="2" t="s">
        <v>2361</v>
      </c>
      <c r="G398" s="2" t="s">
        <v>4396</v>
      </c>
      <c r="H398" s="2" t="s">
        <v>3224</v>
      </c>
      <c r="I398" s="35">
        <v>44585</v>
      </c>
      <c r="J398" s="38">
        <v>21</v>
      </c>
      <c r="K398" s="39">
        <v>5.95</v>
      </c>
    </row>
    <row r="399" spans="2:11" ht="15" customHeight="1">
      <c r="B399" s="2">
        <v>4500458532</v>
      </c>
      <c r="C399" s="2">
        <v>507209</v>
      </c>
      <c r="D399" s="2" t="s">
        <v>4385</v>
      </c>
      <c r="F399" s="2" t="s">
        <v>2361</v>
      </c>
      <c r="G399" s="2" t="s">
        <v>4397</v>
      </c>
      <c r="H399" s="2" t="s">
        <v>4394</v>
      </c>
      <c r="I399" s="35">
        <v>44585</v>
      </c>
      <c r="J399" s="38">
        <v>11</v>
      </c>
      <c r="K399" s="39">
        <v>5.82</v>
      </c>
    </row>
    <row r="400" spans="2:11" ht="15" customHeight="1">
      <c r="B400" s="2">
        <v>4500458532</v>
      </c>
      <c r="C400" s="2">
        <v>507209</v>
      </c>
      <c r="D400" s="2" t="s">
        <v>4385</v>
      </c>
      <c r="F400" s="2" t="s">
        <v>2361</v>
      </c>
      <c r="G400" s="2" t="s">
        <v>4397</v>
      </c>
      <c r="H400" s="2" t="s">
        <v>4393</v>
      </c>
      <c r="I400" s="35">
        <v>44585</v>
      </c>
      <c r="J400" s="38">
        <v>39</v>
      </c>
      <c r="K400" s="39">
        <v>5.82</v>
      </c>
    </row>
    <row r="401" spans="2:11" ht="15" customHeight="1">
      <c r="B401" s="2">
        <v>4500458532</v>
      </c>
      <c r="C401" s="2">
        <v>507209</v>
      </c>
      <c r="D401" s="2" t="s">
        <v>4385</v>
      </c>
      <c r="F401" s="2" t="s">
        <v>2361</v>
      </c>
      <c r="G401" s="2" t="s">
        <v>4397</v>
      </c>
      <c r="H401" s="2" t="s">
        <v>4392</v>
      </c>
      <c r="I401" s="35">
        <v>44585</v>
      </c>
      <c r="J401" s="38">
        <v>50</v>
      </c>
      <c r="K401" s="39">
        <v>5.82</v>
      </c>
    </row>
    <row r="402" spans="2:11" ht="15" customHeight="1">
      <c r="B402" s="2">
        <v>4500458532</v>
      </c>
      <c r="C402" s="2">
        <v>507209</v>
      </c>
      <c r="D402" s="2" t="s">
        <v>4385</v>
      </c>
      <c r="F402" s="2" t="s">
        <v>2361</v>
      </c>
      <c r="G402" s="2" t="s">
        <v>4397</v>
      </c>
      <c r="H402" s="2" t="s">
        <v>4395</v>
      </c>
      <c r="I402" s="35">
        <v>44585</v>
      </c>
      <c r="J402" s="38">
        <v>34</v>
      </c>
      <c r="K402" s="39">
        <v>5.82</v>
      </c>
    </row>
    <row r="403" spans="2:11" ht="15" customHeight="1">
      <c r="B403" s="2">
        <v>4500458532</v>
      </c>
      <c r="C403" s="2">
        <v>507209</v>
      </c>
      <c r="D403" s="2" t="s">
        <v>4385</v>
      </c>
      <c r="F403" s="2" t="s">
        <v>2361</v>
      </c>
      <c r="G403" s="2" t="s">
        <v>4397</v>
      </c>
      <c r="H403" s="2" t="s">
        <v>3224</v>
      </c>
      <c r="I403" s="35">
        <v>44585</v>
      </c>
      <c r="J403" s="38">
        <v>16</v>
      </c>
      <c r="K403" s="39">
        <v>5.82</v>
      </c>
    </row>
    <row r="404" spans="2:11" ht="15" customHeight="1">
      <c r="B404" s="2">
        <v>4500458532</v>
      </c>
      <c r="C404" s="2">
        <v>507209</v>
      </c>
      <c r="D404" s="2" t="s">
        <v>4385</v>
      </c>
      <c r="F404" s="2" t="s">
        <v>2361</v>
      </c>
      <c r="G404" s="2" t="s">
        <v>3256</v>
      </c>
      <c r="H404" s="2" t="s">
        <v>4394</v>
      </c>
      <c r="I404" s="35">
        <v>44585</v>
      </c>
      <c r="J404" s="38">
        <v>16</v>
      </c>
      <c r="K404" s="39">
        <v>5.9</v>
      </c>
    </row>
    <row r="405" spans="2:11" ht="15" customHeight="1">
      <c r="B405" s="2">
        <v>4500458532</v>
      </c>
      <c r="C405" s="2">
        <v>507209</v>
      </c>
      <c r="D405" s="2" t="s">
        <v>4385</v>
      </c>
      <c r="F405" s="2" t="s">
        <v>2361</v>
      </c>
      <c r="G405" s="2" t="s">
        <v>3256</v>
      </c>
      <c r="H405" s="2" t="s">
        <v>4393</v>
      </c>
      <c r="I405" s="35">
        <v>44585</v>
      </c>
      <c r="J405" s="38">
        <v>57</v>
      </c>
      <c r="K405" s="39">
        <v>5.9</v>
      </c>
    </row>
    <row r="406" spans="2:11" ht="15" customHeight="1">
      <c r="B406" s="2">
        <v>4500458532</v>
      </c>
      <c r="C406" s="2">
        <v>507209</v>
      </c>
      <c r="D406" s="2" t="s">
        <v>4385</v>
      </c>
      <c r="F406" s="2" t="s">
        <v>2361</v>
      </c>
      <c r="G406" s="2" t="s">
        <v>3256</v>
      </c>
      <c r="H406" s="2" t="s">
        <v>4392</v>
      </c>
      <c r="I406" s="35">
        <v>44585</v>
      </c>
      <c r="J406" s="38">
        <v>73</v>
      </c>
      <c r="K406" s="39">
        <v>5.9</v>
      </c>
    </row>
    <row r="407" spans="2:11" ht="15" customHeight="1">
      <c r="B407" s="2">
        <v>4500458532</v>
      </c>
      <c r="C407" s="2">
        <v>507209</v>
      </c>
      <c r="D407" s="2" t="s">
        <v>4385</v>
      </c>
      <c r="F407" s="2" t="s">
        <v>2361</v>
      </c>
      <c r="G407" s="2" t="s">
        <v>3256</v>
      </c>
      <c r="H407" s="2" t="s">
        <v>4395</v>
      </c>
      <c r="I407" s="35">
        <v>44585</v>
      </c>
      <c r="J407" s="38">
        <v>49</v>
      </c>
      <c r="K407" s="39">
        <v>5.9</v>
      </c>
    </row>
    <row r="408" spans="2:11" ht="15" customHeight="1">
      <c r="B408" s="2">
        <v>4500458532</v>
      </c>
      <c r="C408" s="2">
        <v>507209</v>
      </c>
      <c r="D408" s="2" t="s">
        <v>4385</v>
      </c>
      <c r="F408" s="2" t="s">
        <v>2361</v>
      </c>
      <c r="G408" s="2" t="s">
        <v>3256</v>
      </c>
      <c r="H408" s="2" t="s">
        <v>3224</v>
      </c>
      <c r="I408" s="35">
        <v>44585</v>
      </c>
      <c r="J408" s="38">
        <v>23</v>
      </c>
      <c r="K408" s="39">
        <v>5.9</v>
      </c>
    </row>
    <row r="409" spans="2:11" ht="15" customHeight="1">
      <c r="B409" s="2">
        <v>4500458812</v>
      </c>
      <c r="C409" s="2">
        <v>506896</v>
      </c>
      <c r="D409" s="2" t="s">
        <v>4385</v>
      </c>
      <c r="F409" s="2" t="s">
        <v>2361</v>
      </c>
      <c r="G409" s="2" t="s">
        <v>3248</v>
      </c>
      <c r="H409" s="2" t="s">
        <v>4394</v>
      </c>
      <c r="I409" s="35">
        <v>44518</v>
      </c>
      <c r="J409" s="38">
        <v>8</v>
      </c>
      <c r="K409" s="39">
        <v>5.89</v>
      </c>
    </row>
    <row r="410" spans="2:11" ht="15" customHeight="1">
      <c r="B410" s="2">
        <v>4500458812</v>
      </c>
      <c r="C410" s="2">
        <v>506896</v>
      </c>
      <c r="D410" s="2" t="s">
        <v>4385</v>
      </c>
      <c r="F410" s="2" t="s">
        <v>2361</v>
      </c>
      <c r="G410" s="2" t="s">
        <v>3248</v>
      </c>
      <c r="H410" s="2" t="s">
        <v>4393</v>
      </c>
      <c r="I410" s="35">
        <v>44518</v>
      </c>
      <c r="J410" s="38">
        <v>16</v>
      </c>
      <c r="K410" s="39">
        <v>5.89</v>
      </c>
    </row>
    <row r="411" spans="2:11" ht="15" customHeight="1">
      <c r="B411" s="2">
        <v>4500458812</v>
      </c>
      <c r="C411" s="2">
        <v>506896</v>
      </c>
      <c r="D411" s="2" t="s">
        <v>4385</v>
      </c>
      <c r="F411" s="2" t="s">
        <v>2361</v>
      </c>
      <c r="G411" s="2" t="s">
        <v>3248</v>
      </c>
      <c r="H411" s="2" t="s">
        <v>4392</v>
      </c>
      <c r="I411" s="35">
        <v>44518</v>
      </c>
      <c r="J411" s="38">
        <v>24</v>
      </c>
      <c r="K411" s="39">
        <v>5.89</v>
      </c>
    </row>
    <row r="412" spans="2:11" ht="15" customHeight="1">
      <c r="B412" s="2">
        <v>4500458812</v>
      </c>
      <c r="C412" s="2">
        <v>506896</v>
      </c>
      <c r="D412" s="2" t="s">
        <v>4385</v>
      </c>
      <c r="F412" s="2" t="s">
        <v>2361</v>
      </c>
      <c r="G412" s="2" t="s">
        <v>3248</v>
      </c>
      <c r="H412" s="2" t="s">
        <v>4395</v>
      </c>
      <c r="I412" s="35">
        <v>44518</v>
      </c>
      <c r="J412" s="38">
        <v>20</v>
      </c>
      <c r="K412" s="39">
        <v>5.89</v>
      </c>
    </row>
    <row r="413" spans="2:11" ht="15" customHeight="1">
      <c r="B413" s="2">
        <v>4500458812</v>
      </c>
      <c r="C413" s="2">
        <v>506896</v>
      </c>
      <c r="D413" s="2" t="s">
        <v>4385</v>
      </c>
      <c r="F413" s="2" t="s">
        <v>2361</v>
      </c>
      <c r="G413" s="2" t="s">
        <v>3248</v>
      </c>
      <c r="H413" s="2" t="s">
        <v>3224</v>
      </c>
      <c r="I413" s="35">
        <v>44518</v>
      </c>
      <c r="J413" s="38">
        <v>12</v>
      </c>
      <c r="K413" s="39">
        <v>5.89</v>
      </c>
    </row>
    <row r="414" spans="2:11" ht="15" customHeight="1">
      <c r="B414" s="2">
        <v>4500458812</v>
      </c>
      <c r="C414" s="2">
        <v>506896</v>
      </c>
      <c r="D414" s="2" t="s">
        <v>4385</v>
      </c>
      <c r="F414" s="2" t="s">
        <v>2361</v>
      </c>
      <c r="G414" s="2" t="s">
        <v>3252</v>
      </c>
      <c r="H414" s="2" t="s">
        <v>4394</v>
      </c>
      <c r="I414" s="35">
        <v>44518</v>
      </c>
      <c r="J414" s="38">
        <v>12</v>
      </c>
      <c r="K414" s="39">
        <v>5.89</v>
      </c>
    </row>
    <row r="415" spans="2:11" ht="15" customHeight="1">
      <c r="B415" s="2">
        <v>4500458812</v>
      </c>
      <c r="C415" s="2">
        <v>506896</v>
      </c>
      <c r="D415" s="2" t="s">
        <v>4385</v>
      </c>
      <c r="F415" s="2" t="s">
        <v>2361</v>
      </c>
      <c r="G415" s="2" t="s">
        <v>3252</v>
      </c>
      <c r="H415" s="2" t="s">
        <v>4393</v>
      </c>
      <c r="I415" s="35">
        <v>44518</v>
      </c>
      <c r="J415" s="38">
        <v>28</v>
      </c>
      <c r="K415" s="39">
        <v>5.89</v>
      </c>
    </row>
    <row r="416" spans="2:11" ht="15" customHeight="1">
      <c r="B416" s="2">
        <v>4500458812</v>
      </c>
      <c r="C416" s="2">
        <v>506896</v>
      </c>
      <c r="D416" s="2" t="s">
        <v>4385</v>
      </c>
      <c r="F416" s="2" t="s">
        <v>2361</v>
      </c>
      <c r="G416" s="2" t="s">
        <v>3252</v>
      </c>
      <c r="H416" s="2" t="s">
        <v>4392</v>
      </c>
      <c r="I416" s="35">
        <v>44518</v>
      </c>
      <c r="J416" s="38">
        <v>44</v>
      </c>
      <c r="K416" s="39">
        <v>5.89</v>
      </c>
    </row>
    <row r="417" spans="2:11" ht="15" customHeight="1">
      <c r="B417" s="2">
        <v>4500458812</v>
      </c>
      <c r="C417" s="2">
        <v>506896</v>
      </c>
      <c r="D417" s="2" t="s">
        <v>4385</v>
      </c>
      <c r="F417" s="2" t="s">
        <v>2361</v>
      </c>
      <c r="G417" s="2" t="s">
        <v>3252</v>
      </c>
      <c r="H417" s="2" t="s">
        <v>4395</v>
      </c>
      <c r="I417" s="35">
        <v>44518</v>
      </c>
      <c r="J417" s="38">
        <v>32</v>
      </c>
      <c r="K417" s="39">
        <v>5.89</v>
      </c>
    </row>
    <row r="418" spans="2:11" ht="15" customHeight="1">
      <c r="B418" s="2">
        <v>4500458812</v>
      </c>
      <c r="C418" s="2">
        <v>506896</v>
      </c>
      <c r="D418" s="2" t="s">
        <v>4385</v>
      </c>
      <c r="F418" s="2" t="s">
        <v>2361</v>
      </c>
      <c r="G418" s="2" t="s">
        <v>3252</v>
      </c>
      <c r="H418" s="2" t="s">
        <v>3224</v>
      </c>
      <c r="I418" s="35">
        <v>44518</v>
      </c>
      <c r="J418" s="38">
        <v>20</v>
      </c>
      <c r="K418" s="39">
        <v>5.89</v>
      </c>
    </row>
    <row r="419" spans="2:11" ht="15" customHeight="1">
      <c r="B419" s="2">
        <v>4500458812</v>
      </c>
      <c r="C419" s="2">
        <v>507209</v>
      </c>
      <c r="D419" s="2" t="s">
        <v>4385</v>
      </c>
      <c r="F419" s="2" t="s">
        <v>2361</v>
      </c>
      <c r="G419" s="2" t="s">
        <v>3255</v>
      </c>
      <c r="H419" s="2" t="s">
        <v>4394</v>
      </c>
      <c r="I419" s="35">
        <v>44518</v>
      </c>
      <c r="J419" s="38">
        <v>4</v>
      </c>
      <c r="K419" s="39">
        <v>6.11</v>
      </c>
    </row>
    <row r="420" spans="2:11" ht="15" customHeight="1">
      <c r="B420" s="2">
        <v>4500458812</v>
      </c>
      <c r="C420" s="2">
        <v>507209</v>
      </c>
      <c r="D420" s="2" t="s">
        <v>4385</v>
      </c>
      <c r="F420" s="2" t="s">
        <v>2361</v>
      </c>
      <c r="G420" s="2" t="s">
        <v>3255</v>
      </c>
      <c r="H420" s="2" t="s">
        <v>4393</v>
      </c>
      <c r="I420" s="35">
        <v>44518</v>
      </c>
      <c r="J420" s="38">
        <v>12</v>
      </c>
      <c r="K420" s="39">
        <v>6.11</v>
      </c>
    </row>
    <row r="421" spans="2:11" ht="15" customHeight="1">
      <c r="B421" s="2">
        <v>4500458812</v>
      </c>
      <c r="C421" s="2">
        <v>507209</v>
      </c>
      <c r="D421" s="2" t="s">
        <v>4385</v>
      </c>
      <c r="F421" s="2" t="s">
        <v>2361</v>
      </c>
      <c r="G421" s="2" t="s">
        <v>3255</v>
      </c>
      <c r="H421" s="2" t="s">
        <v>4392</v>
      </c>
      <c r="I421" s="35">
        <v>44518</v>
      </c>
      <c r="J421" s="38">
        <v>20</v>
      </c>
      <c r="K421" s="39">
        <v>6.11</v>
      </c>
    </row>
    <row r="422" spans="2:11" ht="15" customHeight="1">
      <c r="B422" s="2">
        <v>4500458812</v>
      </c>
      <c r="C422" s="2">
        <v>507209</v>
      </c>
      <c r="D422" s="2" t="s">
        <v>4385</v>
      </c>
      <c r="F422" s="2" t="s">
        <v>2361</v>
      </c>
      <c r="G422" s="2" t="s">
        <v>3255</v>
      </c>
      <c r="H422" s="2" t="s">
        <v>4395</v>
      </c>
      <c r="I422" s="35">
        <v>44518</v>
      </c>
      <c r="J422" s="38">
        <v>16</v>
      </c>
      <c r="K422" s="39">
        <v>6.11</v>
      </c>
    </row>
    <row r="423" spans="2:11" ht="15" customHeight="1">
      <c r="B423" s="2">
        <v>4500458812</v>
      </c>
      <c r="C423" s="2">
        <v>507209</v>
      </c>
      <c r="D423" s="2" t="s">
        <v>4385</v>
      </c>
      <c r="F423" s="2" t="s">
        <v>2361</v>
      </c>
      <c r="G423" s="2" t="s">
        <v>3255</v>
      </c>
      <c r="H423" s="2" t="s">
        <v>3224</v>
      </c>
      <c r="I423" s="35">
        <v>44518</v>
      </c>
      <c r="J423" s="38">
        <v>8</v>
      </c>
      <c r="K423" s="39">
        <v>6.11</v>
      </c>
    </row>
    <row r="424" spans="2:11" ht="15" customHeight="1">
      <c r="B424" s="2">
        <v>4500458812</v>
      </c>
      <c r="C424" s="2">
        <v>507209</v>
      </c>
      <c r="D424" s="2" t="s">
        <v>4385</v>
      </c>
      <c r="F424" s="2" t="s">
        <v>2361</v>
      </c>
      <c r="G424" s="2" t="s">
        <v>3257</v>
      </c>
      <c r="H424" s="2" t="s">
        <v>4394</v>
      </c>
      <c r="I424" s="35">
        <v>44518</v>
      </c>
      <c r="J424" s="38">
        <v>8</v>
      </c>
      <c r="K424" s="39">
        <v>6.19</v>
      </c>
    </row>
    <row r="425" spans="2:11" ht="15" customHeight="1">
      <c r="B425" s="2">
        <v>4500458812</v>
      </c>
      <c r="C425" s="2">
        <v>507209</v>
      </c>
      <c r="D425" s="2" t="s">
        <v>4385</v>
      </c>
      <c r="F425" s="2" t="s">
        <v>2361</v>
      </c>
      <c r="G425" s="2" t="s">
        <v>3257</v>
      </c>
      <c r="H425" s="2" t="s">
        <v>4393</v>
      </c>
      <c r="I425" s="35">
        <v>44518</v>
      </c>
      <c r="J425" s="38">
        <v>20</v>
      </c>
      <c r="K425" s="39">
        <v>6.19</v>
      </c>
    </row>
    <row r="426" spans="2:11" ht="15" customHeight="1">
      <c r="B426" s="2">
        <v>4500458812</v>
      </c>
      <c r="C426" s="2">
        <v>507209</v>
      </c>
      <c r="D426" s="2" t="s">
        <v>4385</v>
      </c>
      <c r="F426" s="2" t="s">
        <v>2361</v>
      </c>
      <c r="G426" s="2" t="s">
        <v>3257</v>
      </c>
      <c r="H426" s="2" t="s">
        <v>4392</v>
      </c>
      <c r="I426" s="35">
        <v>44518</v>
      </c>
      <c r="J426" s="38">
        <v>36</v>
      </c>
      <c r="K426" s="39">
        <v>6.19</v>
      </c>
    </row>
    <row r="427" spans="2:11" ht="15" customHeight="1">
      <c r="B427" s="2">
        <v>4500458812</v>
      </c>
      <c r="C427" s="2">
        <v>507209</v>
      </c>
      <c r="D427" s="2" t="s">
        <v>4385</v>
      </c>
      <c r="F427" s="2" t="s">
        <v>2361</v>
      </c>
      <c r="G427" s="2" t="s">
        <v>3257</v>
      </c>
      <c r="H427" s="2" t="s">
        <v>4395</v>
      </c>
      <c r="I427" s="35">
        <v>44518</v>
      </c>
      <c r="J427" s="38">
        <v>24</v>
      </c>
      <c r="K427" s="39">
        <v>6.19</v>
      </c>
    </row>
    <row r="428" spans="2:11" ht="15" customHeight="1">
      <c r="B428" s="2">
        <v>4500458812</v>
      </c>
      <c r="C428" s="2">
        <v>507209</v>
      </c>
      <c r="D428" s="2" t="s">
        <v>4385</v>
      </c>
      <c r="F428" s="2" t="s">
        <v>2361</v>
      </c>
      <c r="G428" s="2" t="s">
        <v>3257</v>
      </c>
      <c r="H428" s="2" t="s">
        <v>3224</v>
      </c>
      <c r="I428" s="35">
        <v>44518</v>
      </c>
      <c r="J428" s="38">
        <v>16</v>
      </c>
      <c r="K428" s="39">
        <v>6.19</v>
      </c>
    </row>
    <row r="429" spans="2:11" ht="15" customHeight="1">
      <c r="B429" s="2">
        <v>4500458812</v>
      </c>
      <c r="C429" s="2">
        <v>507209</v>
      </c>
      <c r="D429" s="2" t="s">
        <v>4385</v>
      </c>
      <c r="F429" s="2" t="s">
        <v>2361</v>
      </c>
      <c r="G429" s="2" t="s">
        <v>3258</v>
      </c>
      <c r="H429" s="2" t="s">
        <v>4394</v>
      </c>
      <c r="I429" s="35">
        <v>44518</v>
      </c>
      <c r="J429" s="38">
        <v>8</v>
      </c>
      <c r="K429" s="39">
        <v>6.11</v>
      </c>
    </row>
    <row r="430" spans="2:11" ht="15" customHeight="1">
      <c r="B430" s="2">
        <v>4500458812</v>
      </c>
      <c r="C430" s="2">
        <v>507209</v>
      </c>
      <c r="D430" s="2" t="s">
        <v>4385</v>
      </c>
      <c r="F430" s="2" t="s">
        <v>2361</v>
      </c>
      <c r="G430" s="2" t="s">
        <v>3258</v>
      </c>
      <c r="H430" s="2" t="s">
        <v>4393</v>
      </c>
      <c r="I430" s="35">
        <v>44518</v>
      </c>
      <c r="J430" s="38">
        <v>24</v>
      </c>
      <c r="K430" s="39">
        <v>6.11</v>
      </c>
    </row>
    <row r="431" spans="2:11" ht="15" customHeight="1">
      <c r="B431" s="2">
        <v>4500458812</v>
      </c>
      <c r="C431" s="2">
        <v>507209</v>
      </c>
      <c r="D431" s="2" t="s">
        <v>4385</v>
      </c>
      <c r="F431" s="2" t="s">
        <v>2361</v>
      </c>
      <c r="G431" s="2" t="s">
        <v>3258</v>
      </c>
      <c r="H431" s="2" t="s">
        <v>4392</v>
      </c>
      <c r="I431" s="35">
        <v>44518</v>
      </c>
      <c r="J431" s="38">
        <v>48</v>
      </c>
      <c r="K431" s="39">
        <v>6.11</v>
      </c>
    </row>
    <row r="432" spans="2:11" ht="15" customHeight="1">
      <c r="B432" s="2">
        <v>4500458812</v>
      </c>
      <c r="C432" s="2">
        <v>507209</v>
      </c>
      <c r="D432" s="2" t="s">
        <v>4385</v>
      </c>
      <c r="F432" s="2" t="s">
        <v>2361</v>
      </c>
      <c r="G432" s="2" t="s">
        <v>3258</v>
      </c>
      <c r="H432" s="2" t="s">
        <v>4395</v>
      </c>
      <c r="I432" s="35">
        <v>44518</v>
      </c>
      <c r="J432" s="38">
        <v>28</v>
      </c>
      <c r="K432" s="39">
        <v>6.11</v>
      </c>
    </row>
    <row r="433" spans="2:11" ht="15" customHeight="1">
      <c r="B433" s="2">
        <v>4500458812</v>
      </c>
      <c r="C433" s="2">
        <v>507209</v>
      </c>
      <c r="D433" s="2" t="s">
        <v>4385</v>
      </c>
      <c r="F433" s="2" t="s">
        <v>2361</v>
      </c>
      <c r="G433" s="2" t="s">
        <v>3258</v>
      </c>
      <c r="H433" s="2" t="s">
        <v>3224</v>
      </c>
      <c r="I433" s="35">
        <v>44518</v>
      </c>
      <c r="J433" s="38">
        <v>20</v>
      </c>
      <c r="K433" s="39">
        <v>6.11</v>
      </c>
    </row>
    <row r="434" spans="2:11" ht="15" customHeight="1">
      <c r="B434" s="2">
        <v>4500458812</v>
      </c>
      <c r="C434" s="2">
        <v>507209</v>
      </c>
      <c r="D434" s="2" t="s">
        <v>4385</v>
      </c>
      <c r="F434" s="2" t="s">
        <v>2361</v>
      </c>
      <c r="G434" s="2" t="s">
        <v>3256</v>
      </c>
      <c r="H434" s="2" t="s">
        <v>4394</v>
      </c>
      <c r="I434" s="35">
        <v>44518</v>
      </c>
      <c r="J434" s="38">
        <v>8</v>
      </c>
      <c r="K434" s="39">
        <v>6.19</v>
      </c>
    </row>
    <row r="435" spans="2:11" ht="15" customHeight="1">
      <c r="B435" s="2">
        <v>4500458812</v>
      </c>
      <c r="C435" s="2">
        <v>507209</v>
      </c>
      <c r="D435" s="2" t="s">
        <v>4385</v>
      </c>
      <c r="F435" s="2" t="s">
        <v>2361</v>
      </c>
      <c r="G435" s="2" t="s">
        <v>3256</v>
      </c>
      <c r="H435" s="2" t="s">
        <v>4393</v>
      </c>
      <c r="I435" s="35">
        <v>44518</v>
      </c>
      <c r="J435" s="38">
        <v>20</v>
      </c>
      <c r="K435" s="39">
        <v>6.19</v>
      </c>
    </row>
    <row r="436" spans="2:11" ht="15" customHeight="1">
      <c r="B436" s="2">
        <v>4500458812</v>
      </c>
      <c r="C436" s="2">
        <v>507209</v>
      </c>
      <c r="D436" s="2" t="s">
        <v>4385</v>
      </c>
      <c r="F436" s="2" t="s">
        <v>2361</v>
      </c>
      <c r="G436" s="2" t="s">
        <v>3256</v>
      </c>
      <c r="H436" s="2" t="s">
        <v>4392</v>
      </c>
      <c r="I436" s="35">
        <v>44518</v>
      </c>
      <c r="J436" s="38">
        <v>28</v>
      </c>
      <c r="K436" s="39">
        <v>6.19</v>
      </c>
    </row>
    <row r="437" spans="2:11" ht="15" customHeight="1">
      <c r="B437" s="2">
        <v>4500458812</v>
      </c>
      <c r="C437" s="2">
        <v>507209</v>
      </c>
      <c r="D437" s="2" t="s">
        <v>4385</v>
      </c>
      <c r="F437" s="2" t="s">
        <v>2361</v>
      </c>
      <c r="G437" s="2" t="s">
        <v>3256</v>
      </c>
      <c r="H437" s="2" t="s">
        <v>4395</v>
      </c>
      <c r="I437" s="35">
        <v>44518</v>
      </c>
      <c r="J437" s="38">
        <v>24</v>
      </c>
      <c r="K437" s="39">
        <v>6.19</v>
      </c>
    </row>
    <row r="438" spans="2:11" ht="15" customHeight="1">
      <c r="B438" s="2">
        <v>4500458812</v>
      </c>
      <c r="C438" s="2">
        <v>507209</v>
      </c>
      <c r="D438" s="2" t="s">
        <v>4385</v>
      </c>
      <c r="F438" s="2" t="s">
        <v>2361</v>
      </c>
      <c r="G438" s="2" t="s">
        <v>3256</v>
      </c>
      <c r="H438" s="2" t="s">
        <v>3224</v>
      </c>
      <c r="I438" s="35">
        <v>44518</v>
      </c>
      <c r="J438" s="38">
        <v>16</v>
      </c>
      <c r="K438" s="39">
        <v>6.19</v>
      </c>
    </row>
    <row r="439" spans="2:11" ht="15" customHeight="1">
      <c r="B439" s="2">
        <v>4500458813</v>
      </c>
      <c r="C439" s="2">
        <v>506896</v>
      </c>
      <c r="D439" s="2" t="s">
        <v>4385</v>
      </c>
      <c r="F439" s="2" t="s">
        <v>2361</v>
      </c>
      <c r="G439" s="2" t="s">
        <v>3248</v>
      </c>
      <c r="H439" s="2" t="s">
        <v>4394</v>
      </c>
      <c r="I439" s="35">
        <v>44554</v>
      </c>
      <c r="J439" s="38">
        <v>230</v>
      </c>
      <c r="K439" s="39">
        <v>5.89</v>
      </c>
    </row>
    <row r="440" spans="2:11" ht="15" customHeight="1">
      <c r="B440" s="2">
        <v>4500458813</v>
      </c>
      <c r="C440" s="2">
        <v>506896</v>
      </c>
      <c r="D440" s="2" t="s">
        <v>4385</v>
      </c>
      <c r="F440" s="2" t="s">
        <v>2361</v>
      </c>
      <c r="G440" s="2" t="s">
        <v>3248</v>
      </c>
      <c r="H440" s="2" t="s">
        <v>4393</v>
      </c>
      <c r="I440" s="35">
        <v>44554</v>
      </c>
      <c r="J440" s="38">
        <v>460</v>
      </c>
      <c r="K440" s="39">
        <v>5.89</v>
      </c>
    </row>
    <row r="441" spans="2:11" ht="15" customHeight="1">
      <c r="B441" s="2">
        <v>4500458813</v>
      </c>
      <c r="C441" s="2">
        <v>506896</v>
      </c>
      <c r="D441" s="2" t="s">
        <v>4385</v>
      </c>
      <c r="F441" s="2" t="s">
        <v>2361</v>
      </c>
      <c r="G441" s="2" t="s">
        <v>3248</v>
      </c>
      <c r="H441" s="2" t="s">
        <v>4392</v>
      </c>
      <c r="I441" s="35">
        <v>44554</v>
      </c>
      <c r="J441" s="38">
        <v>690</v>
      </c>
      <c r="K441" s="39">
        <v>5.89</v>
      </c>
    </row>
    <row r="442" spans="2:11" ht="15" customHeight="1">
      <c r="B442" s="2">
        <v>4500458813</v>
      </c>
      <c r="C442" s="2">
        <v>506896</v>
      </c>
      <c r="D442" s="2" t="s">
        <v>4385</v>
      </c>
      <c r="F442" s="2" t="s">
        <v>2361</v>
      </c>
      <c r="G442" s="2" t="s">
        <v>3248</v>
      </c>
      <c r="H442" s="2" t="s">
        <v>4395</v>
      </c>
      <c r="I442" s="35">
        <v>44554</v>
      </c>
      <c r="J442" s="38">
        <v>690</v>
      </c>
      <c r="K442" s="39">
        <v>5.89</v>
      </c>
    </row>
    <row r="443" spans="2:11" ht="15" customHeight="1">
      <c r="B443" s="2">
        <v>4500458813</v>
      </c>
      <c r="C443" s="2">
        <v>506896</v>
      </c>
      <c r="D443" s="2" t="s">
        <v>4385</v>
      </c>
      <c r="F443" s="2" t="s">
        <v>2361</v>
      </c>
      <c r="G443" s="2" t="s">
        <v>3248</v>
      </c>
      <c r="H443" s="2" t="s">
        <v>3224</v>
      </c>
      <c r="I443" s="35">
        <v>44554</v>
      </c>
      <c r="J443" s="38">
        <v>230</v>
      </c>
      <c r="K443" s="39">
        <v>5.89</v>
      </c>
    </row>
    <row r="444" spans="2:11" ht="15" customHeight="1">
      <c r="B444" s="2">
        <v>4500458813</v>
      </c>
      <c r="C444" s="2">
        <v>506896</v>
      </c>
      <c r="D444" s="2" t="s">
        <v>4385</v>
      </c>
      <c r="F444" s="2" t="s">
        <v>2361</v>
      </c>
      <c r="G444" s="2" t="s">
        <v>3252</v>
      </c>
      <c r="H444" s="2" t="s">
        <v>4394</v>
      </c>
      <c r="I444" s="35">
        <v>44554</v>
      </c>
      <c r="J444" s="38">
        <v>230</v>
      </c>
      <c r="K444" s="39">
        <v>5.89</v>
      </c>
    </row>
    <row r="445" spans="2:11" ht="15" customHeight="1">
      <c r="B445" s="2">
        <v>4500458813</v>
      </c>
      <c r="C445" s="2">
        <v>506896</v>
      </c>
      <c r="D445" s="2" t="s">
        <v>4385</v>
      </c>
      <c r="F445" s="2" t="s">
        <v>2361</v>
      </c>
      <c r="G445" s="2" t="s">
        <v>3252</v>
      </c>
      <c r="H445" s="2" t="s">
        <v>4393</v>
      </c>
      <c r="I445" s="35">
        <v>44554</v>
      </c>
      <c r="J445" s="38">
        <v>460</v>
      </c>
      <c r="K445" s="39">
        <v>5.89</v>
      </c>
    </row>
    <row r="446" spans="2:11" ht="15" customHeight="1">
      <c r="B446" s="2">
        <v>4500458813</v>
      </c>
      <c r="C446" s="2">
        <v>506896</v>
      </c>
      <c r="D446" s="2" t="s">
        <v>4385</v>
      </c>
      <c r="F446" s="2" t="s">
        <v>2361</v>
      </c>
      <c r="G446" s="2" t="s">
        <v>3252</v>
      </c>
      <c r="H446" s="2" t="s">
        <v>4392</v>
      </c>
      <c r="I446" s="35">
        <v>44554</v>
      </c>
      <c r="J446" s="38">
        <v>690</v>
      </c>
      <c r="K446" s="39">
        <v>5.89</v>
      </c>
    </row>
    <row r="447" spans="2:11" ht="15" customHeight="1">
      <c r="B447" s="2">
        <v>4500458813</v>
      </c>
      <c r="C447" s="2">
        <v>506896</v>
      </c>
      <c r="D447" s="2" t="s">
        <v>4385</v>
      </c>
      <c r="F447" s="2" t="s">
        <v>2361</v>
      </c>
      <c r="G447" s="2" t="s">
        <v>3252</v>
      </c>
      <c r="H447" s="2" t="s">
        <v>4395</v>
      </c>
      <c r="I447" s="35">
        <v>44554</v>
      </c>
      <c r="J447" s="38">
        <v>690</v>
      </c>
      <c r="K447" s="39">
        <v>5.89</v>
      </c>
    </row>
    <row r="448" spans="2:11" ht="15" customHeight="1">
      <c r="B448" s="2">
        <v>4500458813</v>
      </c>
      <c r="C448" s="2">
        <v>506896</v>
      </c>
      <c r="D448" s="2" t="s">
        <v>4385</v>
      </c>
      <c r="F448" s="2" t="s">
        <v>2361</v>
      </c>
      <c r="G448" s="2" t="s">
        <v>3252</v>
      </c>
      <c r="H448" s="2" t="s">
        <v>3224</v>
      </c>
      <c r="I448" s="35">
        <v>44554</v>
      </c>
      <c r="J448" s="38">
        <v>230</v>
      </c>
      <c r="K448" s="39">
        <v>5.89</v>
      </c>
    </row>
    <row r="449" spans="2:11" ht="15" customHeight="1">
      <c r="B449" s="2">
        <v>4500458813</v>
      </c>
      <c r="C449" s="2">
        <v>507209</v>
      </c>
      <c r="D449" s="2" t="s">
        <v>4385</v>
      </c>
      <c r="F449" s="2" t="s">
        <v>2361</v>
      </c>
      <c r="G449" s="2" t="s">
        <v>3255</v>
      </c>
      <c r="H449" s="2" t="s">
        <v>4394</v>
      </c>
      <c r="I449" s="35">
        <v>44554</v>
      </c>
      <c r="J449" s="38">
        <v>230</v>
      </c>
      <c r="K449" s="39">
        <v>6.11</v>
      </c>
    </row>
    <row r="450" spans="2:11" ht="15" customHeight="1">
      <c r="B450" s="2">
        <v>4500458813</v>
      </c>
      <c r="C450" s="2">
        <v>507209</v>
      </c>
      <c r="D450" s="2" t="s">
        <v>4385</v>
      </c>
      <c r="F450" s="2" t="s">
        <v>2361</v>
      </c>
      <c r="G450" s="2" t="s">
        <v>3255</v>
      </c>
      <c r="H450" s="2" t="s">
        <v>4393</v>
      </c>
      <c r="I450" s="35">
        <v>44554</v>
      </c>
      <c r="J450" s="38">
        <v>460</v>
      </c>
      <c r="K450" s="39">
        <v>6.11</v>
      </c>
    </row>
    <row r="451" spans="2:11" ht="15" customHeight="1">
      <c r="B451" s="2">
        <v>4500458813</v>
      </c>
      <c r="C451" s="2">
        <v>507209</v>
      </c>
      <c r="D451" s="2" t="s">
        <v>4385</v>
      </c>
      <c r="F451" s="2" t="s">
        <v>2361</v>
      </c>
      <c r="G451" s="2" t="s">
        <v>3255</v>
      </c>
      <c r="H451" s="2" t="s">
        <v>4392</v>
      </c>
      <c r="I451" s="35">
        <v>44554</v>
      </c>
      <c r="J451" s="38">
        <v>690</v>
      </c>
      <c r="K451" s="39">
        <v>6.11</v>
      </c>
    </row>
    <row r="452" spans="2:11" ht="15" customHeight="1">
      <c r="B452" s="2">
        <v>4500458813</v>
      </c>
      <c r="C452" s="2">
        <v>507209</v>
      </c>
      <c r="D452" s="2" t="s">
        <v>4385</v>
      </c>
      <c r="F452" s="2" t="s">
        <v>2361</v>
      </c>
      <c r="G452" s="2" t="s">
        <v>3255</v>
      </c>
      <c r="H452" s="2" t="s">
        <v>4395</v>
      </c>
      <c r="I452" s="35">
        <v>44554</v>
      </c>
      <c r="J452" s="38">
        <v>690</v>
      </c>
      <c r="K452" s="39">
        <v>6.11</v>
      </c>
    </row>
    <row r="453" spans="2:11" ht="15" customHeight="1">
      <c r="B453" s="2">
        <v>4500458813</v>
      </c>
      <c r="C453" s="2">
        <v>507209</v>
      </c>
      <c r="D453" s="2" t="s">
        <v>4385</v>
      </c>
      <c r="F453" s="2" t="s">
        <v>2361</v>
      </c>
      <c r="G453" s="2" t="s">
        <v>3255</v>
      </c>
      <c r="H453" s="2" t="s">
        <v>3224</v>
      </c>
      <c r="I453" s="35">
        <v>44554</v>
      </c>
      <c r="J453" s="38">
        <v>230</v>
      </c>
      <c r="K453" s="39">
        <v>6.11</v>
      </c>
    </row>
    <row r="454" spans="2:11" ht="15" customHeight="1">
      <c r="B454" s="2">
        <v>4500458813</v>
      </c>
      <c r="C454" s="2">
        <v>507209</v>
      </c>
      <c r="D454" s="2" t="s">
        <v>4385</v>
      </c>
      <c r="F454" s="2" t="s">
        <v>2361</v>
      </c>
      <c r="G454" s="2" t="s">
        <v>3257</v>
      </c>
      <c r="H454" s="2" t="s">
        <v>4394</v>
      </c>
      <c r="I454" s="35">
        <v>44554</v>
      </c>
      <c r="J454" s="38">
        <v>230</v>
      </c>
      <c r="K454" s="39">
        <v>6.19</v>
      </c>
    </row>
    <row r="455" spans="2:11" ht="15" customHeight="1">
      <c r="B455" s="2">
        <v>4500458813</v>
      </c>
      <c r="C455" s="2">
        <v>507209</v>
      </c>
      <c r="D455" s="2" t="s">
        <v>4385</v>
      </c>
      <c r="F455" s="2" t="s">
        <v>2361</v>
      </c>
      <c r="G455" s="2" t="s">
        <v>3257</v>
      </c>
      <c r="H455" s="2" t="s">
        <v>4393</v>
      </c>
      <c r="I455" s="35">
        <v>44554</v>
      </c>
      <c r="J455" s="38">
        <v>460</v>
      </c>
      <c r="K455" s="39">
        <v>6.19</v>
      </c>
    </row>
    <row r="456" spans="2:11" ht="15" customHeight="1">
      <c r="B456" s="2">
        <v>4500458813</v>
      </c>
      <c r="C456" s="2">
        <v>507209</v>
      </c>
      <c r="D456" s="2" t="s">
        <v>4385</v>
      </c>
      <c r="F456" s="2" t="s">
        <v>2361</v>
      </c>
      <c r="G456" s="2" t="s">
        <v>3257</v>
      </c>
      <c r="H456" s="2" t="s">
        <v>4392</v>
      </c>
      <c r="I456" s="35">
        <v>44554</v>
      </c>
      <c r="J456" s="38">
        <v>690</v>
      </c>
      <c r="K456" s="39">
        <v>6.19</v>
      </c>
    </row>
    <row r="457" spans="2:11" ht="15" customHeight="1">
      <c r="B457" s="2">
        <v>4500458813</v>
      </c>
      <c r="C457" s="2">
        <v>507209</v>
      </c>
      <c r="D457" s="2" t="s">
        <v>4385</v>
      </c>
      <c r="F457" s="2" t="s">
        <v>2361</v>
      </c>
      <c r="G457" s="2" t="s">
        <v>3257</v>
      </c>
      <c r="H457" s="2" t="s">
        <v>4395</v>
      </c>
      <c r="I457" s="35">
        <v>44554</v>
      </c>
      <c r="J457" s="38">
        <v>690</v>
      </c>
      <c r="K457" s="39">
        <v>6.19</v>
      </c>
    </row>
    <row r="458" spans="2:11" ht="15" customHeight="1">
      <c r="B458" s="2">
        <v>4500458813</v>
      </c>
      <c r="C458" s="2">
        <v>507209</v>
      </c>
      <c r="D458" s="2" t="s">
        <v>4385</v>
      </c>
      <c r="F458" s="2" t="s">
        <v>2361</v>
      </c>
      <c r="G458" s="2" t="s">
        <v>3257</v>
      </c>
      <c r="H458" s="2" t="s">
        <v>3224</v>
      </c>
      <c r="I458" s="35">
        <v>44554</v>
      </c>
      <c r="J458" s="38">
        <v>230</v>
      </c>
      <c r="K458" s="39">
        <v>6.19</v>
      </c>
    </row>
    <row r="459" spans="2:11" ht="15" customHeight="1">
      <c r="B459" s="2">
        <v>4500458813</v>
      </c>
      <c r="C459" s="2">
        <v>507209</v>
      </c>
      <c r="D459" s="2" t="s">
        <v>4385</v>
      </c>
      <c r="F459" s="2" t="s">
        <v>2361</v>
      </c>
      <c r="G459" s="2" t="s">
        <v>3258</v>
      </c>
      <c r="H459" s="2" t="s">
        <v>4394</v>
      </c>
      <c r="I459" s="35">
        <v>44554</v>
      </c>
      <c r="J459" s="38">
        <v>230</v>
      </c>
      <c r="K459" s="39">
        <v>6.11</v>
      </c>
    </row>
    <row r="460" spans="2:11" ht="15" customHeight="1">
      <c r="B460" s="2">
        <v>4500458813</v>
      </c>
      <c r="C460" s="2">
        <v>507209</v>
      </c>
      <c r="D460" s="2" t="s">
        <v>4385</v>
      </c>
      <c r="F460" s="2" t="s">
        <v>2361</v>
      </c>
      <c r="G460" s="2" t="s">
        <v>3258</v>
      </c>
      <c r="H460" s="2" t="s">
        <v>4393</v>
      </c>
      <c r="I460" s="35">
        <v>44554</v>
      </c>
      <c r="J460" s="38">
        <v>460</v>
      </c>
      <c r="K460" s="39">
        <v>6.11</v>
      </c>
    </row>
    <row r="461" spans="2:11" ht="15" customHeight="1">
      <c r="B461" s="2">
        <v>4500458813</v>
      </c>
      <c r="C461" s="2">
        <v>507209</v>
      </c>
      <c r="D461" s="2" t="s">
        <v>4385</v>
      </c>
      <c r="F461" s="2" t="s">
        <v>2361</v>
      </c>
      <c r="G461" s="2" t="s">
        <v>3258</v>
      </c>
      <c r="H461" s="2" t="s">
        <v>4392</v>
      </c>
      <c r="I461" s="35">
        <v>44554</v>
      </c>
      <c r="J461" s="38">
        <v>690</v>
      </c>
      <c r="K461" s="39">
        <v>6.11</v>
      </c>
    </row>
    <row r="462" spans="2:11" ht="15" customHeight="1">
      <c r="B462" s="2">
        <v>4500458813</v>
      </c>
      <c r="C462" s="2">
        <v>507209</v>
      </c>
      <c r="D462" s="2" t="s">
        <v>4385</v>
      </c>
      <c r="F462" s="2" t="s">
        <v>2361</v>
      </c>
      <c r="G462" s="2" t="s">
        <v>3258</v>
      </c>
      <c r="H462" s="2" t="s">
        <v>4395</v>
      </c>
      <c r="I462" s="35">
        <v>44554</v>
      </c>
      <c r="J462" s="38">
        <v>690</v>
      </c>
      <c r="K462" s="39">
        <v>6.11</v>
      </c>
    </row>
    <row r="463" spans="2:11" ht="15" customHeight="1">
      <c r="B463" s="2">
        <v>4500458813</v>
      </c>
      <c r="C463" s="2">
        <v>507209</v>
      </c>
      <c r="D463" s="2" t="s">
        <v>4385</v>
      </c>
      <c r="F463" s="2" t="s">
        <v>2361</v>
      </c>
      <c r="G463" s="2" t="s">
        <v>3258</v>
      </c>
      <c r="H463" s="2" t="s">
        <v>3224</v>
      </c>
      <c r="I463" s="35">
        <v>44554</v>
      </c>
      <c r="J463" s="38">
        <v>230</v>
      </c>
      <c r="K463" s="39">
        <v>6.11</v>
      </c>
    </row>
    <row r="464" spans="2:11" ht="15" customHeight="1">
      <c r="B464" s="2">
        <v>4500458813</v>
      </c>
      <c r="C464" s="2">
        <v>507209</v>
      </c>
      <c r="D464" s="2" t="s">
        <v>4385</v>
      </c>
      <c r="F464" s="2" t="s">
        <v>2361</v>
      </c>
      <c r="G464" s="2" t="s">
        <v>3256</v>
      </c>
      <c r="H464" s="2" t="s">
        <v>4394</v>
      </c>
      <c r="I464" s="35">
        <v>44554</v>
      </c>
      <c r="J464" s="38">
        <v>230</v>
      </c>
      <c r="K464" s="39">
        <v>6.19</v>
      </c>
    </row>
    <row r="465" spans="2:11" ht="15" customHeight="1">
      <c r="B465" s="2">
        <v>4500458813</v>
      </c>
      <c r="C465" s="2">
        <v>507209</v>
      </c>
      <c r="D465" s="2" t="s">
        <v>4385</v>
      </c>
      <c r="F465" s="2" t="s">
        <v>2361</v>
      </c>
      <c r="G465" s="2" t="s">
        <v>3256</v>
      </c>
      <c r="H465" s="2" t="s">
        <v>4393</v>
      </c>
      <c r="I465" s="35">
        <v>44554</v>
      </c>
      <c r="J465" s="38">
        <v>460</v>
      </c>
      <c r="K465" s="39">
        <v>6.19</v>
      </c>
    </row>
    <row r="466" spans="2:11" ht="15" customHeight="1">
      <c r="B466" s="2">
        <v>4500458813</v>
      </c>
      <c r="C466" s="2">
        <v>507209</v>
      </c>
      <c r="D466" s="2" t="s">
        <v>4385</v>
      </c>
      <c r="F466" s="2" t="s">
        <v>2361</v>
      </c>
      <c r="G466" s="2" t="s">
        <v>3256</v>
      </c>
      <c r="H466" s="2" t="s">
        <v>4392</v>
      </c>
      <c r="I466" s="35">
        <v>44554</v>
      </c>
      <c r="J466" s="38">
        <v>690</v>
      </c>
      <c r="K466" s="39">
        <v>6.19</v>
      </c>
    </row>
    <row r="467" spans="2:11" ht="15" customHeight="1">
      <c r="B467" s="2">
        <v>4500458813</v>
      </c>
      <c r="C467" s="2">
        <v>507209</v>
      </c>
      <c r="D467" s="2" t="s">
        <v>4385</v>
      </c>
      <c r="F467" s="2" t="s">
        <v>2361</v>
      </c>
      <c r="G467" s="2" t="s">
        <v>3256</v>
      </c>
      <c r="H467" s="2" t="s">
        <v>4395</v>
      </c>
      <c r="I467" s="35">
        <v>44554</v>
      </c>
      <c r="J467" s="38">
        <v>690</v>
      </c>
      <c r="K467" s="39">
        <v>6.19</v>
      </c>
    </row>
    <row r="468" spans="2:11" ht="15" customHeight="1">
      <c r="B468" s="2">
        <v>4500458813</v>
      </c>
      <c r="C468" s="2">
        <v>507209</v>
      </c>
      <c r="D468" s="2" t="s">
        <v>4385</v>
      </c>
      <c r="F468" s="2" t="s">
        <v>2361</v>
      </c>
      <c r="G468" s="2" t="s">
        <v>3256</v>
      </c>
      <c r="H468" s="2" t="s">
        <v>3224</v>
      </c>
      <c r="I468" s="35">
        <v>44554</v>
      </c>
      <c r="J468" s="38">
        <v>230</v>
      </c>
      <c r="K468" s="39">
        <v>6.19</v>
      </c>
    </row>
    <row r="469" spans="2:11" ht="15" customHeight="1">
      <c r="B469" s="2">
        <v>4500458811</v>
      </c>
      <c r="C469" s="2">
        <v>506896</v>
      </c>
      <c r="D469" s="2" t="s">
        <v>4385</v>
      </c>
      <c r="F469" s="2" t="s">
        <v>2361</v>
      </c>
      <c r="G469" s="2" t="s">
        <v>3248</v>
      </c>
      <c r="H469" s="2" t="s">
        <v>4394</v>
      </c>
      <c r="I469" s="35">
        <v>44504</v>
      </c>
      <c r="J469" s="38">
        <v>10</v>
      </c>
      <c r="K469" s="39">
        <v>5.89</v>
      </c>
    </row>
    <row r="470" spans="2:11" ht="15" customHeight="1">
      <c r="B470" s="2">
        <v>4500458811</v>
      </c>
      <c r="C470" s="2">
        <v>506896</v>
      </c>
      <c r="D470" s="2" t="s">
        <v>4385</v>
      </c>
      <c r="F470" s="2" t="s">
        <v>2361</v>
      </c>
      <c r="G470" s="2" t="s">
        <v>3248</v>
      </c>
      <c r="H470" s="2" t="s">
        <v>4393</v>
      </c>
      <c r="I470" s="35">
        <v>44504</v>
      </c>
      <c r="J470" s="38">
        <v>20</v>
      </c>
      <c r="K470" s="39">
        <v>5.89</v>
      </c>
    </row>
    <row r="471" spans="2:11" ht="15" customHeight="1">
      <c r="B471" s="2">
        <v>4500458811</v>
      </c>
      <c r="C471" s="2">
        <v>506896</v>
      </c>
      <c r="D471" s="2" t="s">
        <v>4385</v>
      </c>
      <c r="F471" s="2" t="s">
        <v>2361</v>
      </c>
      <c r="G471" s="2" t="s">
        <v>3248</v>
      </c>
      <c r="H471" s="2" t="s">
        <v>4392</v>
      </c>
      <c r="I471" s="35">
        <v>44504</v>
      </c>
      <c r="J471" s="38">
        <v>30</v>
      </c>
      <c r="K471" s="39">
        <v>5.89</v>
      </c>
    </row>
    <row r="472" spans="2:11" ht="15" customHeight="1">
      <c r="B472" s="2">
        <v>4500458811</v>
      </c>
      <c r="C472" s="2">
        <v>506896</v>
      </c>
      <c r="D472" s="2" t="s">
        <v>4385</v>
      </c>
      <c r="F472" s="2" t="s">
        <v>2361</v>
      </c>
      <c r="G472" s="2" t="s">
        <v>3248</v>
      </c>
      <c r="H472" s="2" t="s">
        <v>4395</v>
      </c>
      <c r="I472" s="35">
        <v>44504</v>
      </c>
      <c r="J472" s="38">
        <v>30</v>
      </c>
      <c r="K472" s="39">
        <v>5.89</v>
      </c>
    </row>
    <row r="473" spans="2:11" ht="15" customHeight="1">
      <c r="B473" s="2">
        <v>4500458811</v>
      </c>
      <c r="C473" s="2">
        <v>506896</v>
      </c>
      <c r="D473" s="2" t="s">
        <v>4385</v>
      </c>
      <c r="F473" s="2" t="s">
        <v>2361</v>
      </c>
      <c r="G473" s="2" t="s">
        <v>3248</v>
      </c>
      <c r="H473" s="2" t="s">
        <v>3224</v>
      </c>
      <c r="I473" s="35">
        <v>44504</v>
      </c>
      <c r="J473" s="38">
        <v>10</v>
      </c>
      <c r="K473" s="39">
        <v>5.89</v>
      </c>
    </row>
    <row r="474" spans="2:11" ht="15" customHeight="1">
      <c r="B474" s="2">
        <v>4500458811</v>
      </c>
      <c r="C474" s="2">
        <v>506896</v>
      </c>
      <c r="D474" s="2" t="s">
        <v>4385</v>
      </c>
      <c r="F474" s="2" t="s">
        <v>2361</v>
      </c>
      <c r="G474" s="2" t="s">
        <v>3252</v>
      </c>
      <c r="H474" s="2" t="s">
        <v>4394</v>
      </c>
      <c r="I474" s="35">
        <v>44504</v>
      </c>
      <c r="J474" s="38">
        <v>10</v>
      </c>
      <c r="K474" s="39">
        <v>5.89</v>
      </c>
    </row>
    <row r="475" spans="2:11" ht="15" customHeight="1">
      <c r="B475" s="2">
        <v>4500458811</v>
      </c>
      <c r="C475" s="2">
        <v>506896</v>
      </c>
      <c r="D475" s="2" t="s">
        <v>4385</v>
      </c>
      <c r="F475" s="2" t="s">
        <v>2361</v>
      </c>
      <c r="G475" s="2" t="s">
        <v>3252</v>
      </c>
      <c r="H475" s="2" t="s">
        <v>4393</v>
      </c>
      <c r="I475" s="35">
        <v>44504</v>
      </c>
      <c r="J475" s="38">
        <v>20</v>
      </c>
      <c r="K475" s="39">
        <v>5.89</v>
      </c>
    </row>
    <row r="476" spans="2:11" ht="15" customHeight="1">
      <c r="B476" s="2">
        <v>4500458811</v>
      </c>
      <c r="C476" s="2">
        <v>506896</v>
      </c>
      <c r="D476" s="2" t="s">
        <v>4385</v>
      </c>
      <c r="F476" s="2" t="s">
        <v>2361</v>
      </c>
      <c r="G476" s="2" t="s">
        <v>3252</v>
      </c>
      <c r="H476" s="2" t="s">
        <v>4392</v>
      </c>
      <c r="I476" s="35">
        <v>44504</v>
      </c>
      <c r="J476" s="38">
        <v>30</v>
      </c>
      <c r="K476" s="39">
        <v>5.89</v>
      </c>
    </row>
    <row r="477" spans="2:11" ht="15" customHeight="1">
      <c r="B477" s="2">
        <v>4500458811</v>
      </c>
      <c r="C477" s="2">
        <v>506896</v>
      </c>
      <c r="D477" s="2" t="s">
        <v>4385</v>
      </c>
      <c r="F477" s="2" t="s">
        <v>2361</v>
      </c>
      <c r="G477" s="2" t="s">
        <v>3252</v>
      </c>
      <c r="H477" s="2" t="s">
        <v>4395</v>
      </c>
      <c r="I477" s="35">
        <v>44504</v>
      </c>
      <c r="J477" s="38">
        <v>30</v>
      </c>
      <c r="K477" s="39">
        <v>5.89</v>
      </c>
    </row>
    <row r="478" spans="2:11" ht="15" customHeight="1">
      <c r="B478" s="2">
        <v>4500458811</v>
      </c>
      <c r="C478" s="2">
        <v>506896</v>
      </c>
      <c r="D478" s="2" t="s">
        <v>4385</v>
      </c>
      <c r="F478" s="2" t="s">
        <v>2361</v>
      </c>
      <c r="G478" s="2" t="s">
        <v>3252</v>
      </c>
      <c r="H478" s="2" t="s">
        <v>3224</v>
      </c>
      <c r="I478" s="35">
        <v>44504</v>
      </c>
      <c r="J478" s="38">
        <v>10</v>
      </c>
      <c r="K478" s="39">
        <v>5.89</v>
      </c>
    </row>
    <row r="479" spans="2:11" ht="15" customHeight="1">
      <c r="B479" s="2">
        <v>4500458811</v>
      </c>
      <c r="C479" s="2">
        <v>507209</v>
      </c>
      <c r="D479" s="2" t="s">
        <v>4385</v>
      </c>
      <c r="F479" s="2" t="s">
        <v>2361</v>
      </c>
      <c r="G479" s="2" t="s">
        <v>3255</v>
      </c>
      <c r="H479" s="2" t="s">
        <v>4394</v>
      </c>
      <c r="I479" s="35">
        <v>44504</v>
      </c>
      <c r="J479" s="38">
        <v>10</v>
      </c>
      <c r="K479" s="39">
        <v>6.11</v>
      </c>
    </row>
    <row r="480" spans="2:11" ht="15" customHeight="1">
      <c r="B480" s="2">
        <v>4500458811</v>
      </c>
      <c r="C480" s="2">
        <v>507209</v>
      </c>
      <c r="D480" s="2" t="s">
        <v>4385</v>
      </c>
      <c r="F480" s="2" t="s">
        <v>2361</v>
      </c>
      <c r="G480" s="2" t="s">
        <v>3255</v>
      </c>
      <c r="H480" s="2" t="s">
        <v>4393</v>
      </c>
      <c r="I480" s="35">
        <v>44504</v>
      </c>
      <c r="J480" s="38">
        <v>20</v>
      </c>
      <c r="K480" s="39">
        <v>6.11</v>
      </c>
    </row>
    <row r="481" spans="2:11" ht="15" customHeight="1">
      <c r="B481" s="2">
        <v>4500458811</v>
      </c>
      <c r="C481" s="2">
        <v>507209</v>
      </c>
      <c r="D481" s="2" t="s">
        <v>4385</v>
      </c>
      <c r="F481" s="2" t="s">
        <v>2361</v>
      </c>
      <c r="G481" s="2" t="s">
        <v>3255</v>
      </c>
      <c r="H481" s="2" t="s">
        <v>4392</v>
      </c>
      <c r="I481" s="35">
        <v>44504</v>
      </c>
      <c r="J481" s="38">
        <v>30</v>
      </c>
      <c r="K481" s="39">
        <v>6.11</v>
      </c>
    </row>
    <row r="482" spans="2:11" ht="15" customHeight="1">
      <c r="B482" s="2">
        <v>4500458811</v>
      </c>
      <c r="C482" s="2">
        <v>507209</v>
      </c>
      <c r="D482" s="2" t="s">
        <v>4385</v>
      </c>
      <c r="F482" s="2" t="s">
        <v>2361</v>
      </c>
      <c r="G482" s="2" t="s">
        <v>3255</v>
      </c>
      <c r="H482" s="2" t="s">
        <v>4395</v>
      </c>
      <c r="I482" s="35">
        <v>44504</v>
      </c>
      <c r="J482" s="38">
        <v>30</v>
      </c>
      <c r="K482" s="39">
        <v>6.11</v>
      </c>
    </row>
    <row r="483" spans="2:11" ht="15" customHeight="1">
      <c r="B483" s="2">
        <v>4500458811</v>
      </c>
      <c r="C483" s="2">
        <v>507209</v>
      </c>
      <c r="D483" s="2" t="s">
        <v>4385</v>
      </c>
      <c r="F483" s="2" t="s">
        <v>2361</v>
      </c>
      <c r="G483" s="2" t="s">
        <v>3255</v>
      </c>
      <c r="H483" s="2" t="s">
        <v>3224</v>
      </c>
      <c r="I483" s="35">
        <v>44504</v>
      </c>
      <c r="J483" s="38">
        <v>10</v>
      </c>
      <c r="K483" s="39">
        <v>6.11</v>
      </c>
    </row>
    <row r="484" spans="2:11" ht="15" customHeight="1">
      <c r="B484" s="2">
        <v>4500458811</v>
      </c>
      <c r="C484" s="2">
        <v>507209</v>
      </c>
      <c r="D484" s="2" t="s">
        <v>4385</v>
      </c>
      <c r="F484" s="2" t="s">
        <v>2361</v>
      </c>
      <c r="G484" s="2" t="s">
        <v>3257</v>
      </c>
      <c r="H484" s="2" t="s">
        <v>4394</v>
      </c>
      <c r="I484" s="35">
        <v>44504</v>
      </c>
      <c r="J484" s="38">
        <v>10</v>
      </c>
      <c r="K484" s="39">
        <v>6.19</v>
      </c>
    </row>
    <row r="485" spans="2:11" ht="15" customHeight="1">
      <c r="B485" s="2">
        <v>4500458811</v>
      </c>
      <c r="C485" s="2">
        <v>507209</v>
      </c>
      <c r="D485" s="2" t="s">
        <v>4385</v>
      </c>
      <c r="F485" s="2" t="s">
        <v>2361</v>
      </c>
      <c r="G485" s="2" t="s">
        <v>3257</v>
      </c>
      <c r="H485" s="2" t="s">
        <v>4393</v>
      </c>
      <c r="I485" s="35">
        <v>44504</v>
      </c>
      <c r="J485" s="38">
        <v>20</v>
      </c>
      <c r="K485" s="39">
        <v>6.19</v>
      </c>
    </row>
    <row r="486" spans="2:11" ht="15" customHeight="1">
      <c r="B486" s="2">
        <v>4500458811</v>
      </c>
      <c r="C486" s="2">
        <v>507209</v>
      </c>
      <c r="D486" s="2" t="s">
        <v>4385</v>
      </c>
      <c r="F486" s="2" t="s">
        <v>2361</v>
      </c>
      <c r="G486" s="2" t="s">
        <v>3257</v>
      </c>
      <c r="H486" s="2" t="s">
        <v>4392</v>
      </c>
      <c r="I486" s="35">
        <v>44504</v>
      </c>
      <c r="J486" s="38">
        <v>30</v>
      </c>
      <c r="K486" s="39">
        <v>6.19</v>
      </c>
    </row>
    <row r="487" spans="2:11" ht="15" customHeight="1">
      <c r="B487" s="2">
        <v>4500458811</v>
      </c>
      <c r="C487" s="2">
        <v>507209</v>
      </c>
      <c r="D487" s="2" t="s">
        <v>4385</v>
      </c>
      <c r="F487" s="2" t="s">
        <v>2361</v>
      </c>
      <c r="G487" s="2" t="s">
        <v>3257</v>
      </c>
      <c r="H487" s="2" t="s">
        <v>4395</v>
      </c>
      <c r="I487" s="35">
        <v>44504</v>
      </c>
      <c r="J487" s="38">
        <v>30</v>
      </c>
      <c r="K487" s="39">
        <v>6.19</v>
      </c>
    </row>
    <row r="488" spans="2:11" ht="15" customHeight="1">
      <c r="B488" s="2">
        <v>4500458811</v>
      </c>
      <c r="C488" s="2">
        <v>507209</v>
      </c>
      <c r="D488" s="2" t="s">
        <v>4385</v>
      </c>
      <c r="F488" s="2" t="s">
        <v>2361</v>
      </c>
      <c r="G488" s="2" t="s">
        <v>3257</v>
      </c>
      <c r="H488" s="2" t="s">
        <v>3224</v>
      </c>
      <c r="I488" s="35">
        <v>44504</v>
      </c>
      <c r="J488" s="38">
        <v>10</v>
      </c>
      <c r="K488" s="39">
        <v>6.19</v>
      </c>
    </row>
    <row r="489" spans="2:11" ht="15" customHeight="1">
      <c r="B489" s="2">
        <v>4500458811</v>
      </c>
      <c r="C489" s="2">
        <v>507209</v>
      </c>
      <c r="D489" s="2" t="s">
        <v>4385</v>
      </c>
      <c r="F489" s="2" t="s">
        <v>2361</v>
      </c>
      <c r="G489" s="2" t="s">
        <v>3258</v>
      </c>
      <c r="H489" s="2" t="s">
        <v>4394</v>
      </c>
      <c r="I489" s="35">
        <v>44504</v>
      </c>
      <c r="J489" s="38">
        <v>10</v>
      </c>
      <c r="K489" s="39">
        <v>6.11</v>
      </c>
    </row>
    <row r="490" spans="2:11" ht="15" customHeight="1">
      <c r="B490" s="2">
        <v>4500458811</v>
      </c>
      <c r="C490" s="2">
        <v>507209</v>
      </c>
      <c r="D490" s="2" t="s">
        <v>4385</v>
      </c>
      <c r="F490" s="2" t="s">
        <v>2361</v>
      </c>
      <c r="G490" s="2" t="s">
        <v>3258</v>
      </c>
      <c r="H490" s="2" t="s">
        <v>4393</v>
      </c>
      <c r="I490" s="35">
        <v>44504</v>
      </c>
      <c r="J490" s="38">
        <v>20</v>
      </c>
      <c r="K490" s="39">
        <v>6.11</v>
      </c>
    </row>
    <row r="491" spans="2:11" ht="15" customHeight="1">
      <c r="B491" s="2">
        <v>4500458811</v>
      </c>
      <c r="C491" s="2">
        <v>507209</v>
      </c>
      <c r="D491" s="2" t="s">
        <v>4385</v>
      </c>
      <c r="F491" s="2" t="s">
        <v>2361</v>
      </c>
      <c r="G491" s="2" t="s">
        <v>3258</v>
      </c>
      <c r="H491" s="2" t="s">
        <v>4392</v>
      </c>
      <c r="I491" s="35">
        <v>44504</v>
      </c>
      <c r="J491" s="38">
        <v>30</v>
      </c>
      <c r="K491" s="39">
        <v>6.11</v>
      </c>
    </row>
    <row r="492" spans="2:11" ht="15" customHeight="1">
      <c r="B492" s="2">
        <v>4500458811</v>
      </c>
      <c r="C492" s="2">
        <v>507209</v>
      </c>
      <c r="D492" s="2" t="s">
        <v>4385</v>
      </c>
      <c r="F492" s="2" t="s">
        <v>2361</v>
      </c>
      <c r="G492" s="2" t="s">
        <v>3258</v>
      </c>
      <c r="H492" s="2" t="s">
        <v>4395</v>
      </c>
      <c r="I492" s="35">
        <v>44504</v>
      </c>
      <c r="J492" s="38">
        <v>30</v>
      </c>
      <c r="K492" s="39">
        <v>6.11</v>
      </c>
    </row>
    <row r="493" spans="2:11" ht="15" customHeight="1">
      <c r="B493" s="2">
        <v>4500458811</v>
      </c>
      <c r="C493" s="2">
        <v>507209</v>
      </c>
      <c r="D493" s="2" t="s">
        <v>4385</v>
      </c>
      <c r="F493" s="2" t="s">
        <v>2361</v>
      </c>
      <c r="G493" s="2" t="s">
        <v>3258</v>
      </c>
      <c r="H493" s="2" t="s">
        <v>3224</v>
      </c>
      <c r="I493" s="35">
        <v>44504</v>
      </c>
      <c r="J493" s="38">
        <v>10</v>
      </c>
      <c r="K493" s="39">
        <v>6.11</v>
      </c>
    </row>
    <row r="494" spans="2:11" ht="15" customHeight="1">
      <c r="B494" s="2">
        <v>4500458811</v>
      </c>
      <c r="C494" s="2">
        <v>507209</v>
      </c>
      <c r="D494" s="2" t="s">
        <v>4385</v>
      </c>
      <c r="F494" s="2" t="s">
        <v>2361</v>
      </c>
      <c r="G494" s="2" t="s">
        <v>3256</v>
      </c>
      <c r="H494" s="2" t="s">
        <v>4394</v>
      </c>
      <c r="I494" s="35">
        <v>44504</v>
      </c>
      <c r="J494" s="38">
        <v>10</v>
      </c>
      <c r="K494" s="39">
        <v>6.19</v>
      </c>
    </row>
    <row r="495" spans="2:11" ht="15" customHeight="1">
      <c r="B495" s="2">
        <v>4500458811</v>
      </c>
      <c r="C495" s="2">
        <v>507209</v>
      </c>
      <c r="D495" s="2" t="s">
        <v>4385</v>
      </c>
      <c r="F495" s="2" t="s">
        <v>2361</v>
      </c>
      <c r="G495" s="2" t="s">
        <v>3256</v>
      </c>
      <c r="H495" s="2" t="s">
        <v>4393</v>
      </c>
      <c r="I495" s="35">
        <v>44504</v>
      </c>
      <c r="J495" s="38">
        <v>20</v>
      </c>
      <c r="K495" s="39">
        <v>6.19</v>
      </c>
    </row>
    <row r="496" spans="2:11" ht="15" customHeight="1">
      <c r="B496" s="2">
        <v>4500458811</v>
      </c>
      <c r="C496" s="2">
        <v>507209</v>
      </c>
      <c r="D496" s="2" t="s">
        <v>4385</v>
      </c>
      <c r="F496" s="2" t="s">
        <v>2361</v>
      </c>
      <c r="G496" s="2" t="s">
        <v>3256</v>
      </c>
      <c r="H496" s="2" t="s">
        <v>4392</v>
      </c>
      <c r="I496" s="35">
        <v>44504</v>
      </c>
      <c r="J496" s="38">
        <v>30</v>
      </c>
      <c r="K496" s="39">
        <v>6.19</v>
      </c>
    </row>
    <row r="497" spans="2:11" ht="15" customHeight="1">
      <c r="B497" s="2">
        <v>4500458811</v>
      </c>
      <c r="C497" s="2">
        <v>507209</v>
      </c>
      <c r="D497" s="2" t="s">
        <v>4385</v>
      </c>
      <c r="F497" s="2" t="s">
        <v>2361</v>
      </c>
      <c r="G497" s="2" t="s">
        <v>3256</v>
      </c>
      <c r="H497" s="2" t="s">
        <v>4395</v>
      </c>
      <c r="I497" s="35">
        <v>44504</v>
      </c>
      <c r="J497" s="38">
        <v>30</v>
      </c>
      <c r="K497" s="39">
        <v>6.19</v>
      </c>
    </row>
    <row r="498" spans="2:11" ht="15" customHeight="1">
      <c r="B498" s="2">
        <v>4500458811</v>
      </c>
      <c r="C498" s="2">
        <v>507209</v>
      </c>
      <c r="D498" s="2" t="s">
        <v>4385</v>
      </c>
      <c r="F498" s="2" t="s">
        <v>2361</v>
      </c>
      <c r="G498" s="2" t="s">
        <v>3256</v>
      </c>
      <c r="H498" s="2" t="s">
        <v>3224</v>
      </c>
      <c r="I498" s="35">
        <v>44504</v>
      </c>
      <c r="J498" s="38">
        <v>10</v>
      </c>
      <c r="K498" s="39">
        <v>6.19</v>
      </c>
    </row>
    <row r="499" spans="2:11" ht="15" customHeight="1">
      <c r="B499" s="2">
        <v>4500458747</v>
      </c>
      <c r="C499" s="2">
        <v>506896</v>
      </c>
      <c r="D499" s="2" t="s">
        <v>4385</v>
      </c>
      <c r="F499" s="2" t="s">
        <v>2361</v>
      </c>
      <c r="G499" s="2" t="s">
        <v>3248</v>
      </c>
      <c r="H499" s="2" t="s">
        <v>4394</v>
      </c>
      <c r="I499" s="35">
        <v>44475</v>
      </c>
      <c r="J499" s="38">
        <v>31</v>
      </c>
      <c r="K499" s="39">
        <v>5.6</v>
      </c>
    </row>
    <row r="500" spans="2:11" ht="15" customHeight="1">
      <c r="B500" s="2">
        <v>4500458747</v>
      </c>
      <c r="C500" s="2">
        <v>506896</v>
      </c>
      <c r="D500" s="2" t="s">
        <v>4385</v>
      </c>
      <c r="F500" s="2" t="s">
        <v>2361</v>
      </c>
      <c r="G500" s="2" t="s">
        <v>3248</v>
      </c>
      <c r="H500" s="2" t="s">
        <v>4393</v>
      </c>
      <c r="I500" s="35">
        <v>44475</v>
      </c>
      <c r="J500" s="38">
        <v>151</v>
      </c>
      <c r="K500" s="39">
        <v>5.6</v>
      </c>
    </row>
    <row r="501" spans="2:11" ht="15" customHeight="1">
      <c r="B501" s="2">
        <v>4500458747</v>
      </c>
      <c r="C501" s="2">
        <v>506896</v>
      </c>
      <c r="D501" s="2" t="s">
        <v>4385</v>
      </c>
      <c r="F501" s="2" t="s">
        <v>2361</v>
      </c>
      <c r="G501" s="2" t="s">
        <v>3248</v>
      </c>
      <c r="H501" s="2" t="s">
        <v>4392</v>
      </c>
      <c r="I501" s="35">
        <v>44475</v>
      </c>
      <c r="J501" s="38">
        <v>153</v>
      </c>
      <c r="K501" s="39">
        <v>5.6</v>
      </c>
    </row>
    <row r="502" spans="2:11" ht="15" customHeight="1">
      <c r="B502" s="2">
        <v>4500458747</v>
      </c>
      <c r="C502" s="2">
        <v>506896</v>
      </c>
      <c r="D502" s="2" t="s">
        <v>4385</v>
      </c>
      <c r="F502" s="2" t="s">
        <v>2361</v>
      </c>
      <c r="G502" s="2" t="s">
        <v>3248</v>
      </c>
      <c r="H502" s="2" t="s">
        <v>4395</v>
      </c>
      <c r="I502" s="35">
        <v>44475</v>
      </c>
      <c r="J502" s="38">
        <v>112</v>
      </c>
      <c r="K502" s="39">
        <v>5.6</v>
      </c>
    </row>
    <row r="503" spans="2:11" ht="15" customHeight="1">
      <c r="B503" s="2">
        <v>4500458747</v>
      </c>
      <c r="C503" s="2">
        <v>506896</v>
      </c>
      <c r="D503" s="2" t="s">
        <v>4385</v>
      </c>
      <c r="F503" s="2" t="s">
        <v>2361</v>
      </c>
      <c r="G503" s="2" t="s">
        <v>3248</v>
      </c>
      <c r="H503" s="2" t="s">
        <v>3224</v>
      </c>
      <c r="I503" s="35">
        <v>44475</v>
      </c>
      <c r="J503" s="38">
        <v>50</v>
      </c>
      <c r="K503" s="39">
        <v>5.6</v>
      </c>
    </row>
    <row r="504" spans="2:11" ht="15" customHeight="1">
      <c r="B504" s="2">
        <v>4500458747</v>
      </c>
      <c r="C504" s="2">
        <v>506896</v>
      </c>
      <c r="D504" s="2" t="s">
        <v>4385</v>
      </c>
      <c r="F504" s="2" t="s">
        <v>2361</v>
      </c>
      <c r="G504" s="2" t="s">
        <v>3252</v>
      </c>
      <c r="H504" s="2" t="s">
        <v>4394</v>
      </c>
      <c r="I504" s="35">
        <v>44475</v>
      </c>
      <c r="J504" s="38">
        <v>66</v>
      </c>
      <c r="K504" s="39">
        <v>5.6</v>
      </c>
    </row>
    <row r="505" spans="2:11" ht="15" customHeight="1">
      <c r="B505" s="2">
        <v>4500458747</v>
      </c>
      <c r="C505" s="2">
        <v>506896</v>
      </c>
      <c r="D505" s="2" t="s">
        <v>4385</v>
      </c>
      <c r="F505" s="2" t="s">
        <v>2361</v>
      </c>
      <c r="G505" s="2" t="s">
        <v>3252</v>
      </c>
      <c r="H505" s="2" t="s">
        <v>4393</v>
      </c>
      <c r="I505" s="35">
        <v>44475</v>
      </c>
      <c r="J505" s="38">
        <v>314</v>
      </c>
      <c r="K505" s="39">
        <v>5.6</v>
      </c>
    </row>
    <row r="506" spans="2:11" ht="15" customHeight="1">
      <c r="B506" s="2">
        <v>4500458747</v>
      </c>
      <c r="C506" s="2">
        <v>506896</v>
      </c>
      <c r="D506" s="2" t="s">
        <v>4385</v>
      </c>
      <c r="F506" s="2" t="s">
        <v>2361</v>
      </c>
      <c r="G506" s="2" t="s">
        <v>3252</v>
      </c>
      <c r="H506" s="2" t="s">
        <v>4392</v>
      </c>
      <c r="I506" s="35">
        <v>44475</v>
      </c>
      <c r="J506" s="38">
        <v>320</v>
      </c>
      <c r="K506" s="39">
        <v>5.6</v>
      </c>
    </row>
    <row r="507" spans="2:11" ht="15" customHeight="1">
      <c r="B507" s="2">
        <v>4500458747</v>
      </c>
      <c r="C507" s="2">
        <v>506896</v>
      </c>
      <c r="D507" s="2" t="s">
        <v>4385</v>
      </c>
      <c r="F507" s="2" t="s">
        <v>2361</v>
      </c>
      <c r="G507" s="2" t="s">
        <v>3252</v>
      </c>
      <c r="H507" s="2" t="s">
        <v>4395</v>
      </c>
      <c r="I507" s="35">
        <v>44475</v>
      </c>
      <c r="J507" s="38">
        <v>234</v>
      </c>
      <c r="K507" s="39">
        <v>5.6</v>
      </c>
    </row>
    <row r="508" spans="2:11" ht="15" customHeight="1">
      <c r="B508" s="2">
        <v>4500458747</v>
      </c>
      <c r="C508" s="2">
        <v>506896</v>
      </c>
      <c r="D508" s="2" t="s">
        <v>4385</v>
      </c>
      <c r="F508" s="2" t="s">
        <v>2361</v>
      </c>
      <c r="G508" s="2" t="s">
        <v>3252</v>
      </c>
      <c r="H508" s="2" t="s">
        <v>3224</v>
      </c>
      <c r="I508" s="35">
        <v>44475</v>
      </c>
      <c r="J508" s="38">
        <v>104</v>
      </c>
      <c r="K508" s="39">
        <v>5.6</v>
      </c>
    </row>
    <row r="509" spans="2:11" ht="15" customHeight="1">
      <c r="B509" s="2">
        <v>4500458747</v>
      </c>
      <c r="C509" s="2">
        <v>506896</v>
      </c>
      <c r="D509" s="2" t="s">
        <v>4385</v>
      </c>
      <c r="F509" s="2" t="s">
        <v>2361</v>
      </c>
      <c r="G509" s="2" t="s">
        <v>3253</v>
      </c>
      <c r="H509" s="2" t="s">
        <v>4394</v>
      </c>
      <c r="I509" s="35">
        <v>44475</v>
      </c>
      <c r="J509" s="38">
        <v>21</v>
      </c>
      <c r="K509" s="39">
        <v>7.15</v>
      </c>
    </row>
    <row r="510" spans="2:11" ht="15" customHeight="1">
      <c r="B510" s="2">
        <v>4500458747</v>
      </c>
      <c r="C510" s="2">
        <v>506896</v>
      </c>
      <c r="D510" s="2" t="s">
        <v>4385</v>
      </c>
      <c r="F510" s="2" t="s">
        <v>2361</v>
      </c>
      <c r="G510" s="2" t="s">
        <v>3253</v>
      </c>
      <c r="H510" s="2" t="s">
        <v>4393</v>
      </c>
      <c r="I510" s="35">
        <v>44475</v>
      </c>
      <c r="J510" s="38">
        <v>100</v>
      </c>
      <c r="K510" s="39">
        <v>7.15</v>
      </c>
    </row>
    <row r="511" spans="2:11" ht="15" customHeight="1">
      <c r="B511" s="2">
        <v>4500458747</v>
      </c>
      <c r="C511" s="2">
        <v>506896</v>
      </c>
      <c r="D511" s="2" t="s">
        <v>4385</v>
      </c>
      <c r="F511" s="2" t="s">
        <v>2361</v>
      </c>
      <c r="G511" s="2" t="s">
        <v>3253</v>
      </c>
      <c r="H511" s="2" t="s">
        <v>4392</v>
      </c>
      <c r="I511" s="35">
        <v>44475</v>
      </c>
      <c r="J511" s="38">
        <v>102</v>
      </c>
      <c r="K511" s="39">
        <v>7.15</v>
      </c>
    </row>
    <row r="512" spans="2:11" ht="15" customHeight="1">
      <c r="B512" s="2">
        <v>4500458747</v>
      </c>
      <c r="C512" s="2">
        <v>506896</v>
      </c>
      <c r="D512" s="2" t="s">
        <v>4385</v>
      </c>
      <c r="F512" s="2" t="s">
        <v>2361</v>
      </c>
      <c r="G512" s="2" t="s">
        <v>3253</v>
      </c>
      <c r="H512" s="2" t="s">
        <v>4395</v>
      </c>
      <c r="I512" s="35">
        <v>44475</v>
      </c>
      <c r="J512" s="38">
        <v>74</v>
      </c>
      <c r="K512" s="39">
        <v>7.15</v>
      </c>
    </row>
    <row r="513" spans="2:11" ht="15" customHeight="1">
      <c r="B513" s="2">
        <v>4500458747</v>
      </c>
      <c r="C513" s="2">
        <v>506896</v>
      </c>
      <c r="D513" s="2" t="s">
        <v>4385</v>
      </c>
      <c r="F513" s="2" t="s">
        <v>2361</v>
      </c>
      <c r="G513" s="2" t="s">
        <v>3253</v>
      </c>
      <c r="H513" s="2" t="s">
        <v>3224</v>
      </c>
      <c r="I513" s="35">
        <v>44475</v>
      </c>
      <c r="J513" s="38">
        <v>33</v>
      </c>
      <c r="K513" s="39">
        <v>7.15</v>
      </c>
    </row>
    <row r="514" spans="2:11" ht="15" customHeight="1">
      <c r="B514" s="2">
        <v>4500458747</v>
      </c>
      <c r="C514" s="2">
        <v>507209</v>
      </c>
      <c r="D514" s="2" t="s">
        <v>4385</v>
      </c>
      <c r="F514" s="2" t="s">
        <v>2361</v>
      </c>
      <c r="G514" s="2" t="s">
        <v>3265</v>
      </c>
      <c r="H514" s="2" t="s">
        <v>4394</v>
      </c>
      <c r="I514" s="35">
        <v>44475</v>
      </c>
      <c r="J514" s="38">
        <v>17</v>
      </c>
      <c r="K514" s="39">
        <v>6.45</v>
      </c>
    </row>
    <row r="515" spans="2:11" ht="15" customHeight="1">
      <c r="B515" s="2">
        <v>4500458747</v>
      </c>
      <c r="C515" s="2">
        <v>507209</v>
      </c>
      <c r="D515" s="2" t="s">
        <v>4385</v>
      </c>
      <c r="F515" s="2" t="s">
        <v>2361</v>
      </c>
      <c r="G515" s="2" t="s">
        <v>3265</v>
      </c>
      <c r="H515" s="2" t="s">
        <v>4393</v>
      </c>
      <c r="I515" s="35">
        <v>44475</v>
      </c>
      <c r="J515" s="38">
        <v>82</v>
      </c>
      <c r="K515" s="39">
        <v>6.45</v>
      </c>
    </row>
    <row r="516" spans="2:11" ht="15" customHeight="1">
      <c r="B516" s="2">
        <v>4500458747</v>
      </c>
      <c r="C516" s="2">
        <v>507209</v>
      </c>
      <c r="D516" s="2" t="s">
        <v>4385</v>
      </c>
      <c r="F516" s="2" t="s">
        <v>2361</v>
      </c>
      <c r="G516" s="2" t="s">
        <v>3265</v>
      </c>
      <c r="H516" s="2" t="s">
        <v>4392</v>
      </c>
      <c r="I516" s="35">
        <v>44475</v>
      </c>
      <c r="J516" s="38">
        <v>84</v>
      </c>
      <c r="K516" s="39">
        <v>6.45</v>
      </c>
    </row>
    <row r="517" spans="2:11" ht="15" customHeight="1">
      <c r="B517" s="2">
        <v>4500458747</v>
      </c>
      <c r="C517" s="2">
        <v>507209</v>
      </c>
      <c r="D517" s="2" t="s">
        <v>4385</v>
      </c>
      <c r="F517" s="2" t="s">
        <v>2361</v>
      </c>
      <c r="G517" s="2" t="s">
        <v>3265</v>
      </c>
      <c r="H517" s="2" t="s">
        <v>4395</v>
      </c>
      <c r="I517" s="35">
        <v>44475</v>
      </c>
      <c r="J517" s="38">
        <v>61</v>
      </c>
      <c r="K517" s="39">
        <v>6.45</v>
      </c>
    </row>
    <row r="518" spans="2:11" ht="15" customHeight="1">
      <c r="B518" s="2">
        <v>4500458747</v>
      </c>
      <c r="C518" s="2">
        <v>507209</v>
      </c>
      <c r="D518" s="2" t="s">
        <v>4385</v>
      </c>
      <c r="F518" s="2" t="s">
        <v>2361</v>
      </c>
      <c r="G518" s="2" t="s">
        <v>3265</v>
      </c>
      <c r="H518" s="2" t="s">
        <v>3224</v>
      </c>
      <c r="I518" s="35">
        <v>44475</v>
      </c>
      <c r="J518" s="38">
        <v>27</v>
      </c>
      <c r="K518" s="39">
        <v>6.45</v>
      </c>
    </row>
    <row r="519" spans="2:11" ht="15" customHeight="1">
      <c r="B519" s="2">
        <v>4500458747</v>
      </c>
      <c r="C519" s="2">
        <v>507209</v>
      </c>
      <c r="D519" s="2" t="s">
        <v>4385</v>
      </c>
      <c r="F519" s="2" t="s">
        <v>2361</v>
      </c>
      <c r="G519" s="2" t="s">
        <v>3257</v>
      </c>
      <c r="H519" s="2" t="s">
        <v>4394</v>
      </c>
      <c r="I519" s="35">
        <v>44475</v>
      </c>
      <c r="J519" s="38">
        <v>18</v>
      </c>
      <c r="K519" s="39">
        <v>5.9</v>
      </c>
    </row>
    <row r="520" spans="2:11" ht="15" customHeight="1">
      <c r="B520" s="2">
        <v>4500458747</v>
      </c>
      <c r="C520" s="2">
        <v>507209</v>
      </c>
      <c r="D520" s="2" t="s">
        <v>4385</v>
      </c>
      <c r="F520" s="2" t="s">
        <v>2361</v>
      </c>
      <c r="G520" s="2" t="s">
        <v>3257</v>
      </c>
      <c r="H520" s="2" t="s">
        <v>4393</v>
      </c>
      <c r="I520" s="35">
        <v>44475</v>
      </c>
      <c r="J520" s="38">
        <v>85</v>
      </c>
      <c r="K520" s="39">
        <v>5.9</v>
      </c>
    </row>
    <row r="521" spans="2:11" ht="15" customHeight="1">
      <c r="B521" s="2">
        <v>4500458747</v>
      </c>
      <c r="C521" s="2">
        <v>507209</v>
      </c>
      <c r="D521" s="2" t="s">
        <v>4385</v>
      </c>
      <c r="F521" s="2" t="s">
        <v>2361</v>
      </c>
      <c r="G521" s="2" t="s">
        <v>3257</v>
      </c>
      <c r="H521" s="2" t="s">
        <v>4392</v>
      </c>
      <c r="I521" s="35">
        <v>44475</v>
      </c>
      <c r="J521" s="38">
        <v>86</v>
      </c>
      <c r="K521" s="39">
        <v>5.9</v>
      </c>
    </row>
    <row r="522" spans="2:11" ht="15" customHeight="1">
      <c r="B522" s="2">
        <v>4500458747</v>
      </c>
      <c r="C522" s="2">
        <v>507209</v>
      </c>
      <c r="D522" s="2" t="s">
        <v>4385</v>
      </c>
      <c r="F522" s="2" t="s">
        <v>2361</v>
      </c>
      <c r="G522" s="2" t="s">
        <v>3257</v>
      </c>
      <c r="H522" s="2" t="s">
        <v>4395</v>
      </c>
      <c r="I522" s="35">
        <v>44475</v>
      </c>
      <c r="J522" s="38">
        <v>63</v>
      </c>
      <c r="K522" s="39">
        <v>5.9</v>
      </c>
    </row>
    <row r="523" spans="2:11" ht="15" customHeight="1">
      <c r="B523" s="2">
        <v>4500458747</v>
      </c>
      <c r="C523" s="2">
        <v>507209</v>
      </c>
      <c r="D523" s="2" t="s">
        <v>4385</v>
      </c>
      <c r="F523" s="2" t="s">
        <v>2361</v>
      </c>
      <c r="G523" s="2" t="s">
        <v>3257</v>
      </c>
      <c r="H523" s="2" t="s">
        <v>3224</v>
      </c>
      <c r="I523" s="35">
        <v>44475</v>
      </c>
      <c r="J523" s="38">
        <v>28</v>
      </c>
      <c r="K523" s="39">
        <v>5.9</v>
      </c>
    </row>
    <row r="524" spans="2:11" ht="15" customHeight="1">
      <c r="B524" s="2">
        <v>4500459355</v>
      </c>
      <c r="C524" s="2">
        <v>506896</v>
      </c>
      <c r="D524" s="2" t="s">
        <v>4385</v>
      </c>
      <c r="F524" s="2" t="s">
        <v>2361</v>
      </c>
      <c r="G524" s="2" t="s">
        <v>3248</v>
      </c>
      <c r="H524" s="2" t="s">
        <v>4394</v>
      </c>
      <c r="I524" s="35">
        <v>44552</v>
      </c>
      <c r="J524" s="38">
        <v>78</v>
      </c>
      <c r="K524" s="39">
        <v>5.6</v>
      </c>
    </row>
    <row r="525" spans="2:11" ht="15" customHeight="1">
      <c r="B525" s="2">
        <v>4500459355</v>
      </c>
      <c r="C525" s="2">
        <v>506896</v>
      </c>
      <c r="D525" s="2" t="s">
        <v>4385</v>
      </c>
      <c r="F525" s="2" t="s">
        <v>2361</v>
      </c>
      <c r="G525" s="2" t="s">
        <v>3248</v>
      </c>
      <c r="H525" s="2" t="s">
        <v>4393</v>
      </c>
      <c r="I525" s="35">
        <v>44552</v>
      </c>
      <c r="J525" s="38">
        <v>203</v>
      </c>
      <c r="K525" s="39">
        <v>5.6</v>
      </c>
    </row>
    <row r="526" spans="2:11" ht="15" customHeight="1">
      <c r="B526" s="2">
        <v>4500459355</v>
      </c>
      <c r="C526" s="2">
        <v>506896</v>
      </c>
      <c r="D526" s="2" t="s">
        <v>4385</v>
      </c>
      <c r="F526" s="2" t="s">
        <v>2361</v>
      </c>
      <c r="G526" s="2" t="s">
        <v>3248</v>
      </c>
      <c r="H526" s="2" t="s">
        <v>4392</v>
      </c>
      <c r="I526" s="35">
        <v>44552</v>
      </c>
      <c r="J526" s="38">
        <v>252</v>
      </c>
      <c r="K526" s="39">
        <v>5.6</v>
      </c>
    </row>
    <row r="527" spans="2:11" ht="15" customHeight="1">
      <c r="B527" s="2">
        <v>4500459355</v>
      </c>
      <c r="C527" s="2">
        <v>506896</v>
      </c>
      <c r="D527" s="2" t="s">
        <v>4385</v>
      </c>
      <c r="F527" s="2" t="s">
        <v>2361</v>
      </c>
      <c r="G527" s="2" t="s">
        <v>3248</v>
      </c>
      <c r="H527" s="2" t="s">
        <v>4395</v>
      </c>
      <c r="I527" s="35">
        <v>44552</v>
      </c>
      <c r="J527" s="38">
        <v>190</v>
      </c>
      <c r="K527" s="39">
        <v>5.6</v>
      </c>
    </row>
    <row r="528" spans="2:11" ht="15" customHeight="1">
      <c r="B528" s="2">
        <v>4500459355</v>
      </c>
      <c r="C528" s="2">
        <v>506896</v>
      </c>
      <c r="D528" s="2" t="s">
        <v>4385</v>
      </c>
      <c r="F528" s="2" t="s">
        <v>2361</v>
      </c>
      <c r="G528" s="2" t="s">
        <v>3248</v>
      </c>
      <c r="H528" s="2" t="s">
        <v>3224</v>
      </c>
      <c r="I528" s="35">
        <v>44552</v>
      </c>
      <c r="J528" s="38">
        <v>63</v>
      </c>
      <c r="K528" s="39">
        <v>5.6</v>
      </c>
    </row>
    <row r="529" spans="2:11" ht="15" customHeight="1">
      <c r="B529" s="2">
        <v>4500459355</v>
      </c>
      <c r="C529" s="2">
        <v>506896</v>
      </c>
      <c r="D529" s="2" t="s">
        <v>4385</v>
      </c>
      <c r="F529" s="2" t="s">
        <v>2361</v>
      </c>
      <c r="G529" s="2" t="s">
        <v>3249</v>
      </c>
      <c r="H529" s="2" t="s">
        <v>4394</v>
      </c>
      <c r="I529" s="35">
        <v>44552</v>
      </c>
      <c r="J529" s="38">
        <v>167</v>
      </c>
      <c r="K529" s="39">
        <v>5.84</v>
      </c>
    </row>
    <row r="530" spans="2:11" ht="15" customHeight="1">
      <c r="B530" s="2">
        <v>4500459355</v>
      </c>
      <c r="C530" s="2">
        <v>506896</v>
      </c>
      <c r="D530" s="2" t="s">
        <v>4385</v>
      </c>
      <c r="F530" s="2" t="s">
        <v>2361</v>
      </c>
      <c r="G530" s="2" t="s">
        <v>3249</v>
      </c>
      <c r="H530" s="2" t="s">
        <v>4393</v>
      </c>
      <c r="I530" s="35">
        <v>44552</v>
      </c>
      <c r="J530" s="38">
        <v>162</v>
      </c>
      <c r="K530" s="39">
        <v>5.84</v>
      </c>
    </row>
    <row r="531" spans="2:11" ht="15" customHeight="1">
      <c r="B531" s="2">
        <v>4500459355</v>
      </c>
      <c r="C531" s="2">
        <v>506896</v>
      </c>
      <c r="D531" s="2" t="s">
        <v>4385</v>
      </c>
      <c r="F531" s="2" t="s">
        <v>2361</v>
      </c>
      <c r="G531" s="2" t="s">
        <v>3249</v>
      </c>
      <c r="H531" s="2" t="s">
        <v>4392</v>
      </c>
      <c r="I531" s="35">
        <v>44552</v>
      </c>
      <c r="J531" s="38">
        <v>122</v>
      </c>
      <c r="K531" s="39">
        <v>5.84</v>
      </c>
    </row>
    <row r="532" spans="2:11" ht="15" customHeight="1">
      <c r="B532" s="2">
        <v>4500459355</v>
      </c>
      <c r="C532" s="2">
        <v>506896</v>
      </c>
      <c r="D532" s="2" t="s">
        <v>4385</v>
      </c>
      <c r="F532" s="2" t="s">
        <v>2361</v>
      </c>
      <c r="G532" s="2" t="s">
        <v>3249</v>
      </c>
      <c r="H532" s="2" t="s">
        <v>4395</v>
      </c>
      <c r="I532" s="35">
        <v>44552</v>
      </c>
      <c r="J532" s="38">
        <v>125</v>
      </c>
      <c r="K532" s="39">
        <v>5.84</v>
      </c>
    </row>
    <row r="533" spans="2:11" ht="15" customHeight="1">
      <c r="B533" s="2">
        <v>4500459355</v>
      </c>
      <c r="C533" s="2">
        <v>506896</v>
      </c>
      <c r="D533" s="2" t="s">
        <v>4385</v>
      </c>
      <c r="F533" s="2" t="s">
        <v>2361</v>
      </c>
      <c r="G533" s="2" t="s">
        <v>3249</v>
      </c>
      <c r="H533" s="2" t="s">
        <v>3224</v>
      </c>
      <c r="I533" s="35">
        <v>44552</v>
      </c>
      <c r="J533" s="38">
        <v>94</v>
      </c>
      <c r="K533" s="39">
        <v>5.84</v>
      </c>
    </row>
    <row r="534" spans="2:11" ht="15" customHeight="1">
      <c r="B534" s="2">
        <v>4500459355</v>
      </c>
      <c r="C534" s="2">
        <v>506896</v>
      </c>
      <c r="D534" s="2" t="s">
        <v>4385</v>
      </c>
      <c r="F534" s="2" t="s">
        <v>2361</v>
      </c>
      <c r="G534" s="2" t="s">
        <v>3250</v>
      </c>
      <c r="H534" s="2" t="s">
        <v>4394</v>
      </c>
      <c r="I534" s="35">
        <v>44552</v>
      </c>
      <c r="J534" s="38">
        <v>75</v>
      </c>
      <c r="K534" s="39">
        <v>6.9</v>
      </c>
    </row>
    <row r="535" spans="2:11" ht="15" customHeight="1">
      <c r="B535" s="2">
        <v>4500459355</v>
      </c>
      <c r="C535" s="2">
        <v>506896</v>
      </c>
      <c r="D535" s="2" t="s">
        <v>4385</v>
      </c>
      <c r="F535" s="2" t="s">
        <v>2361</v>
      </c>
      <c r="G535" s="2" t="s">
        <v>3250</v>
      </c>
      <c r="H535" s="2" t="s">
        <v>4393</v>
      </c>
      <c r="I535" s="35">
        <v>44552</v>
      </c>
      <c r="J535" s="38">
        <v>228</v>
      </c>
      <c r="K535" s="39">
        <v>6.9</v>
      </c>
    </row>
    <row r="536" spans="2:11" ht="15" customHeight="1">
      <c r="B536" s="2">
        <v>4500459355</v>
      </c>
      <c r="C536" s="2">
        <v>506896</v>
      </c>
      <c r="D536" s="2" t="s">
        <v>4385</v>
      </c>
      <c r="F536" s="2" t="s">
        <v>2361</v>
      </c>
      <c r="G536" s="2" t="s">
        <v>3250</v>
      </c>
      <c r="H536" s="2" t="s">
        <v>4392</v>
      </c>
      <c r="I536" s="35">
        <v>44552</v>
      </c>
      <c r="J536" s="38">
        <v>276</v>
      </c>
      <c r="K536" s="39">
        <v>6.9</v>
      </c>
    </row>
    <row r="537" spans="2:11" ht="15" customHeight="1">
      <c r="B537" s="2">
        <v>4500459355</v>
      </c>
      <c r="C537" s="2">
        <v>506896</v>
      </c>
      <c r="D537" s="2" t="s">
        <v>4385</v>
      </c>
      <c r="F537" s="2" t="s">
        <v>2361</v>
      </c>
      <c r="G537" s="2" t="s">
        <v>3250</v>
      </c>
      <c r="H537" s="2" t="s">
        <v>4395</v>
      </c>
      <c r="I537" s="35">
        <v>44552</v>
      </c>
      <c r="J537" s="38">
        <v>157</v>
      </c>
      <c r="K537" s="39">
        <v>6.9</v>
      </c>
    </row>
    <row r="538" spans="2:11" ht="15" customHeight="1">
      <c r="B538" s="2">
        <v>4500459355</v>
      </c>
      <c r="C538" s="2">
        <v>506896</v>
      </c>
      <c r="D538" s="2" t="s">
        <v>4385</v>
      </c>
      <c r="F538" s="2" t="s">
        <v>2361</v>
      </c>
      <c r="G538" s="2" t="s">
        <v>3250</v>
      </c>
      <c r="H538" s="2" t="s">
        <v>3224</v>
      </c>
      <c r="I538" s="35">
        <v>44552</v>
      </c>
      <c r="J538" s="38">
        <v>55</v>
      </c>
      <c r="K538" s="39">
        <v>6.9</v>
      </c>
    </row>
    <row r="539" spans="2:11" ht="15" customHeight="1">
      <c r="B539" s="2">
        <v>4500459355</v>
      </c>
      <c r="C539" s="2">
        <v>506896</v>
      </c>
      <c r="D539" s="2" t="s">
        <v>4385</v>
      </c>
      <c r="F539" s="2" t="s">
        <v>2361</v>
      </c>
      <c r="G539" s="2" t="s">
        <v>3252</v>
      </c>
      <c r="H539" s="2" t="s">
        <v>4394</v>
      </c>
      <c r="I539" s="35">
        <v>44552</v>
      </c>
      <c r="J539" s="38">
        <v>175</v>
      </c>
      <c r="K539" s="39">
        <v>5.6</v>
      </c>
    </row>
    <row r="540" spans="2:11" ht="15" customHeight="1">
      <c r="B540" s="2">
        <v>4500459355</v>
      </c>
      <c r="C540" s="2">
        <v>506896</v>
      </c>
      <c r="D540" s="2" t="s">
        <v>4385</v>
      </c>
      <c r="F540" s="2" t="s">
        <v>2361</v>
      </c>
      <c r="G540" s="2" t="s">
        <v>3252</v>
      </c>
      <c r="H540" s="2" t="s">
        <v>4393</v>
      </c>
      <c r="I540" s="35">
        <v>44552</v>
      </c>
      <c r="J540" s="38">
        <v>637</v>
      </c>
      <c r="K540" s="39">
        <v>5.6</v>
      </c>
    </row>
    <row r="541" spans="2:11" ht="15" customHeight="1">
      <c r="B541" s="2">
        <v>4500459355</v>
      </c>
      <c r="C541" s="2">
        <v>506896</v>
      </c>
      <c r="D541" s="2" t="s">
        <v>4385</v>
      </c>
      <c r="F541" s="2" t="s">
        <v>2361</v>
      </c>
      <c r="G541" s="2" t="s">
        <v>3252</v>
      </c>
      <c r="H541" s="2" t="s">
        <v>4392</v>
      </c>
      <c r="I541" s="35">
        <v>44552</v>
      </c>
      <c r="J541" s="38">
        <v>696</v>
      </c>
      <c r="K541" s="39">
        <v>5.6</v>
      </c>
    </row>
    <row r="542" spans="2:11" ht="15" customHeight="1">
      <c r="B542" s="2">
        <v>4500459355</v>
      </c>
      <c r="C542" s="2">
        <v>506896</v>
      </c>
      <c r="D542" s="2" t="s">
        <v>4385</v>
      </c>
      <c r="F542" s="2" t="s">
        <v>2361</v>
      </c>
      <c r="G542" s="2" t="s">
        <v>3252</v>
      </c>
      <c r="H542" s="2" t="s">
        <v>4395</v>
      </c>
      <c r="I542" s="35">
        <v>44552</v>
      </c>
      <c r="J542" s="38">
        <v>275</v>
      </c>
      <c r="K542" s="39">
        <v>5.6</v>
      </c>
    </row>
    <row r="543" spans="2:11" ht="15" customHeight="1">
      <c r="B543" s="2">
        <v>4500459355</v>
      </c>
      <c r="C543" s="2">
        <v>506896</v>
      </c>
      <c r="D543" s="2" t="s">
        <v>4385</v>
      </c>
      <c r="F543" s="2" t="s">
        <v>2361</v>
      </c>
      <c r="G543" s="2" t="s">
        <v>3252</v>
      </c>
      <c r="H543" s="2" t="s">
        <v>3224</v>
      </c>
      <c r="I543" s="35">
        <v>44552</v>
      </c>
      <c r="J543" s="38">
        <v>92</v>
      </c>
      <c r="K543" s="39">
        <v>5.6</v>
      </c>
    </row>
    <row r="544" spans="2:11" ht="15" customHeight="1">
      <c r="B544" s="2">
        <v>4500459355</v>
      </c>
      <c r="C544" s="2">
        <v>506896</v>
      </c>
      <c r="D544" s="2" t="s">
        <v>4385</v>
      </c>
      <c r="F544" s="2" t="s">
        <v>2361</v>
      </c>
      <c r="G544" s="2" t="s">
        <v>3253</v>
      </c>
      <c r="H544" s="2" t="s">
        <v>4394</v>
      </c>
      <c r="I544" s="35">
        <v>44552</v>
      </c>
      <c r="J544" s="38">
        <v>126</v>
      </c>
      <c r="K544" s="39">
        <v>7.15</v>
      </c>
    </row>
    <row r="545" spans="2:11" ht="15" customHeight="1">
      <c r="B545" s="2">
        <v>4500459355</v>
      </c>
      <c r="C545" s="2">
        <v>506896</v>
      </c>
      <c r="D545" s="2" t="s">
        <v>4385</v>
      </c>
      <c r="F545" s="2" t="s">
        <v>2361</v>
      </c>
      <c r="G545" s="2" t="s">
        <v>3253</v>
      </c>
      <c r="H545" s="2" t="s">
        <v>4393</v>
      </c>
      <c r="I545" s="35">
        <v>44552</v>
      </c>
      <c r="J545" s="38">
        <v>382</v>
      </c>
      <c r="K545" s="39">
        <v>7.15</v>
      </c>
    </row>
    <row r="546" spans="2:11" ht="15" customHeight="1">
      <c r="B546" s="2">
        <v>4500459355</v>
      </c>
      <c r="C546" s="2">
        <v>506896</v>
      </c>
      <c r="D546" s="2" t="s">
        <v>4385</v>
      </c>
      <c r="F546" s="2" t="s">
        <v>2361</v>
      </c>
      <c r="G546" s="2" t="s">
        <v>3253</v>
      </c>
      <c r="H546" s="2" t="s">
        <v>4392</v>
      </c>
      <c r="I546" s="35">
        <v>44552</v>
      </c>
      <c r="J546" s="38">
        <v>462</v>
      </c>
      <c r="K546" s="39">
        <v>7.15</v>
      </c>
    </row>
    <row r="547" spans="2:11" ht="15" customHeight="1">
      <c r="B547" s="2">
        <v>4500459355</v>
      </c>
      <c r="C547" s="2">
        <v>506896</v>
      </c>
      <c r="D547" s="2" t="s">
        <v>4385</v>
      </c>
      <c r="F547" s="2" t="s">
        <v>2361</v>
      </c>
      <c r="G547" s="2" t="s">
        <v>3253</v>
      </c>
      <c r="H547" s="2" t="s">
        <v>4395</v>
      </c>
      <c r="I547" s="35">
        <v>44552</v>
      </c>
      <c r="J547" s="38">
        <v>262</v>
      </c>
      <c r="K547" s="39">
        <v>7.15</v>
      </c>
    </row>
    <row r="548" spans="2:11" ht="15" customHeight="1">
      <c r="B548" s="2">
        <v>4500459355</v>
      </c>
      <c r="C548" s="2">
        <v>506896</v>
      </c>
      <c r="D548" s="2" t="s">
        <v>4385</v>
      </c>
      <c r="F548" s="2" t="s">
        <v>2361</v>
      </c>
      <c r="G548" s="2" t="s">
        <v>3253</v>
      </c>
      <c r="H548" s="2" t="s">
        <v>3224</v>
      </c>
      <c r="I548" s="35">
        <v>44552</v>
      </c>
      <c r="J548" s="38">
        <v>93</v>
      </c>
      <c r="K548" s="39">
        <v>7.15</v>
      </c>
    </row>
    <row r="549" spans="2:11" ht="15" customHeight="1">
      <c r="B549" s="2">
        <v>4500459355</v>
      </c>
      <c r="C549" s="2">
        <v>506896</v>
      </c>
      <c r="D549" s="2" t="s">
        <v>4385</v>
      </c>
      <c r="F549" s="2" t="s">
        <v>2361</v>
      </c>
      <c r="G549" s="2" t="s">
        <v>4387</v>
      </c>
      <c r="H549" s="2" t="s">
        <v>4394</v>
      </c>
      <c r="I549" s="35">
        <v>44552</v>
      </c>
      <c r="J549" s="38">
        <v>129</v>
      </c>
      <c r="K549" s="39">
        <v>5.84</v>
      </c>
    </row>
    <row r="550" spans="2:11" ht="15" customHeight="1">
      <c r="B550" s="2">
        <v>4500459355</v>
      </c>
      <c r="C550" s="2">
        <v>506896</v>
      </c>
      <c r="D550" s="2" t="s">
        <v>4385</v>
      </c>
      <c r="F550" s="2" t="s">
        <v>2361</v>
      </c>
      <c r="G550" s="2" t="s">
        <v>4387</v>
      </c>
      <c r="H550" s="2" t="s">
        <v>4393</v>
      </c>
      <c r="I550" s="35">
        <v>44552</v>
      </c>
      <c r="J550" s="38">
        <v>485</v>
      </c>
      <c r="K550" s="39">
        <v>5.84</v>
      </c>
    </row>
    <row r="551" spans="2:11" ht="15" customHeight="1">
      <c r="B551" s="2">
        <v>4500459355</v>
      </c>
      <c r="C551" s="2">
        <v>506896</v>
      </c>
      <c r="D551" s="2" t="s">
        <v>4385</v>
      </c>
      <c r="F551" s="2" t="s">
        <v>2361</v>
      </c>
      <c r="G551" s="2" t="s">
        <v>4387</v>
      </c>
      <c r="H551" s="2" t="s">
        <v>4392</v>
      </c>
      <c r="I551" s="35">
        <v>44552</v>
      </c>
      <c r="J551" s="38">
        <v>543</v>
      </c>
      <c r="K551" s="39">
        <v>5.84</v>
      </c>
    </row>
    <row r="552" spans="2:11" ht="15" customHeight="1">
      <c r="B552" s="2">
        <v>4500459355</v>
      </c>
      <c r="C552" s="2">
        <v>506896</v>
      </c>
      <c r="D552" s="2" t="s">
        <v>4385</v>
      </c>
      <c r="F552" s="2" t="s">
        <v>2361</v>
      </c>
      <c r="G552" s="2" t="s">
        <v>4387</v>
      </c>
      <c r="H552" s="2" t="s">
        <v>4395</v>
      </c>
      <c r="I552" s="35">
        <v>44552</v>
      </c>
      <c r="J552" s="38">
        <v>267</v>
      </c>
      <c r="K552" s="39">
        <v>5.84</v>
      </c>
    </row>
    <row r="553" spans="2:11" ht="15" customHeight="1">
      <c r="B553" s="2">
        <v>4500459355</v>
      </c>
      <c r="C553" s="2">
        <v>506896</v>
      </c>
      <c r="D553" s="2" t="s">
        <v>4385</v>
      </c>
      <c r="F553" s="2" t="s">
        <v>2361</v>
      </c>
      <c r="G553" s="2" t="s">
        <v>4387</v>
      </c>
      <c r="H553" s="2" t="s">
        <v>3224</v>
      </c>
      <c r="I553" s="35">
        <v>44552</v>
      </c>
      <c r="J553" s="38">
        <v>137</v>
      </c>
      <c r="K553" s="39">
        <v>5.84</v>
      </c>
    </row>
    <row r="554" spans="2:11" ht="15" customHeight="1">
      <c r="B554" s="2">
        <v>4500459355</v>
      </c>
      <c r="C554" s="2">
        <v>506896</v>
      </c>
      <c r="D554" s="2" t="s">
        <v>4385</v>
      </c>
      <c r="F554" s="2" t="s">
        <v>2361</v>
      </c>
      <c r="G554" s="2" t="s">
        <v>4389</v>
      </c>
      <c r="H554" s="2" t="s">
        <v>4394</v>
      </c>
      <c r="I554" s="35">
        <v>44552</v>
      </c>
      <c r="J554" s="38">
        <v>28</v>
      </c>
      <c r="K554" s="39">
        <v>6.9</v>
      </c>
    </row>
    <row r="555" spans="2:11" ht="15" customHeight="1">
      <c r="B555" s="2">
        <v>4500459355</v>
      </c>
      <c r="C555" s="2">
        <v>506896</v>
      </c>
      <c r="D555" s="2" t="s">
        <v>4385</v>
      </c>
      <c r="F555" s="2" t="s">
        <v>2361</v>
      </c>
      <c r="G555" s="2" t="s">
        <v>4389</v>
      </c>
      <c r="H555" s="2" t="s">
        <v>4393</v>
      </c>
      <c r="I555" s="35">
        <v>44552</v>
      </c>
      <c r="J555" s="38">
        <v>87</v>
      </c>
      <c r="K555" s="39">
        <v>6.9</v>
      </c>
    </row>
    <row r="556" spans="2:11" ht="15" customHeight="1">
      <c r="B556" s="2">
        <v>4500459355</v>
      </c>
      <c r="C556" s="2">
        <v>506896</v>
      </c>
      <c r="D556" s="2" t="s">
        <v>4385</v>
      </c>
      <c r="F556" s="2" t="s">
        <v>2361</v>
      </c>
      <c r="G556" s="2" t="s">
        <v>4389</v>
      </c>
      <c r="H556" s="2" t="s">
        <v>4392</v>
      </c>
      <c r="I556" s="35">
        <v>44552</v>
      </c>
      <c r="J556" s="38">
        <v>105</v>
      </c>
      <c r="K556" s="39">
        <v>6.9</v>
      </c>
    </row>
    <row r="557" spans="2:11" ht="15" customHeight="1">
      <c r="B557" s="2">
        <v>4500459355</v>
      </c>
      <c r="C557" s="2">
        <v>506896</v>
      </c>
      <c r="D557" s="2" t="s">
        <v>4385</v>
      </c>
      <c r="F557" s="2" t="s">
        <v>2361</v>
      </c>
      <c r="G557" s="2" t="s">
        <v>4389</v>
      </c>
      <c r="H557" s="2" t="s">
        <v>4395</v>
      </c>
      <c r="I557" s="35">
        <v>44552</v>
      </c>
      <c r="J557" s="38">
        <v>59</v>
      </c>
      <c r="K557" s="39">
        <v>6.9</v>
      </c>
    </row>
    <row r="558" spans="2:11" ht="15" customHeight="1">
      <c r="B558" s="2">
        <v>4500459355</v>
      </c>
      <c r="C558" s="2">
        <v>506896</v>
      </c>
      <c r="D558" s="2" t="s">
        <v>4385</v>
      </c>
      <c r="F558" s="2" t="s">
        <v>2361</v>
      </c>
      <c r="G558" s="2" t="s">
        <v>4389</v>
      </c>
      <c r="H558" s="2" t="s">
        <v>3224</v>
      </c>
      <c r="I558" s="35">
        <v>44552</v>
      </c>
      <c r="J558" s="38">
        <v>25</v>
      </c>
      <c r="K558" s="39">
        <v>6.9</v>
      </c>
    </row>
    <row r="559" spans="2:11" ht="15" customHeight="1">
      <c r="B559" s="2">
        <v>4500459355</v>
      </c>
      <c r="C559" s="2">
        <v>507209</v>
      </c>
      <c r="D559" s="2" t="s">
        <v>4385</v>
      </c>
      <c r="F559" s="2" t="s">
        <v>2361</v>
      </c>
      <c r="G559" s="2" t="s">
        <v>3254</v>
      </c>
      <c r="H559" s="2" t="s">
        <v>4394</v>
      </c>
      <c r="I559" s="35">
        <v>44552</v>
      </c>
      <c r="J559" s="38">
        <v>66</v>
      </c>
      <c r="K559" s="39">
        <v>5.82</v>
      </c>
    </row>
    <row r="560" spans="2:11" ht="15" customHeight="1">
      <c r="B560" s="2">
        <v>4500459355</v>
      </c>
      <c r="C560" s="2">
        <v>507209</v>
      </c>
      <c r="D560" s="2" t="s">
        <v>4385</v>
      </c>
      <c r="F560" s="2" t="s">
        <v>2361</v>
      </c>
      <c r="G560" s="2" t="s">
        <v>3254</v>
      </c>
      <c r="H560" s="2" t="s">
        <v>4393</v>
      </c>
      <c r="I560" s="35">
        <v>44552</v>
      </c>
      <c r="J560" s="38">
        <v>201</v>
      </c>
      <c r="K560" s="39">
        <v>5.82</v>
      </c>
    </row>
    <row r="561" spans="2:11" ht="15" customHeight="1">
      <c r="B561" s="2">
        <v>4500459355</v>
      </c>
      <c r="C561" s="2">
        <v>507209</v>
      </c>
      <c r="D561" s="2" t="s">
        <v>4385</v>
      </c>
      <c r="F561" s="2" t="s">
        <v>2361</v>
      </c>
      <c r="G561" s="2" t="s">
        <v>3254</v>
      </c>
      <c r="H561" s="2" t="s">
        <v>4392</v>
      </c>
      <c r="I561" s="35">
        <v>44552</v>
      </c>
      <c r="J561" s="38">
        <v>243</v>
      </c>
      <c r="K561" s="39">
        <v>5.82</v>
      </c>
    </row>
    <row r="562" spans="2:11" ht="15" customHeight="1">
      <c r="B562" s="2">
        <v>4500459355</v>
      </c>
      <c r="C562" s="2">
        <v>507209</v>
      </c>
      <c r="D562" s="2" t="s">
        <v>4385</v>
      </c>
      <c r="F562" s="2" t="s">
        <v>2361</v>
      </c>
      <c r="G562" s="2" t="s">
        <v>3254</v>
      </c>
      <c r="H562" s="2" t="s">
        <v>4395</v>
      </c>
      <c r="I562" s="35">
        <v>44552</v>
      </c>
      <c r="J562" s="38">
        <v>139</v>
      </c>
      <c r="K562" s="39">
        <v>5.82</v>
      </c>
    </row>
    <row r="563" spans="2:11" ht="15" customHeight="1">
      <c r="B563" s="2">
        <v>4500459355</v>
      </c>
      <c r="C563" s="2">
        <v>507209</v>
      </c>
      <c r="D563" s="2" t="s">
        <v>4385</v>
      </c>
      <c r="F563" s="2" t="s">
        <v>2361</v>
      </c>
      <c r="G563" s="2" t="s">
        <v>3254</v>
      </c>
      <c r="H563" s="2" t="s">
        <v>3224</v>
      </c>
      <c r="I563" s="35">
        <v>44552</v>
      </c>
      <c r="J563" s="38">
        <v>49</v>
      </c>
      <c r="K563" s="39">
        <v>5.82</v>
      </c>
    </row>
    <row r="564" spans="2:11" ht="15" customHeight="1">
      <c r="B564" s="2">
        <v>4500459355</v>
      </c>
      <c r="C564" s="2">
        <v>507209</v>
      </c>
      <c r="D564" s="2" t="s">
        <v>4385</v>
      </c>
      <c r="F564" s="2" t="s">
        <v>2361</v>
      </c>
      <c r="G564" s="2" t="s">
        <v>3265</v>
      </c>
      <c r="H564" s="2" t="s">
        <v>4394</v>
      </c>
      <c r="I564" s="35">
        <v>44552</v>
      </c>
      <c r="J564" s="38">
        <v>62</v>
      </c>
      <c r="K564" s="39">
        <v>6.45</v>
      </c>
    </row>
    <row r="565" spans="2:11" ht="15" customHeight="1">
      <c r="B565" s="2">
        <v>4500459355</v>
      </c>
      <c r="C565" s="2">
        <v>507209</v>
      </c>
      <c r="D565" s="2" t="s">
        <v>4385</v>
      </c>
      <c r="F565" s="2" t="s">
        <v>2361</v>
      </c>
      <c r="G565" s="2" t="s">
        <v>3265</v>
      </c>
      <c r="H565" s="2" t="s">
        <v>4393</v>
      </c>
      <c r="I565" s="35">
        <v>44552</v>
      </c>
      <c r="J565" s="38">
        <v>187</v>
      </c>
      <c r="K565" s="39">
        <v>6.45</v>
      </c>
    </row>
    <row r="566" spans="2:11" ht="15" customHeight="1">
      <c r="B566" s="2">
        <v>4500459355</v>
      </c>
      <c r="C566" s="2">
        <v>507209</v>
      </c>
      <c r="D566" s="2" t="s">
        <v>4385</v>
      </c>
      <c r="F566" s="2" t="s">
        <v>2361</v>
      </c>
      <c r="G566" s="2" t="s">
        <v>3265</v>
      </c>
      <c r="H566" s="2" t="s">
        <v>4392</v>
      </c>
      <c r="I566" s="35">
        <v>44552</v>
      </c>
      <c r="J566" s="38">
        <v>227</v>
      </c>
      <c r="K566" s="39">
        <v>6.45</v>
      </c>
    </row>
    <row r="567" spans="2:11" ht="15" customHeight="1">
      <c r="B567" s="2">
        <v>4500459355</v>
      </c>
      <c r="C567" s="2">
        <v>507209</v>
      </c>
      <c r="D567" s="2" t="s">
        <v>4385</v>
      </c>
      <c r="F567" s="2" t="s">
        <v>2361</v>
      </c>
      <c r="G567" s="2" t="s">
        <v>3265</v>
      </c>
      <c r="H567" s="2" t="s">
        <v>4395</v>
      </c>
      <c r="I567" s="35">
        <v>44552</v>
      </c>
      <c r="J567" s="38">
        <v>129</v>
      </c>
      <c r="K567" s="39">
        <v>6.45</v>
      </c>
    </row>
    <row r="568" spans="2:11" ht="15" customHeight="1">
      <c r="B568" s="2">
        <v>4500459355</v>
      </c>
      <c r="C568" s="2">
        <v>507209</v>
      </c>
      <c r="D568" s="2" t="s">
        <v>4385</v>
      </c>
      <c r="F568" s="2" t="s">
        <v>2361</v>
      </c>
      <c r="G568" s="2" t="s">
        <v>3265</v>
      </c>
      <c r="H568" s="2" t="s">
        <v>3224</v>
      </c>
      <c r="I568" s="35">
        <v>44552</v>
      </c>
      <c r="J568" s="38">
        <v>45</v>
      </c>
      <c r="K568" s="39">
        <v>6.45</v>
      </c>
    </row>
    <row r="569" spans="2:11" ht="15" customHeight="1">
      <c r="B569" s="2">
        <v>4500459355</v>
      </c>
      <c r="C569" s="2">
        <v>507209</v>
      </c>
      <c r="D569" s="2" t="s">
        <v>4385</v>
      </c>
      <c r="F569" s="2" t="s">
        <v>2361</v>
      </c>
      <c r="G569" s="2" t="s">
        <v>3255</v>
      </c>
      <c r="H569" s="2" t="s">
        <v>4394</v>
      </c>
      <c r="I569" s="35">
        <v>44552</v>
      </c>
      <c r="J569" s="38">
        <v>105</v>
      </c>
      <c r="K569" s="39">
        <v>5.82</v>
      </c>
    </row>
    <row r="570" spans="2:11" ht="15" customHeight="1">
      <c r="B570" s="2">
        <v>4500459355</v>
      </c>
      <c r="C570" s="2">
        <v>507209</v>
      </c>
      <c r="D570" s="2" t="s">
        <v>4385</v>
      </c>
      <c r="F570" s="2" t="s">
        <v>2361</v>
      </c>
      <c r="G570" s="2" t="s">
        <v>3255</v>
      </c>
      <c r="H570" s="2" t="s">
        <v>4393</v>
      </c>
      <c r="I570" s="35">
        <v>44552</v>
      </c>
      <c r="J570" s="38">
        <v>317</v>
      </c>
      <c r="K570" s="39">
        <v>5.82</v>
      </c>
    </row>
    <row r="571" spans="2:11" ht="15" customHeight="1">
      <c r="B571" s="2">
        <v>4500459355</v>
      </c>
      <c r="C571" s="2">
        <v>507209</v>
      </c>
      <c r="D571" s="2" t="s">
        <v>4385</v>
      </c>
      <c r="F571" s="2" t="s">
        <v>2361</v>
      </c>
      <c r="G571" s="2" t="s">
        <v>3255</v>
      </c>
      <c r="H571" s="2" t="s">
        <v>4392</v>
      </c>
      <c r="I571" s="35">
        <v>44552</v>
      </c>
      <c r="J571" s="38">
        <v>384</v>
      </c>
      <c r="K571" s="39">
        <v>5.82</v>
      </c>
    </row>
    <row r="572" spans="2:11" ht="15" customHeight="1">
      <c r="B572" s="2">
        <v>4500459355</v>
      </c>
      <c r="C572" s="2">
        <v>507209</v>
      </c>
      <c r="D572" s="2" t="s">
        <v>4385</v>
      </c>
      <c r="F572" s="2" t="s">
        <v>2361</v>
      </c>
      <c r="G572" s="2" t="s">
        <v>3255</v>
      </c>
      <c r="H572" s="2" t="s">
        <v>4395</v>
      </c>
      <c r="I572" s="35">
        <v>44552</v>
      </c>
      <c r="J572" s="38">
        <v>217</v>
      </c>
      <c r="K572" s="39">
        <v>5.82</v>
      </c>
    </row>
    <row r="573" spans="2:11" ht="15" customHeight="1">
      <c r="B573" s="2">
        <v>4500459355</v>
      </c>
      <c r="C573" s="2">
        <v>507209</v>
      </c>
      <c r="D573" s="2" t="s">
        <v>4385</v>
      </c>
      <c r="F573" s="2" t="s">
        <v>2361</v>
      </c>
      <c r="G573" s="2" t="s">
        <v>3255</v>
      </c>
      <c r="H573" s="2" t="s">
        <v>3224</v>
      </c>
      <c r="I573" s="35">
        <v>44552</v>
      </c>
      <c r="J573" s="38">
        <v>77</v>
      </c>
      <c r="K573" s="39">
        <v>5.82</v>
      </c>
    </row>
    <row r="574" spans="2:11" ht="15" customHeight="1">
      <c r="B574" s="2">
        <v>4500459355</v>
      </c>
      <c r="C574" s="2">
        <v>507209</v>
      </c>
      <c r="D574" s="2" t="s">
        <v>4385</v>
      </c>
      <c r="F574" s="2" t="s">
        <v>2361</v>
      </c>
      <c r="G574" s="2" t="s">
        <v>3257</v>
      </c>
      <c r="H574" s="2" t="s">
        <v>4394</v>
      </c>
      <c r="I574" s="35">
        <v>44552</v>
      </c>
      <c r="J574" s="38">
        <v>186</v>
      </c>
      <c r="K574" s="39">
        <v>5.9</v>
      </c>
    </row>
    <row r="575" spans="2:11" ht="15" customHeight="1">
      <c r="B575" s="2">
        <v>4500459355</v>
      </c>
      <c r="C575" s="2">
        <v>507209</v>
      </c>
      <c r="D575" s="2" t="s">
        <v>4385</v>
      </c>
      <c r="F575" s="2" t="s">
        <v>2361</v>
      </c>
      <c r="G575" s="2" t="s">
        <v>3257</v>
      </c>
      <c r="H575" s="2" t="s">
        <v>4393</v>
      </c>
      <c r="I575" s="35">
        <v>44552</v>
      </c>
      <c r="J575" s="38">
        <v>562</v>
      </c>
      <c r="K575" s="39">
        <v>5.9</v>
      </c>
    </row>
    <row r="576" spans="2:11" ht="15" customHeight="1">
      <c r="B576" s="2">
        <v>4500459355</v>
      </c>
      <c r="C576" s="2">
        <v>507209</v>
      </c>
      <c r="D576" s="2" t="s">
        <v>4385</v>
      </c>
      <c r="F576" s="2" t="s">
        <v>2361</v>
      </c>
      <c r="G576" s="2" t="s">
        <v>3257</v>
      </c>
      <c r="H576" s="2" t="s">
        <v>4392</v>
      </c>
      <c r="I576" s="35">
        <v>44552</v>
      </c>
      <c r="J576" s="38">
        <v>680</v>
      </c>
      <c r="K576" s="39">
        <v>5.9</v>
      </c>
    </row>
    <row r="577" spans="2:11" ht="15" customHeight="1">
      <c r="B577" s="2">
        <v>4500459355</v>
      </c>
      <c r="C577" s="2">
        <v>507209</v>
      </c>
      <c r="D577" s="2" t="s">
        <v>4385</v>
      </c>
      <c r="F577" s="2" t="s">
        <v>2361</v>
      </c>
      <c r="G577" s="2" t="s">
        <v>3257</v>
      </c>
      <c r="H577" s="2" t="s">
        <v>4395</v>
      </c>
      <c r="I577" s="35">
        <v>44552</v>
      </c>
      <c r="J577" s="38">
        <v>385</v>
      </c>
      <c r="K577" s="39">
        <v>5.9</v>
      </c>
    </row>
    <row r="578" spans="2:11" ht="15" customHeight="1">
      <c r="B578" s="2">
        <v>4500459355</v>
      </c>
      <c r="C578" s="2">
        <v>507209</v>
      </c>
      <c r="D578" s="2" t="s">
        <v>4385</v>
      </c>
      <c r="F578" s="2" t="s">
        <v>2361</v>
      </c>
      <c r="G578" s="2" t="s">
        <v>3257</v>
      </c>
      <c r="H578" s="2" t="s">
        <v>3224</v>
      </c>
      <c r="I578" s="35">
        <v>44552</v>
      </c>
      <c r="J578" s="38">
        <v>136</v>
      </c>
      <c r="K578" s="39">
        <v>5.9</v>
      </c>
    </row>
    <row r="579" spans="2:11" ht="15" customHeight="1">
      <c r="B579" s="2">
        <v>4500459355</v>
      </c>
      <c r="C579" s="2">
        <v>507209</v>
      </c>
      <c r="D579" s="2" t="s">
        <v>4385</v>
      </c>
      <c r="F579" s="2" t="s">
        <v>2361</v>
      </c>
      <c r="G579" s="2" t="s">
        <v>4396</v>
      </c>
      <c r="H579" s="2" t="s">
        <v>4394</v>
      </c>
      <c r="I579" s="35">
        <v>44552</v>
      </c>
      <c r="J579" s="38">
        <v>91</v>
      </c>
      <c r="K579" s="39">
        <v>5.95</v>
      </c>
    </row>
    <row r="580" spans="2:11" ht="15" customHeight="1">
      <c r="B580" s="2">
        <v>4500459355</v>
      </c>
      <c r="C580" s="2">
        <v>507209</v>
      </c>
      <c r="D580" s="2" t="s">
        <v>4385</v>
      </c>
      <c r="F580" s="2" t="s">
        <v>2361</v>
      </c>
      <c r="G580" s="2" t="s">
        <v>4396</v>
      </c>
      <c r="H580" s="2" t="s">
        <v>4393</v>
      </c>
      <c r="I580" s="35">
        <v>44552</v>
      </c>
      <c r="J580" s="38">
        <v>275</v>
      </c>
      <c r="K580" s="39">
        <v>5.95</v>
      </c>
    </row>
    <row r="581" spans="2:11" ht="15" customHeight="1">
      <c r="B581" s="2">
        <v>4500459355</v>
      </c>
      <c r="C581" s="2">
        <v>507209</v>
      </c>
      <c r="D581" s="2" t="s">
        <v>4385</v>
      </c>
      <c r="F581" s="2" t="s">
        <v>2361</v>
      </c>
      <c r="G581" s="2" t="s">
        <v>4396</v>
      </c>
      <c r="H581" s="2" t="s">
        <v>4392</v>
      </c>
      <c r="I581" s="35">
        <v>44552</v>
      </c>
      <c r="J581" s="38">
        <v>336</v>
      </c>
      <c r="K581" s="39">
        <v>5.95</v>
      </c>
    </row>
    <row r="582" spans="2:11" ht="15" customHeight="1">
      <c r="B582" s="2">
        <v>4500459355</v>
      </c>
      <c r="C582" s="2">
        <v>507209</v>
      </c>
      <c r="D582" s="2" t="s">
        <v>4385</v>
      </c>
      <c r="F582" s="2" t="s">
        <v>2361</v>
      </c>
      <c r="G582" s="2" t="s">
        <v>4396</v>
      </c>
      <c r="H582" s="2" t="s">
        <v>4395</v>
      </c>
      <c r="I582" s="35">
        <v>44552</v>
      </c>
      <c r="J582" s="38">
        <v>190</v>
      </c>
      <c r="K582" s="39">
        <v>5.95</v>
      </c>
    </row>
    <row r="583" spans="2:11" ht="15" customHeight="1">
      <c r="B583" s="2">
        <v>4500459355</v>
      </c>
      <c r="C583" s="2">
        <v>507209</v>
      </c>
      <c r="D583" s="2" t="s">
        <v>4385</v>
      </c>
      <c r="F583" s="2" t="s">
        <v>2361</v>
      </c>
      <c r="G583" s="2" t="s">
        <v>4396</v>
      </c>
      <c r="H583" s="2" t="s">
        <v>3224</v>
      </c>
      <c r="I583" s="35">
        <v>44552</v>
      </c>
      <c r="J583" s="38">
        <v>69</v>
      </c>
      <c r="K583" s="39">
        <v>5.95</v>
      </c>
    </row>
    <row r="584" spans="2:11" ht="15" customHeight="1">
      <c r="B584" s="2">
        <v>4500459355</v>
      </c>
      <c r="C584" s="2">
        <v>507209</v>
      </c>
      <c r="D584" s="2" t="s">
        <v>4385</v>
      </c>
      <c r="F584" s="2" t="s">
        <v>2361</v>
      </c>
      <c r="G584" s="2" t="s">
        <v>4388</v>
      </c>
      <c r="H584" s="2" t="s">
        <v>4394</v>
      </c>
      <c r="I584" s="35">
        <v>44552</v>
      </c>
      <c r="J584" s="38">
        <v>71</v>
      </c>
      <c r="K584" s="39">
        <v>5.82</v>
      </c>
    </row>
    <row r="585" spans="2:11" ht="15" customHeight="1">
      <c r="B585" s="2">
        <v>4500459355</v>
      </c>
      <c r="C585" s="2">
        <v>507209</v>
      </c>
      <c r="D585" s="2" t="s">
        <v>4385</v>
      </c>
      <c r="F585" s="2" t="s">
        <v>2361</v>
      </c>
      <c r="G585" s="2" t="s">
        <v>4388</v>
      </c>
      <c r="H585" s="2" t="s">
        <v>4393</v>
      </c>
      <c r="I585" s="35">
        <v>44552</v>
      </c>
      <c r="J585" s="38">
        <v>217</v>
      </c>
      <c r="K585" s="39">
        <v>5.82</v>
      </c>
    </row>
    <row r="586" spans="2:11" ht="15" customHeight="1">
      <c r="B586" s="2">
        <v>4500459355</v>
      </c>
      <c r="C586" s="2">
        <v>507209</v>
      </c>
      <c r="D586" s="2" t="s">
        <v>4385</v>
      </c>
      <c r="F586" s="2" t="s">
        <v>2361</v>
      </c>
      <c r="G586" s="2" t="s">
        <v>4388</v>
      </c>
      <c r="H586" s="2" t="s">
        <v>4392</v>
      </c>
      <c r="I586" s="35">
        <v>44552</v>
      </c>
      <c r="J586" s="38">
        <v>262</v>
      </c>
      <c r="K586" s="39">
        <v>5.82</v>
      </c>
    </row>
    <row r="587" spans="2:11" ht="15" customHeight="1">
      <c r="B587" s="2">
        <v>4500459355</v>
      </c>
      <c r="C587" s="2">
        <v>507209</v>
      </c>
      <c r="D587" s="2" t="s">
        <v>4385</v>
      </c>
      <c r="F587" s="2" t="s">
        <v>2361</v>
      </c>
      <c r="G587" s="2" t="s">
        <v>4388</v>
      </c>
      <c r="H587" s="2" t="s">
        <v>4395</v>
      </c>
      <c r="I587" s="35">
        <v>44552</v>
      </c>
      <c r="J587" s="38">
        <v>148</v>
      </c>
      <c r="K587" s="39">
        <v>5.82</v>
      </c>
    </row>
    <row r="588" spans="2:11" ht="15" customHeight="1">
      <c r="B588" s="2">
        <v>4500459355</v>
      </c>
      <c r="C588" s="2">
        <v>507209</v>
      </c>
      <c r="D588" s="2" t="s">
        <v>4385</v>
      </c>
      <c r="F588" s="2" t="s">
        <v>2361</v>
      </c>
      <c r="G588" s="2" t="s">
        <v>4388</v>
      </c>
      <c r="H588" s="2" t="s">
        <v>3224</v>
      </c>
      <c r="I588" s="35">
        <v>44552</v>
      </c>
      <c r="J588" s="38">
        <v>52</v>
      </c>
      <c r="K588" s="39">
        <v>5.82</v>
      </c>
    </row>
    <row r="589" spans="2:11" ht="15" customHeight="1">
      <c r="B589" s="2">
        <v>4500459355</v>
      </c>
      <c r="C589" s="2">
        <v>507209</v>
      </c>
      <c r="D589" s="2" t="s">
        <v>4385</v>
      </c>
      <c r="F589" s="2" t="s">
        <v>2361</v>
      </c>
      <c r="G589" s="2" t="s">
        <v>3256</v>
      </c>
      <c r="H589" s="2" t="s">
        <v>4394</v>
      </c>
      <c r="I589" s="35">
        <v>44552</v>
      </c>
      <c r="J589" s="38">
        <v>60</v>
      </c>
      <c r="K589" s="39">
        <v>5.9</v>
      </c>
    </row>
    <row r="590" spans="2:11" ht="15" customHeight="1">
      <c r="B590" s="2">
        <v>4500459355</v>
      </c>
      <c r="C590" s="2">
        <v>507209</v>
      </c>
      <c r="D590" s="2" t="s">
        <v>4385</v>
      </c>
      <c r="F590" s="2" t="s">
        <v>2361</v>
      </c>
      <c r="G590" s="2" t="s">
        <v>3256</v>
      </c>
      <c r="H590" s="2" t="s">
        <v>4393</v>
      </c>
      <c r="I590" s="35">
        <v>44552</v>
      </c>
      <c r="J590" s="38">
        <v>183</v>
      </c>
      <c r="K590" s="39">
        <v>5.9</v>
      </c>
    </row>
    <row r="591" spans="2:11" ht="15" customHeight="1">
      <c r="B591" s="2">
        <v>4500459355</v>
      </c>
      <c r="C591" s="2">
        <v>507209</v>
      </c>
      <c r="D591" s="2" t="s">
        <v>4385</v>
      </c>
      <c r="F591" s="2" t="s">
        <v>2361</v>
      </c>
      <c r="G591" s="2" t="s">
        <v>3256</v>
      </c>
      <c r="H591" s="2" t="s">
        <v>4392</v>
      </c>
      <c r="I591" s="35">
        <v>44552</v>
      </c>
      <c r="J591" s="38">
        <v>219</v>
      </c>
      <c r="K591" s="39">
        <v>5.9</v>
      </c>
    </row>
    <row r="592" spans="2:11" ht="15" customHeight="1">
      <c r="B592" s="2">
        <v>4500459355</v>
      </c>
      <c r="C592" s="2">
        <v>507209</v>
      </c>
      <c r="D592" s="2" t="s">
        <v>4385</v>
      </c>
      <c r="F592" s="2" t="s">
        <v>2361</v>
      </c>
      <c r="G592" s="2" t="s">
        <v>3256</v>
      </c>
      <c r="H592" s="2" t="s">
        <v>4395</v>
      </c>
      <c r="I592" s="35">
        <v>44552</v>
      </c>
      <c r="J592" s="38">
        <v>124</v>
      </c>
      <c r="K592" s="39">
        <v>5.9</v>
      </c>
    </row>
    <row r="593" spans="2:11" ht="15" customHeight="1">
      <c r="B593" s="2">
        <v>4500459355</v>
      </c>
      <c r="C593" s="2">
        <v>507209</v>
      </c>
      <c r="D593" s="2" t="s">
        <v>4385</v>
      </c>
      <c r="F593" s="2" t="s">
        <v>2361</v>
      </c>
      <c r="G593" s="2" t="s">
        <v>3256</v>
      </c>
      <c r="H593" s="2" t="s">
        <v>3224</v>
      </c>
      <c r="I593" s="35">
        <v>44552</v>
      </c>
      <c r="J593" s="38">
        <v>43</v>
      </c>
      <c r="K593" s="39">
        <v>5.9</v>
      </c>
    </row>
    <row r="594" spans="2:11" ht="15" customHeight="1">
      <c r="B594" s="2">
        <v>4500459355</v>
      </c>
      <c r="C594" s="2">
        <v>507209</v>
      </c>
      <c r="D594" s="2" t="s">
        <v>4385</v>
      </c>
      <c r="F594" s="2" t="s">
        <v>2361</v>
      </c>
      <c r="G594" s="2" t="s">
        <v>4398</v>
      </c>
      <c r="H594" s="2" t="s">
        <v>4394</v>
      </c>
      <c r="I594" s="35">
        <v>44552</v>
      </c>
      <c r="J594" s="38">
        <v>234</v>
      </c>
      <c r="K594" s="39">
        <v>6.05</v>
      </c>
    </row>
    <row r="595" spans="2:11" ht="15" customHeight="1">
      <c r="B595" s="2">
        <v>4500459355</v>
      </c>
      <c r="C595" s="2">
        <v>507209</v>
      </c>
      <c r="D595" s="2" t="s">
        <v>4385</v>
      </c>
      <c r="F595" s="2" t="s">
        <v>2361</v>
      </c>
      <c r="G595" s="2" t="s">
        <v>4398</v>
      </c>
      <c r="H595" s="2" t="s">
        <v>4393</v>
      </c>
      <c r="I595" s="35">
        <v>44552</v>
      </c>
      <c r="J595" s="38">
        <v>711</v>
      </c>
      <c r="K595" s="39">
        <v>6.05</v>
      </c>
    </row>
    <row r="596" spans="2:11" ht="15" customHeight="1">
      <c r="B596" s="2">
        <v>4500459355</v>
      </c>
      <c r="C596" s="2">
        <v>507209</v>
      </c>
      <c r="D596" s="2" t="s">
        <v>4385</v>
      </c>
      <c r="F596" s="2" t="s">
        <v>2361</v>
      </c>
      <c r="G596" s="2" t="s">
        <v>4398</v>
      </c>
      <c r="H596" s="2" t="s">
        <v>4392</v>
      </c>
      <c r="I596" s="35">
        <v>44552</v>
      </c>
      <c r="J596" s="38">
        <v>861</v>
      </c>
      <c r="K596" s="39">
        <v>6.05</v>
      </c>
    </row>
    <row r="597" spans="2:11">
      <c r="B597" s="2">
        <v>4500459355</v>
      </c>
      <c r="C597" s="2">
        <v>507209</v>
      </c>
      <c r="D597" s="2" t="s">
        <v>4385</v>
      </c>
      <c r="F597" s="2" t="s">
        <v>2361</v>
      </c>
      <c r="G597" s="2" t="s">
        <v>4398</v>
      </c>
      <c r="H597" s="2" t="s">
        <v>4395</v>
      </c>
      <c r="I597" s="35">
        <v>44552</v>
      </c>
      <c r="J597" s="38">
        <v>485</v>
      </c>
      <c r="K597" s="39">
        <v>6.05</v>
      </c>
    </row>
    <row r="598" spans="2:11">
      <c r="B598" s="2">
        <v>4500459355</v>
      </c>
      <c r="C598" s="2">
        <v>507209</v>
      </c>
      <c r="D598" s="2" t="s">
        <v>4385</v>
      </c>
      <c r="F598" s="2" t="s">
        <v>2361</v>
      </c>
      <c r="G598" s="2" t="s">
        <v>4398</v>
      </c>
      <c r="H598" s="2" t="s">
        <v>3224</v>
      </c>
      <c r="I598" s="35">
        <v>44552</v>
      </c>
      <c r="J598" s="38">
        <v>170</v>
      </c>
      <c r="K598" s="39">
        <v>6.05</v>
      </c>
    </row>
    <row r="599" spans="2:11">
      <c r="B599" s="2">
        <v>4500459355</v>
      </c>
      <c r="C599" s="2">
        <v>507209</v>
      </c>
      <c r="D599" s="2" t="s">
        <v>4385</v>
      </c>
      <c r="F599" s="2" t="s">
        <v>2361</v>
      </c>
      <c r="G599" s="2" t="s">
        <v>4399</v>
      </c>
      <c r="H599" s="2" t="s">
        <v>4394</v>
      </c>
      <c r="I599" s="35">
        <v>44552</v>
      </c>
      <c r="J599" s="38">
        <v>111</v>
      </c>
      <c r="K599" s="39">
        <v>6.45</v>
      </c>
    </row>
    <row r="600" spans="2:11">
      <c r="B600" s="2">
        <v>4500459355</v>
      </c>
      <c r="C600" s="2">
        <v>507209</v>
      </c>
      <c r="D600" s="2" t="s">
        <v>4385</v>
      </c>
      <c r="F600" s="2" t="s">
        <v>2361</v>
      </c>
      <c r="G600" s="2" t="s">
        <v>4399</v>
      </c>
      <c r="H600" s="2" t="s">
        <v>4393</v>
      </c>
      <c r="I600" s="35">
        <v>44552</v>
      </c>
      <c r="J600" s="38">
        <v>336</v>
      </c>
      <c r="K600" s="39">
        <v>6.45</v>
      </c>
    </row>
    <row r="601" spans="2:11">
      <c r="B601" s="2">
        <v>4500459355</v>
      </c>
      <c r="C601" s="2">
        <v>507209</v>
      </c>
      <c r="D601" s="2" t="s">
        <v>4385</v>
      </c>
      <c r="F601" s="2" t="s">
        <v>2361</v>
      </c>
      <c r="G601" s="2" t="s">
        <v>4399</v>
      </c>
      <c r="H601" s="2" t="s">
        <v>4392</v>
      </c>
      <c r="I601" s="35">
        <v>44552</v>
      </c>
      <c r="J601" s="38">
        <v>407</v>
      </c>
      <c r="K601" s="39">
        <v>6.45</v>
      </c>
    </row>
    <row r="602" spans="2:11">
      <c r="B602" s="2">
        <v>4500459355</v>
      </c>
      <c r="C602" s="2">
        <v>507209</v>
      </c>
      <c r="D602" s="2" t="s">
        <v>4385</v>
      </c>
      <c r="F602" s="2" t="s">
        <v>2361</v>
      </c>
      <c r="G602" s="2" t="s">
        <v>4399</v>
      </c>
      <c r="H602" s="2" t="s">
        <v>4395</v>
      </c>
      <c r="I602" s="35">
        <v>44552</v>
      </c>
      <c r="J602" s="38">
        <v>229</v>
      </c>
      <c r="K602" s="39">
        <v>6.45</v>
      </c>
    </row>
    <row r="603" spans="2:11">
      <c r="B603" s="2">
        <v>4500459355</v>
      </c>
      <c r="C603" s="2">
        <v>507209</v>
      </c>
      <c r="D603" s="2" t="s">
        <v>4385</v>
      </c>
      <c r="F603" s="2" t="s">
        <v>2361</v>
      </c>
      <c r="G603" s="2" t="s">
        <v>4399</v>
      </c>
      <c r="H603" s="2" t="s">
        <v>3224</v>
      </c>
      <c r="I603" s="35">
        <v>44552</v>
      </c>
      <c r="J603" s="38">
        <v>80</v>
      </c>
      <c r="K603" s="39">
        <v>6.45</v>
      </c>
    </row>
    <row r="604" spans="2:11">
      <c r="B604" s="2">
        <v>4500459355</v>
      </c>
      <c r="C604" s="2">
        <v>507209</v>
      </c>
      <c r="D604" s="2" t="s">
        <v>4385</v>
      </c>
      <c r="F604" s="2" t="s">
        <v>2361</v>
      </c>
      <c r="G604" s="2" t="s">
        <v>4400</v>
      </c>
      <c r="H604" s="2" t="s">
        <v>4394</v>
      </c>
      <c r="I604" s="35">
        <v>44552</v>
      </c>
      <c r="J604" s="38">
        <v>254</v>
      </c>
      <c r="K604" s="39">
        <v>8</v>
      </c>
    </row>
    <row r="605" spans="2:11">
      <c r="B605" s="2">
        <v>4500459355</v>
      </c>
      <c r="C605" s="2">
        <v>507209</v>
      </c>
      <c r="D605" s="2" t="s">
        <v>4385</v>
      </c>
      <c r="F605" s="2" t="s">
        <v>2361</v>
      </c>
      <c r="G605" s="2" t="s">
        <v>4400</v>
      </c>
      <c r="H605" s="2" t="s">
        <v>4393</v>
      </c>
      <c r="I605" s="35">
        <v>44552</v>
      </c>
      <c r="J605" s="38">
        <v>774</v>
      </c>
      <c r="K605" s="39">
        <v>8</v>
      </c>
    </row>
    <row r="606" spans="2:11">
      <c r="B606" s="2">
        <v>4500459355</v>
      </c>
      <c r="C606" s="2">
        <v>507209</v>
      </c>
      <c r="D606" s="2" t="s">
        <v>4385</v>
      </c>
      <c r="F606" s="2" t="s">
        <v>2361</v>
      </c>
      <c r="G606" s="2" t="s">
        <v>4400</v>
      </c>
      <c r="H606" s="2" t="s">
        <v>4392</v>
      </c>
      <c r="I606" s="35">
        <v>44552</v>
      </c>
      <c r="J606" s="38">
        <v>938</v>
      </c>
      <c r="K606" s="39">
        <v>8</v>
      </c>
    </row>
    <row r="607" spans="2:11">
      <c r="B607" s="2">
        <v>4500459355</v>
      </c>
      <c r="C607" s="2">
        <v>507209</v>
      </c>
      <c r="D607" s="2" t="s">
        <v>4385</v>
      </c>
      <c r="F607" s="2" t="s">
        <v>2361</v>
      </c>
      <c r="G607" s="2" t="s">
        <v>4400</v>
      </c>
      <c r="H607" s="2" t="s">
        <v>4395</v>
      </c>
      <c r="I607" s="35">
        <v>44552</v>
      </c>
      <c r="J607" s="38">
        <v>528</v>
      </c>
      <c r="K607" s="39">
        <v>8</v>
      </c>
    </row>
    <row r="608" spans="2:11">
      <c r="B608" s="2">
        <v>4500459355</v>
      </c>
      <c r="C608" s="2">
        <v>507209</v>
      </c>
      <c r="D608" s="2" t="s">
        <v>4385</v>
      </c>
      <c r="F608" s="2" t="s">
        <v>2361</v>
      </c>
      <c r="G608" s="2" t="s">
        <v>4400</v>
      </c>
      <c r="H608" s="2" t="s">
        <v>3224</v>
      </c>
      <c r="I608" s="35">
        <v>44552</v>
      </c>
      <c r="J608" s="38">
        <v>185</v>
      </c>
      <c r="K608" s="39">
        <v>8</v>
      </c>
    </row>
    <row r="609" spans="2:11">
      <c r="B609" s="2">
        <v>4500459355</v>
      </c>
      <c r="C609" s="2">
        <v>529692</v>
      </c>
      <c r="D609" s="2" t="s">
        <v>4385</v>
      </c>
      <c r="F609" s="2" t="s">
        <v>2361</v>
      </c>
      <c r="G609" s="2" t="s">
        <v>3253</v>
      </c>
      <c r="H609" s="2" t="s">
        <v>3261</v>
      </c>
      <c r="I609" s="35">
        <v>44552</v>
      </c>
      <c r="J609" s="38">
        <v>145</v>
      </c>
      <c r="K609" s="39">
        <v>7.63</v>
      </c>
    </row>
    <row r="610" spans="2:11">
      <c r="B610" s="2">
        <v>4500459355</v>
      </c>
      <c r="C610" s="2">
        <v>529692</v>
      </c>
      <c r="D610" s="2" t="s">
        <v>4385</v>
      </c>
      <c r="F610" s="2" t="s">
        <v>2361</v>
      </c>
      <c r="G610" s="2" t="s">
        <v>3253</v>
      </c>
      <c r="H610" s="2" t="s">
        <v>4390</v>
      </c>
      <c r="I610" s="35">
        <v>44552</v>
      </c>
      <c r="J610" s="38">
        <v>118</v>
      </c>
      <c r="K610" s="39">
        <v>7.63</v>
      </c>
    </row>
    <row r="611" spans="2:11">
      <c r="B611" s="2">
        <v>4500459355</v>
      </c>
      <c r="C611" s="2">
        <v>529692</v>
      </c>
      <c r="D611" s="2" t="s">
        <v>4385</v>
      </c>
      <c r="F611" s="2" t="s">
        <v>2361</v>
      </c>
      <c r="G611" s="2" t="s">
        <v>3253</v>
      </c>
      <c r="H611" s="2" t="s">
        <v>4391</v>
      </c>
      <c r="I611" s="35">
        <v>44552</v>
      </c>
      <c r="J611" s="38">
        <v>37</v>
      </c>
      <c r="K611" s="39">
        <v>7.63</v>
      </c>
    </row>
    <row r="612" spans="2:11">
      <c r="B612" s="2">
        <v>4500459355</v>
      </c>
      <c r="C612" s="2">
        <v>529688</v>
      </c>
      <c r="D612" s="2" t="s">
        <v>4385</v>
      </c>
      <c r="F612" s="2" t="s">
        <v>2361</v>
      </c>
      <c r="G612" s="2" t="s">
        <v>3257</v>
      </c>
      <c r="H612" s="2" t="s">
        <v>3261</v>
      </c>
      <c r="I612" s="35">
        <v>44552</v>
      </c>
      <c r="J612" s="38">
        <v>235</v>
      </c>
      <c r="K612" s="39">
        <v>6.35</v>
      </c>
    </row>
    <row r="613" spans="2:11">
      <c r="B613" s="2">
        <v>4500459355</v>
      </c>
      <c r="C613" s="2">
        <v>529688</v>
      </c>
      <c r="D613" s="2" t="s">
        <v>4385</v>
      </c>
      <c r="F613" s="2" t="s">
        <v>2361</v>
      </c>
      <c r="G613" s="2" t="s">
        <v>3257</v>
      </c>
      <c r="H613" s="2" t="s">
        <v>4390</v>
      </c>
      <c r="I613" s="35">
        <v>44552</v>
      </c>
      <c r="J613" s="38">
        <v>194</v>
      </c>
      <c r="K613" s="39">
        <v>6.35</v>
      </c>
    </row>
    <row r="614" spans="2:11">
      <c r="B614" s="2">
        <v>4500459355</v>
      </c>
      <c r="C614" s="2">
        <v>529688</v>
      </c>
      <c r="D614" s="2" t="s">
        <v>4385</v>
      </c>
      <c r="F614" s="2" t="s">
        <v>2361</v>
      </c>
      <c r="G614" s="2" t="s">
        <v>3257</v>
      </c>
      <c r="H614" s="2" t="s">
        <v>4391</v>
      </c>
      <c r="I614" s="35">
        <v>44552</v>
      </c>
      <c r="J614" s="38">
        <v>59</v>
      </c>
      <c r="K614" s="39">
        <v>6.35</v>
      </c>
    </row>
    <row r="615" spans="2:11">
      <c r="B615" s="2">
        <v>4500459368</v>
      </c>
      <c r="C615" s="2">
        <v>507209</v>
      </c>
      <c r="D615" s="2" t="s">
        <v>4385</v>
      </c>
      <c r="F615" s="2" t="s">
        <v>2361</v>
      </c>
      <c r="G615" s="2" t="s">
        <v>4401</v>
      </c>
      <c r="H615" s="2" t="s">
        <v>4394</v>
      </c>
      <c r="I615" s="35">
        <v>44552</v>
      </c>
      <c r="J615" s="38">
        <v>32</v>
      </c>
      <c r="K615" s="39">
        <v>6.05</v>
      </c>
    </row>
    <row r="616" spans="2:11">
      <c r="B616" s="2">
        <v>4500459368</v>
      </c>
      <c r="C616" s="2">
        <v>507209</v>
      </c>
      <c r="D616" s="2" t="s">
        <v>4385</v>
      </c>
      <c r="F616" s="2" t="s">
        <v>2361</v>
      </c>
      <c r="G616" s="2" t="s">
        <v>4401</v>
      </c>
      <c r="H616" s="2" t="s">
        <v>4393</v>
      </c>
      <c r="I616" s="35">
        <v>44552</v>
      </c>
      <c r="J616" s="38">
        <v>96</v>
      </c>
      <c r="K616" s="39">
        <v>6.05</v>
      </c>
    </row>
    <row r="617" spans="2:11">
      <c r="B617" s="2">
        <v>4500459368</v>
      </c>
      <c r="C617" s="2">
        <v>507209</v>
      </c>
      <c r="D617" s="2" t="s">
        <v>4385</v>
      </c>
      <c r="F617" s="2" t="s">
        <v>2361</v>
      </c>
      <c r="G617" s="2" t="s">
        <v>4401</v>
      </c>
      <c r="H617" s="2" t="s">
        <v>4392</v>
      </c>
      <c r="I617" s="35">
        <v>44552</v>
      </c>
      <c r="J617" s="38">
        <v>96</v>
      </c>
      <c r="K617" s="39">
        <v>6.05</v>
      </c>
    </row>
    <row r="618" spans="2:11">
      <c r="B618" s="2">
        <v>4500459368</v>
      </c>
      <c r="C618" s="2">
        <v>507209</v>
      </c>
      <c r="D618" s="2" t="s">
        <v>4385</v>
      </c>
      <c r="F618" s="2" t="s">
        <v>2361</v>
      </c>
      <c r="G618" s="2" t="s">
        <v>4401</v>
      </c>
      <c r="H618" s="2" t="s">
        <v>4395</v>
      </c>
      <c r="I618" s="35">
        <v>44552</v>
      </c>
      <c r="J618" s="38">
        <v>64</v>
      </c>
      <c r="K618" s="39">
        <v>6.05</v>
      </c>
    </row>
    <row r="619" spans="2:11">
      <c r="B619" s="2">
        <v>4500459368</v>
      </c>
      <c r="C619" s="2">
        <v>507209</v>
      </c>
      <c r="D619" s="2" t="s">
        <v>4385</v>
      </c>
      <c r="F619" s="2" t="s">
        <v>2361</v>
      </c>
      <c r="G619" s="2" t="s">
        <v>4401</v>
      </c>
      <c r="H619" s="2" t="s">
        <v>3224</v>
      </c>
      <c r="I619" s="35">
        <v>44552</v>
      </c>
      <c r="J619" s="38">
        <v>32</v>
      </c>
      <c r="K619" s="39">
        <v>6.05</v>
      </c>
    </row>
    <row r="620" spans="2:11">
      <c r="B620" s="2">
        <v>4500459368</v>
      </c>
      <c r="C620" s="2">
        <v>507209</v>
      </c>
      <c r="D620" s="2" t="s">
        <v>4385</v>
      </c>
      <c r="F620" s="2" t="s">
        <v>2361</v>
      </c>
      <c r="G620" s="2" t="s">
        <v>4402</v>
      </c>
      <c r="H620" s="2" t="s">
        <v>4394</v>
      </c>
      <c r="I620" s="35">
        <v>44552</v>
      </c>
      <c r="J620" s="38">
        <v>32</v>
      </c>
      <c r="K620" s="39">
        <v>8</v>
      </c>
    </row>
    <row r="621" spans="2:11">
      <c r="B621" s="2">
        <v>4500459368</v>
      </c>
      <c r="C621" s="2">
        <v>507209</v>
      </c>
      <c r="D621" s="2" t="s">
        <v>4385</v>
      </c>
      <c r="F621" s="2" t="s">
        <v>2361</v>
      </c>
      <c r="G621" s="2" t="s">
        <v>4402</v>
      </c>
      <c r="H621" s="2" t="s">
        <v>4393</v>
      </c>
      <c r="I621" s="35">
        <v>44552</v>
      </c>
      <c r="J621" s="38">
        <v>64</v>
      </c>
      <c r="K621" s="39">
        <v>8</v>
      </c>
    </row>
    <row r="622" spans="2:11">
      <c r="B622" s="2">
        <v>4500459368</v>
      </c>
      <c r="C622" s="2">
        <v>507209</v>
      </c>
      <c r="D622" s="2" t="s">
        <v>4385</v>
      </c>
      <c r="F622" s="2" t="s">
        <v>2361</v>
      </c>
      <c r="G622" s="2" t="s">
        <v>4402</v>
      </c>
      <c r="H622" s="2" t="s">
        <v>4392</v>
      </c>
      <c r="I622" s="35">
        <v>44552</v>
      </c>
      <c r="J622" s="38">
        <v>96</v>
      </c>
      <c r="K622" s="39">
        <v>8</v>
      </c>
    </row>
    <row r="623" spans="2:11">
      <c r="B623" s="2">
        <v>4500459368</v>
      </c>
      <c r="C623" s="2">
        <v>507209</v>
      </c>
      <c r="D623" s="2" t="s">
        <v>4385</v>
      </c>
      <c r="F623" s="2" t="s">
        <v>2361</v>
      </c>
      <c r="G623" s="2" t="s">
        <v>4402</v>
      </c>
      <c r="H623" s="2" t="s">
        <v>4395</v>
      </c>
      <c r="I623" s="35">
        <v>44552</v>
      </c>
      <c r="J623" s="38">
        <v>96</v>
      </c>
      <c r="K623" s="39">
        <v>8</v>
      </c>
    </row>
    <row r="624" spans="2:11">
      <c r="B624" s="2">
        <v>4500459368</v>
      </c>
      <c r="C624" s="2">
        <v>507209</v>
      </c>
      <c r="D624" s="2" t="s">
        <v>4385</v>
      </c>
      <c r="F624" s="2" t="s">
        <v>2361</v>
      </c>
      <c r="G624" s="2" t="s">
        <v>4402</v>
      </c>
      <c r="H624" s="2" t="s">
        <v>3224</v>
      </c>
      <c r="I624" s="35">
        <v>44552</v>
      </c>
      <c r="J624" s="38">
        <v>32</v>
      </c>
      <c r="K624" s="39">
        <v>8</v>
      </c>
    </row>
    <row r="625" spans="2:11">
      <c r="B625" s="2">
        <v>4500459366</v>
      </c>
      <c r="C625" s="2">
        <v>506896</v>
      </c>
      <c r="D625" s="2" t="s">
        <v>4385</v>
      </c>
      <c r="F625" s="2" t="s">
        <v>2361</v>
      </c>
      <c r="G625" s="2" t="s">
        <v>3250</v>
      </c>
      <c r="H625" s="2" t="s">
        <v>4394</v>
      </c>
      <c r="I625" s="35">
        <v>44552</v>
      </c>
      <c r="J625" s="38">
        <v>12</v>
      </c>
      <c r="K625" s="39">
        <v>6.9</v>
      </c>
    </row>
    <row r="626" spans="2:11">
      <c r="B626" s="2">
        <v>4500459366</v>
      </c>
      <c r="C626" s="2">
        <v>506896</v>
      </c>
      <c r="D626" s="2" t="s">
        <v>4385</v>
      </c>
      <c r="F626" s="2" t="s">
        <v>2361</v>
      </c>
      <c r="G626" s="2" t="s">
        <v>3250</v>
      </c>
      <c r="H626" s="2" t="s">
        <v>4393</v>
      </c>
      <c r="I626" s="35">
        <v>44552</v>
      </c>
      <c r="J626" s="38">
        <v>36</v>
      </c>
      <c r="K626" s="39">
        <v>6.9</v>
      </c>
    </row>
    <row r="627" spans="2:11">
      <c r="B627" s="2">
        <v>4500459366</v>
      </c>
      <c r="C627" s="2">
        <v>506896</v>
      </c>
      <c r="D627" s="2" t="s">
        <v>4385</v>
      </c>
      <c r="F627" s="2" t="s">
        <v>2361</v>
      </c>
      <c r="G627" s="2" t="s">
        <v>3250</v>
      </c>
      <c r="H627" s="2" t="s">
        <v>4392</v>
      </c>
      <c r="I627" s="35">
        <v>44552</v>
      </c>
      <c r="J627" s="38">
        <v>36</v>
      </c>
      <c r="K627" s="39">
        <v>6.9</v>
      </c>
    </row>
    <row r="628" spans="2:11">
      <c r="B628" s="2">
        <v>4500459366</v>
      </c>
      <c r="C628" s="2">
        <v>506896</v>
      </c>
      <c r="D628" s="2" t="s">
        <v>4385</v>
      </c>
      <c r="F628" s="2" t="s">
        <v>2361</v>
      </c>
      <c r="G628" s="2" t="s">
        <v>3250</v>
      </c>
      <c r="H628" s="2" t="s">
        <v>4395</v>
      </c>
      <c r="I628" s="35">
        <v>44552</v>
      </c>
      <c r="J628" s="38">
        <v>24</v>
      </c>
      <c r="K628" s="39">
        <v>6.9</v>
      </c>
    </row>
    <row r="629" spans="2:11">
      <c r="B629" s="2">
        <v>4500459366</v>
      </c>
      <c r="C629" s="2">
        <v>506896</v>
      </c>
      <c r="D629" s="2" t="s">
        <v>4385</v>
      </c>
      <c r="F629" s="2" t="s">
        <v>2361</v>
      </c>
      <c r="G629" s="2" t="s">
        <v>3250</v>
      </c>
      <c r="H629" s="2" t="s">
        <v>3224</v>
      </c>
      <c r="I629" s="35">
        <v>44552</v>
      </c>
      <c r="J629" s="38">
        <v>12</v>
      </c>
      <c r="K629" s="39">
        <v>6.9</v>
      </c>
    </row>
    <row r="630" spans="2:11">
      <c r="B630" s="2">
        <v>4500459366</v>
      </c>
      <c r="C630" s="2">
        <v>506896</v>
      </c>
      <c r="D630" s="2" t="s">
        <v>4385</v>
      </c>
      <c r="F630" s="2" t="s">
        <v>2361</v>
      </c>
      <c r="G630" s="2" t="s">
        <v>3252</v>
      </c>
      <c r="H630" s="2" t="s">
        <v>4394</v>
      </c>
      <c r="I630" s="35">
        <v>44552</v>
      </c>
      <c r="J630" s="38">
        <v>12</v>
      </c>
      <c r="K630" s="39">
        <v>5.6</v>
      </c>
    </row>
    <row r="631" spans="2:11">
      <c r="B631" s="2">
        <v>4500459366</v>
      </c>
      <c r="C631" s="2">
        <v>506896</v>
      </c>
      <c r="D631" s="2" t="s">
        <v>4385</v>
      </c>
      <c r="F631" s="2" t="s">
        <v>2361</v>
      </c>
      <c r="G631" s="2" t="s">
        <v>3252</v>
      </c>
      <c r="H631" s="2" t="s">
        <v>4393</v>
      </c>
      <c r="I631" s="35">
        <v>44552</v>
      </c>
      <c r="J631" s="38">
        <v>36</v>
      </c>
      <c r="K631" s="39">
        <v>5.6</v>
      </c>
    </row>
    <row r="632" spans="2:11">
      <c r="B632" s="2">
        <v>4500459366</v>
      </c>
      <c r="C632" s="2">
        <v>506896</v>
      </c>
      <c r="D632" s="2" t="s">
        <v>4385</v>
      </c>
      <c r="F632" s="2" t="s">
        <v>2361</v>
      </c>
      <c r="G632" s="2" t="s">
        <v>3252</v>
      </c>
      <c r="H632" s="2" t="s">
        <v>4392</v>
      </c>
      <c r="I632" s="35">
        <v>44552</v>
      </c>
      <c r="J632" s="38">
        <v>36</v>
      </c>
      <c r="K632" s="39">
        <v>5.6</v>
      </c>
    </row>
    <row r="633" spans="2:11">
      <c r="B633" s="2">
        <v>4500459366</v>
      </c>
      <c r="C633" s="2">
        <v>506896</v>
      </c>
      <c r="D633" s="2" t="s">
        <v>4385</v>
      </c>
      <c r="F633" s="2" t="s">
        <v>2361</v>
      </c>
      <c r="G633" s="2" t="s">
        <v>3252</v>
      </c>
      <c r="H633" s="2" t="s">
        <v>4395</v>
      </c>
      <c r="I633" s="35">
        <v>44552</v>
      </c>
      <c r="J633" s="38">
        <v>24</v>
      </c>
      <c r="K633" s="39">
        <v>5.6</v>
      </c>
    </row>
    <row r="634" spans="2:11">
      <c r="B634" s="2">
        <v>4500459366</v>
      </c>
      <c r="C634" s="2">
        <v>506896</v>
      </c>
      <c r="D634" s="2" t="s">
        <v>4385</v>
      </c>
      <c r="F634" s="2" t="s">
        <v>2361</v>
      </c>
      <c r="G634" s="2" t="s">
        <v>3252</v>
      </c>
      <c r="H634" s="2" t="s">
        <v>3224</v>
      </c>
      <c r="I634" s="35">
        <v>44552</v>
      </c>
      <c r="J634" s="38">
        <v>12</v>
      </c>
      <c r="K634" s="39">
        <v>5.6</v>
      </c>
    </row>
    <row r="635" spans="2:11">
      <c r="B635" s="2">
        <v>4500459366</v>
      </c>
      <c r="C635" s="2">
        <v>506896</v>
      </c>
      <c r="D635" s="2" t="s">
        <v>4385</v>
      </c>
      <c r="F635" s="2" t="s">
        <v>2361</v>
      </c>
      <c r="G635" s="2" t="s">
        <v>4389</v>
      </c>
      <c r="H635" s="2" t="s">
        <v>4394</v>
      </c>
      <c r="I635" s="35">
        <v>44552</v>
      </c>
      <c r="J635" s="38">
        <v>12</v>
      </c>
      <c r="K635" s="39">
        <v>6.9</v>
      </c>
    </row>
    <row r="636" spans="2:11">
      <c r="B636" s="2">
        <v>4500459366</v>
      </c>
      <c r="C636" s="2">
        <v>506896</v>
      </c>
      <c r="D636" s="2" t="s">
        <v>4385</v>
      </c>
      <c r="F636" s="2" t="s">
        <v>2361</v>
      </c>
      <c r="G636" s="2" t="s">
        <v>4389</v>
      </c>
      <c r="H636" s="2" t="s">
        <v>4393</v>
      </c>
      <c r="I636" s="35">
        <v>44552</v>
      </c>
      <c r="J636" s="38">
        <v>24</v>
      </c>
      <c r="K636" s="39">
        <v>6.9</v>
      </c>
    </row>
    <row r="637" spans="2:11">
      <c r="B637" s="2">
        <v>4500459366</v>
      </c>
      <c r="C637" s="2">
        <v>506896</v>
      </c>
      <c r="D637" s="2" t="s">
        <v>4385</v>
      </c>
      <c r="F637" s="2" t="s">
        <v>2361</v>
      </c>
      <c r="G637" s="2" t="s">
        <v>4389</v>
      </c>
      <c r="H637" s="2" t="s">
        <v>4392</v>
      </c>
      <c r="I637" s="35">
        <v>44552</v>
      </c>
      <c r="J637" s="38">
        <v>24</v>
      </c>
      <c r="K637" s="39">
        <v>6.9</v>
      </c>
    </row>
    <row r="638" spans="2:11">
      <c r="B638" s="2">
        <v>4500459366</v>
      </c>
      <c r="C638" s="2">
        <v>506896</v>
      </c>
      <c r="D638" s="2" t="s">
        <v>4385</v>
      </c>
      <c r="F638" s="2" t="s">
        <v>2361</v>
      </c>
      <c r="G638" s="2" t="s">
        <v>4389</v>
      </c>
      <c r="H638" s="2" t="s">
        <v>4395</v>
      </c>
      <c r="I638" s="35">
        <v>44552</v>
      </c>
      <c r="J638" s="38">
        <v>12</v>
      </c>
      <c r="K638" s="39">
        <v>6.9</v>
      </c>
    </row>
    <row r="639" spans="2:11">
      <c r="B639" s="2">
        <v>4500459366</v>
      </c>
      <c r="C639" s="2">
        <v>506896</v>
      </c>
      <c r="D639" s="2" t="s">
        <v>4385</v>
      </c>
      <c r="F639" s="2" t="s">
        <v>2361</v>
      </c>
      <c r="G639" s="2" t="s">
        <v>4403</v>
      </c>
      <c r="H639" s="2" t="s">
        <v>4394</v>
      </c>
      <c r="I639" s="35">
        <v>44552</v>
      </c>
      <c r="J639" s="38">
        <v>12</v>
      </c>
      <c r="K639" s="39">
        <v>6.96</v>
      </c>
    </row>
    <row r="640" spans="2:11">
      <c r="B640" s="2">
        <v>4500459366</v>
      </c>
      <c r="C640" s="2">
        <v>506896</v>
      </c>
      <c r="D640" s="2" t="s">
        <v>4385</v>
      </c>
      <c r="F640" s="2" t="s">
        <v>2361</v>
      </c>
      <c r="G640" s="2" t="s">
        <v>4403</v>
      </c>
      <c r="H640" s="2" t="s">
        <v>4393</v>
      </c>
      <c r="I640" s="35">
        <v>44552</v>
      </c>
      <c r="J640" s="38">
        <v>24</v>
      </c>
      <c r="K640" s="39">
        <v>6.96</v>
      </c>
    </row>
    <row r="641" spans="2:11">
      <c r="B641" s="2">
        <v>4500459366</v>
      </c>
      <c r="C641" s="2">
        <v>506896</v>
      </c>
      <c r="D641" s="2" t="s">
        <v>4385</v>
      </c>
      <c r="F641" s="2" t="s">
        <v>2361</v>
      </c>
      <c r="G641" s="2" t="s">
        <v>4403</v>
      </c>
      <c r="H641" s="2" t="s">
        <v>4392</v>
      </c>
      <c r="I641" s="35">
        <v>44552</v>
      </c>
      <c r="J641" s="38">
        <v>24</v>
      </c>
      <c r="K641" s="39">
        <v>6.96</v>
      </c>
    </row>
    <row r="642" spans="2:11">
      <c r="B642" s="2">
        <v>4500459366</v>
      </c>
      <c r="C642" s="2">
        <v>506896</v>
      </c>
      <c r="D642" s="2" t="s">
        <v>4385</v>
      </c>
      <c r="F642" s="2" t="s">
        <v>2361</v>
      </c>
      <c r="G642" s="2" t="s">
        <v>4403</v>
      </c>
      <c r="H642" s="2" t="s">
        <v>4395</v>
      </c>
      <c r="I642" s="35">
        <v>44552</v>
      </c>
      <c r="J642" s="38">
        <v>12</v>
      </c>
      <c r="K642" s="39">
        <v>6.96</v>
      </c>
    </row>
    <row r="643" spans="2:11">
      <c r="B643" s="2">
        <v>4500459358</v>
      </c>
      <c r="C643" s="2">
        <v>506896</v>
      </c>
      <c r="D643" s="2" t="s">
        <v>4385</v>
      </c>
      <c r="F643" s="2" t="s">
        <v>2361</v>
      </c>
      <c r="G643" s="2" t="s">
        <v>3248</v>
      </c>
      <c r="H643" s="2" t="s">
        <v>4394</v>
      </c>
      <c r="I643" s="35">
        <v>44559</v>
      </c>
      <c r="J643" s="38">
        <v>36</v>
      </c>
      <c r="K643" s="39">
        <v>5.89</v>
      </c>
    </row>
    <row r="644" spans="2:11">
      <c r="B644" s="2">
        <v>4500459358</v>
      </c>
      <c r="C644" s="2">
        <v>506896</v>
      </c>
      <c r="D644" s="2" t="s">
        <v>4385</v>
      </c>
      <c r="F644" s="2" t="s">
        <v>2361</v>
      </c>
      <c r="G644" s="2" t="s">
        <v>3248</v>
      </c>
      <c r="H644" s="2" t="s">
        <v>4393</v>
      </c>
      <c r="I644" s="35">
        <v>44559</v>
      </c>
      <c r="J644" s="38">
        <v>96</v>
      </c>
      <c r="K644" s="39">
        <v>5.89</v>
      </c>
    </row>
    <row r="645" spans="2:11">
      <c r="B645" s="2">
        <v>4500459358</v>
      </c>
      <c r="C645" s="2">
        <v>506896</v>
      </c>
      <c r="D645" s="2" t="s">
        <v>4385</v>
      </c>
      <c r="F645" s="2" t="s">
        <v>2361</v>
      </c>
      <c r="G645" s="2" t="s">
        <v>3248</v>
      </c>
      <c r="H645" s="2" t="s">
        <v>4392</v>
      </c>
      <c r="I645" s="35">
        <v>44559</v>
      </c>
      <c r="J645" s="38">
        <v>150</v>
      </c>
      <c r="K645" s="39">
        <v>5.89</v>
      </c>
    </row>
    <row r="646" spans="2:11">
      <c r="B646" s="2">
        <v>4500459358</v>
      </c>
      <c r="C646" s="2">
        <v>506896</v>
      </c>
      <c r="D646" s="2" t="s">
        <v>4385</v>
      </c>
      <c r="F646" s="2" t="s">
        <v>2361</v>
      </c>
      <c r="G646" s="2" t="s">
        <v>3248</v>
      </c>
      <c r="H646" s="2" t="s">
        <v>4395</v>
      </c>
      <c r="I646" s="35">
        <v>44559</v>
      </c>
      <c r="J646" s="38">
        <v>114</v>
      </c>
      <c r="K646" s="39">
        <v>5.89</v>
      </c>
    </row>
    <row r="647" spans="2:11">
      <c r="B647" s="2">
        <v>4500459358</v>
      </c>
      <c r="C647" s="2">
        <v>506896</v>
      </c>
      <c r="D647" s="2" t="s">
        <v>4385</v>
      </c>
      <c r="F647" s="2" t="s">
        <v>2361</v>
      </c>
      <c r="G647" s="2" t="s">
        <v>3248</v>
      </c>
      <c r="H647" s="2" t="s">
        <v>3224</v>
      </c>
      <c r="I647" s="35">
        <v>44559</v>
      </c>
      <c r="J647" s="38">
        <v>72</v>
      </c>
      <c r="K647" s="39">
        <v>5.89</v>
      </c>
    </row>
    <row r="648" spans="2:11">
      <c r="B648" s="2">
        <v>4500459358</v>
      </c>
      <c r="C648" s="2">
        <v>506896</v>
      </c>
      <c r="D648" s="2" t="s">
        <v>4385</v>
      </c>
      <c r="F648" s="2" t="s">
        <v>2361</v>
      </c>
      <c r="G648" s="2" t="s">
        <v>3252</v>
      </c>
      <c r="H648" s="2" t="s">
        <v>4394</v>
      </c>
      <c r="I648" s="35">
        <v>44559</v>
      </c>
      <c r="J648" s="38">
        <v>60</v>
      </c>
      <c r="K648" s="39">
        <v>5.89</v>
      </c>
    </row>
    <row r="649" spans="2:11">
      <c r="B649" s="2">
        <v>4500459358</v>
      </c>
      <c r="C649" s="2">
        <v>506896</v>
      </c>
      <c r="D649" s="2" t="s">
        <v>4385</v>
      </c>
      <c r="F649" s="2" t="s">
        <v>2361</v>
      </c>
      <c r="G649" s="2" t="s">
        <v>3252</v>
      </c>
      <c r="H649" s="2" t="s">
        <v>4393</v>
      </c>
      <c r="I649" s="35">
        <v>44559</v>
      </c>
      <c r="J649" s="38">
        <v>168</v>
      </c>
      <c r="K649" s="39">
        <v>5.89</v>
      </c>
    </row>
    <row r="650" spans="2:11">
      <c r="B650" s="2">
        <v>4500459358</v>
      </c>
      <c r="C650" s="2">
        <v>506896</v>
      </c>
      <c r="D650" s="2" t="s">
        <v>4385</v>
      </c>
      <c r="F650" s="2" t="s">
        <v>2361</v>
      </c>
      <c r="G650" s="2" t="s">
        <v>3252</v>
      </c>
      <c r="H650" s="2" t="s">
        <v>4392</v>
      </c>
      <c r="I650" s="35">
        <v>44559</v>
      </c>
      <c r="J650" s="38">
        <v>264</v>
      </c>
      <c r="K650" s="39">
        <v>5.89</v>
      </c>
    </row>
    <row r="651" spans="2:11">
      <c r="B651" s="2">
        <v>4500459358</v>
      </c>
      <c r="C651" s="2">
        <v>506896</v>
      </c>
      <c r="D651" s="2" t="s">
        <v>4385</v>
      </c>
      <c r="F651" s="2" t="s">
        <v>2361</v>
      </c>
      <c r="G651" s="2" t="s">
        <v>3252</v>
      </c>
      <c r="H651" s="2" t="s">
        <v>4395</v>
      </c>
      <c r="I651" s="35">
        <v>44559</v>
      </c>
      <c r="J651" s="38">
        <v>198</v>
      </c>
      <c r="K651" s="39">
        <v>5.89</v>
      </c>
    </row>
    <row r="652" spans="2:11">
      <c r="B652" s="2">
        <v>4500459358</v>
      </c>
      <c r="C652" s="2">
        <v>506896</v>
      </c>
      <c r="D652" s="2" t="s">
        <v>4385</v>
      </c>
      <c r="F652" s="2" t="s">
        <v>2361</v>
      </c>
      <c r="G652" s="2" t="s">
        <v>3252</v>
      </c>
      <c r="H652" s="2" t="s">
        <v>3224</v>
      </c>
      <c r="I652" s="35">
        <v>44559</v>
      </c>
      <c r="J652" s="38">
        <v>132</v>
      </c>
      <c r="K652" s="39">
        <v>5.89</v>
      </c>
    </row>
    <row r="653" spans="2:11">
      <c r="B653" s="2">
        <v>4500459358</v>
      </c>
      <c r="C653" s="2">
        <v>507209</v>
      </c>
      <c r="D653" s="2" t="s">
        <v>4385</v>
      </c>
      <c r="F653" s="2" t="s">
        <v>2361</v>
      </c>
      <c r="G653" s="2" t="s">
        <v>3255</v>
      </c>
      <c r="H653" s="2" t="s">
        <v>4394</v>
      </c>
      <c r="I653" s="35">
        <v>44559</v>
      </c>
      <c r="J653" s="38">
        <v>30</v>
      </c>
      <c r="K653" s="39">
        <v>6.11</v>
      </c>
    </row>
    <row r="654" spans="2:11">
      <c r="B654" s="2">
        <v>4500459358</v>
      </c>
      <c r="C654" s="2">
        <v>507209</v>
      </c>
      <c r="D654" s="2" t="s">
        <v>4385</v>
      </c>
      <c r="F654" s="2" t="s">
        <v>2361</v>
      </c>
      <c r="G654" s="2" t="s">
        <v>3255</v>
      </c>
      <c r="H654" s="2" t="s">
        <v>4393</v>
      </c>
      <c r="I654" s="35">
        <v>44559</v>
      </c>
      <c r="J654" s="38">
        <v>72</v>
      </c>
      <c r="K654" s="39">
        <v>6.11</v>
      </c>
    </row>
    <row r="655" spans="2:11">
      <c r="B655" s="2">
        <v>4500459358</v>
      </c>
      <c r="C655" s="2">
        <v>507209</v>
      </c>
      <c r="D655" s="2" t="s">
        <v>4385</v>
      </c>
      <c r="F655" s="2" t="s">
        <v>2361</v>
      </c>
      <c r="G655" s="2" t="s">
        <v>3255</v>
      </c>
      <c r="H655" s="2" t="s">
        <v>4392</v>
      </c>
      <c r="I655" s="35">
        <v>44559</v>
      </c>
      <c r="J655" s="38">
        <v>114</v>
      </c>
      <c r="K655" s="39">
        <v>6.11</v>
      </c>
    </row>
    <row r="656" spans="2:11">
      <c r="B656" s="2">
        <v>4500459358</v>
      </c>
      <c r="C656" s="2">
        <v>507209</v>
      </c>
      <c r="D656" s="2" t="s">
        <v>4385</v>
      </c>
      <c r="F656" s="2" t="s">
        <v>2361</v>
      </c>
      <c r="G656" s="2" t="s">
        <v>3255</v>
      </c>
      <c r="H656" s="2" t="s">
        <v>4395</v>
      </c>
      <c r="I656" s="35">
        <v>44559</v>
      </c>
      <c r="J656" s="38">
        <v>84</v>
      </c>
      <c r="K656" s="39">
        <v>6.11</v>
      </c>
    </row>
    <row r="657" spans="2:11">
      <c r="B657" s="2">
        <v>4500459358</v>
      </c>
      <c r="C657" s="2">
        <v>507209</v>
      </c>
      <c r="D657" s="2" t="s">
        <v>4385</v>
      </c>
      <c r="F657" s="2" t="s">
        <v>2361</v>
      </c>
      <c r="G657" s="2" t="s">
        <v>3255</v>
      </c>
      <c r="H657" s="2" t="s">
        <v>3224</v>
      </c>
      <c r="I657" s="35">
        <v>44559</v>
      </c>
      <c r="J657" s="38">
        <v>60</v>
      </c>
      <c r="K657" s="39">
        <v>6.11</v>
      </c>
    </row>
    <row r="658" spans="2:11">
      <c r="B658" s="2">
        <v>4500459358</v>
      </c>
      <c r="C658" s="2">
        <v>507209</v>
      </c>
      <c r="D658" s="2" t="s">
        <v>4385</v>
      </c>
      <c r="F658" s="2" t="s">
        <v>2361</v>
      </c>
      <c r="G658" s="2" t="s">
        <v>3257</v>
      </c>
      <c r="H658" s="2" t="s">
        <v>4394</v>
      </c>
      <c r="I658" s="35">
        <v>44559</v>
      </c>
      <c r="J658" s="38">
        <v>54</v>
      </c>
      <c r="K658" s="39">
        <v>6.19</v>
      </c>
    </row>
    <row r="659" spans="2:11">
      <c r="B659" s="2">
        <v>4500459358</v>
      </c>
      <c r="C659" s="2">
        <v>507209</v>
      </c>
      <c r="D659" s="2" t="s">
        <v>4385</v>
      </c>
      <c r="F659" s="2" t="s">
        <v>2361</v>
      </c>
      <c r="G659" s="2" t="s">
        <v>3257</v>
      </c>
      <c r="H659" s="2" t="s">
        <v>4393</v>
      </c>
      <c r="I659" s="35">
        <v>44559</v>
      </c>
      <c r="J659" s="38">
        <v>132</v>
      </c>
      <c r="K659" s="39">
        <v>6.19</v>
      </c>
    </row>
    <row r="660" spans="2:11">
      <c r="B660" s="2">
        <v>4500459358</v>
      </c>
      <c r="C660" s="2">
        <v>507209</v>
      </c>
      <c r="D660" s="2" t="s">
        <v>4385</v>
      </c>
      <c r="F660" s="2" t="s">
        <v>2361</v>
      </c>
      <c r="G660" s="2" t="s">
        <v>3257</v>
      </c>
      <c r="H660" s="2" t="s">
        <v>4392</v>
      </c>
      <c r="I660" s="35">
        <v>44559</v>
      </c>
      <c r="J660" s="38">
        <v>210</v>
      </c>
      <c r="K660" s="39">
        <v>6.19</v>
      </c>
    </row>
    <row r="661" spans="2:11">
      <c r="B661" s="2">
        <v>4500459358</v>
      </c>
      <c r="C661" s="2">
        <v>507209</v>
      </c>
      <c r="D661" s="2" t="s">
        <v>4385</v>
      </c>
      <c r="F661" s="2" t="s">
        <v>2361</v>
      </c>
      <c r="G661" s="2" t="s">
        <v>3257</v>
      </c>
      <c r="H661" s="2" t="s">
        <v>4395</v>
      </c>
      <c r="I661" s="35">
        <v>44559</v>
      </c>
      <c r="J661" s="38">
        <v>156</v>
      </c>
      <c r="K661" s="39">
        <v>6.19</v>
      </c>
    </row>
    <row r="662" spans="2:11">
      <c r="B662" s="2">
        <v>4500459358</v>
      </c>
      <c r="C662" s="2">
        <v>507209</v>
      </c>
      <c r="D662" s="2" t="s">
        <v>4385</v>
      </c>
      <c r="F662" s="2" t="s">
        <v>2361</v>
      </c>
      <c r="G662" s="2" t="s">
        <v>3257</v>
      </c>
      <c r="H662" s="2" t="s">
        <v>3224</v>
      </c>
      <c r="I662" s="35">
        <v>44559</v>
      </c>
      <c r="J662" s="38">
        <v>102</v>
      </c>
      <c r="K662" s="39">
        <v>6.19</v>
      </c>
    </row>
    <row r="663" spans="2:11">
      <c r="B663" s="2">
        <v>4500459358</v>
      </c>
      <c r="C663" s="2">
        <v>507209</v>
      </c>
      <c r="D663" s="2" t="s">
        <v>4385</v>
      </c>
      <c r="F663" s="2" t="s">
        <v>2361</v>
      </c>
      <c r="G663" s="2" t="s">
        <v>3258</v>
      </c>
      <c r="H663" s="2" t="s">
        <v>4394</v>
      </c>
      <c r="I663" s="35">
        <v>44559</v>
      </c>
      <c r="J663" s="38">
        <v>60</v>
      </c>
      <c r="K663" s="39">
        <v>6.11</v>
      </c>
    </row>
    <row r="664" spans="2:11">
      <c r="B664" s="2">
        <v>4500459358</v>
      </c>
      <c r="C664" s="2">
        <v>507209</v>
      </c>
      <c r="D664" s="2" t="s">
        <v>4385</v>
      </c>
      <c r="F664" s="2" t="s">
        <v>2361</v>
      </c>
      <c r="G664" s="2" t="s">
        <v>3258</v>
      </c>
      <c r="H664" s="2" t="s">
        <v>4393</v>
      </c>
      <c r="I664" s="35">
        <v>44559</v>
      </c>
      <c r="J664" s="38">
        <v>150</v>
      </c>
      <c r="K664" s="39">
        <v>6.11</v>
      </c>
    </row>
    <row r="665" spans="2:11">
      <c r="B665" s="2">
        <v>4500459358</v>
      </c>
      <c r="C665" s="2">
        <v>507209</v>
      </c>
      <c r="D665" s="2" t="s">
        <v>4385</v>
      </c>
      <c r="F665" s="2" t="s">
        <v>2361</v>
      </c>
      <c r="G665" s="2" t="s">
        <v>3258</v>
      </c>
      <c r="H665" s="2" t="s">
        <v>4392</v>
      </c>
      <c r="I665" s="35">
        <v>44559</v>
      </c>
      <c r="J665" s="38">
        <v>240</v>
      </c>
      <c r="K665" s="39">
        <v>6.11</v>
      </c>
    </row>
    <row r="666" spans="2:11">
      <c r="B666" s="2">
        <v>4500459358</v>
      </c>
      <c r="C666" s="2">
        <v>507209</v>
      </c>
      <c r="D666" s="2" t="s">
        <v>4385</v>
      </c>
      <c r="F666" s="2" t="s">
        <v>2361</v>
      </c>
      <c r="G666" s="2" t="s">
        <v>3258</v>
      </c>
      <c r="H666" s="2" t="s">
        <v>4395</v>
      </c>
      <c r="I666" s="35">
        <v>44559</v>
      </c>
      <c r="J666" s="38">
        <v>180</v>
      </c>
      <c r="K666" s="39">
        <v>6.11</v>
      </c>
    </row>
    <row r="667" spans="2:11">
      <c r="B667" s="2">
        <v>4500459358</v>
      </c>
      <c r="C667" s="2">
        <v>507209</v>
      </c>
      <c r="D667" s="2" t="s">
        <v>4385</v>
      </c>
      <c r="F667" s="2" t="s">
        <v>2361</v>
      </c>
      <c r="G667" s="2" t="s">
        <v>3258</v>
      </c>
      <c r="H667" s="2" t="s">
        <v>3224</v>
      </c>
      <c r="I667" s="35">
        <v>44559</v>
      </c>
      <c r="J667" s="38">
        <v>120</v>
      </c>
      <c r="K667" s="39">
        <v>6.11</v>
      </c>
    </row>
    <row r="668" spans="2:11">
      <c r="B668" s="2">
        <v>4500459358</v>
      </c>
      <c r="C668" s="2">
        <v>507209</v>
      </c>
      <c r="D668" s="2" t="s">
        <v>4385</v>
      </c>
      <c r="F668" s="2" t="s">
        <v>2361</v>
      </c>
      <c r="G668" s="2" t="s">
        <v>3256</v>
      </c>
      <c r="H668" s="2" t="s">
        <v>4394</v>
      </c>
      <c r="I668" s="35">
        <v>44559</v>
      </c>
      <c r="J668" s="38">
        <v>42</v>
      </c>
      <c r="K668" s="39">
        <v>6.19</v>
      </c>
    </row>
    <row r="669" spans="2:11">
      <c r="B669" s="2">
        <v>4500459358</v>
      </c>
      <c r="C669" s="2">
        <v>507209</v>
      </c>
      <c r="D669" s="2" t="s">
        <v>4385</v>
      </c>
      <c r="F669" s="2" t="s">
        <v>2361</v>
      </c>
      <c r="G669" s="2" t="s">
        <v>3256</v>
      </c>
      <c r="H669" s="2" t="s">
        <v>4393</v>
      </c>
      <c r="I669" s="35">
        <v>44559</v>
      </c>
      <c r="J669" s="38">
        <v>108</v>
      </c>
      <c r="K669" s="39">
        <v>6.19</v>
      </c>
    </row>
    <row r="670" spans="2:11">
      <c r="B670" s="2">
        <v>4500459358</v>
      </c>
      <c r="C670" s="2">
        <v>507209</v>
      </c>
      <c r="D670" s="2" t="s">
        <v>4385</v>
      </c>
      <c r="F670" s="2" t="s">
        <v>2361</v>
      </c>
      <c r="G670" s="2" t="s">
        <v>3256</v>
      </c>
      <c r="H670" s="2" t="s">
        <v>4392</v>
      </c>
      <c r="I670" s="35">
        <v>44559</v>
      </c>
      <c r="J670" s="38">
        <v>174</v>
      </c>
      <c r="K670" s="39">
        <v>6.19</v>
      </c>
    </row>
    <row r="671" spans="2:11">
      <c r="B671" s="2">
        <v>4500459358</v>
      </c>
      <c r="C671" s="2">
        <v>507209</v>
      </c>
      <c r="D671" s="2" t="s">
        <v>4385</v>
      </c>
      <c r="F671" s="2" t="s">
        <v>2361</v>
      </c>
      <c r="G671" s="2" t="s">
        <v>3256</v>
      </c>
      <c r="H671" s="2" t="s">
        <v>4395</v>
      </c>
      <c r="I671" s="35">
        <v>44559</v>
      </c>
      <c r="J671" s="38">
        <v>132</v>
      </c>
      <c r="K671" s="39">
        <v>6.19</v>
      </c>
    </row>
    <row r="672" spans="2:11">
      <c r="B672" s="2">
        <v>4500459358</v>
      </c>
      <c r="C672" s="2">
        <v>507209</v>
      </c>
      <c r="D672" s="2" t="s">
        <v>4385</v>
      </c>
      <c r="F672" s="2" t="s">
        <v>2361</v>
      </c>
      <c r="G672" s="2" t="s">
        <v>3256</v>
      </c>
      <c r="H672" s="2" t="s">
        <v>3224</v>
      </c>
      <c r="I672" s="35">
        <v>44559</v>
      </c>
      <c r="J672" s="38">
        <v>84</v>
      </c>
      <c r="K672" s="39">
        <v>6.19</v>
      </c>
    </row>
    <row r="673" spans="2:11">
      <c r="B673" s="2">
        <v>4500459365</v>
      </c>
      <c r="C673" s="2">
        <v>506896</v>
      </c>
      <c r="D673" s="2" t="s">
        <v>4385</v>
      </c>
      <c r="F673" s="2" t="s">
        <v>2361</v>
      </c>
      <c r="G673" s="2" t="s">
        <v>3248</v>
      </c>
      <c r="H673" s="2" t="s">
        <v>4394</v>
      </c>
      <c r="I673" s="35">
        <v>44559</v>
      </c>
      <c r="J673" s="38">
        <v>60</v>
      </c>
      <c r="K673" s="39">
        <v>5.89</v>
      </c>
    </row>
    <row r="674" spans="2:11">
      <c r="B674" s="2">
        <v>4500459365</v>
      </c>
      <c r="C674" s="2">
        <v>506896</v>
      </c>
      <c r="D674" s="2" t="s">
        <v>4385</v>
      </c>
      <c r="F674" s="2" t="s">
        <v>2361</v>
      </c>
      <c r="G674" s="2" t="s">
        <v>3248</v>
      </c>
      <c r="H674" s="2" t="s">
        <v>4393</v>
      </c>
      <c r="I674" s="35">
        <v>44559</v>
      </c>
      <c r="J674" s="38">
        <v>120</v>
      </c>
      <c r="K674" s="39">
        <v>5.89</v>
      </c>
    </row>
    <row r="675" spans="2:11">
      <c r="B675" s="2">
        <v>4500459365</v>
      </c>
      <c r="C675" s="2">
        <v>506896</v>
      </c>
      <c r="D675" s="2" t="s">
        <v>4385</v>
      </c>
      <c r="F675" s="2" t="s">
        <v>2361</v>
      </c>
      <c r="G675" s="2" t="s">
        <v>3248</v>
      </c>
      <c r="H675" s="2" t="s">
        <v>4392</v>
      </c>
      <c r="I675" s="35">
        <v>44559</v>
      </c>
      <c r="J675" s="38">
        <v>180</v>
      </c>
      <c r="K675" s="39">
        <v>5.89</v>
      </c>
    </row>
    <row r="676" spans="2:11">
      <c r="B676" s="2">
        <v>4500459365</v>
      </c>
      <c r="C676" s="2">
        <v>506896</v>
      </c>
      <c r="D676" s="2" t="s">
        <v>4385</v>
      </c>
      <c r="F676" s="2" t="s">
        <v>2361</v>
      </c>
      <c r="G676" s="2" t="s">
        <v>3248</v>
      </c>
      <c r="H676" s="2" t="s">
        <v>4395</v>
      </c>
      <c r="I676" s="35">
        <v>44559</v>
      </c>
      <c r="J676" s="38">
        <v>180</v>
      </c>
      <c r="K676" s="39">
        <v>5.89</v>
      </c>
    </row>
    <row r="677" spans="2:11">
      <c r="B677" s="2">
        <v>4500459365</v>
      </c>
      <c r="C677" s="2">
        <v>506896</v>
      </c>
      <c r="D677" s="2" t="s">
        <v>4385</v>
      </c>
      <c r="F677" s="2" t="s">
        <v>2361</v>
      </c>
      <c r="G677" s="2" t="s">
        <v>3248</v>
      </c>
      <c r="H677" s="2" t="s">
        <v>3224</v>
      </c>
      <c r="I677" s="35">
        <v>44559</v>
      </c>
      <c r="J677" s="38">
        <v>60</v>
      </c>
      <c r="K677" s="39">
        <v>5.89</v>
      </c>
    </row>
    <row r="678" spans="2:11">
      <c r="B678" s="2">
        <v>4500459365</v>
      </c>
      <c r="C678" s="2">
        <v>506896</v>
      </c>
      <c r="D678" s="2" t="s">
        <v>4385</v>
      </c>
      <c r="F678" s="2" t="s">
        <v>2361</v>
      </c>
      <c r="G678" s="2" t="s">
        <v>3252</v>
      </c>
      <c r="H678" s="2" t="s">
        <v>4394</v>
      </c>
      <c r="I678" s="35">
        <v>44559</v>
      </c>
      <c r="J678" s="38">
        <v>60</v>
      </c>
      <c r="K678" s="39">
        <v>5.89</v>
      </c>
    </row>
    <row r="679" spans="2:11">
      <c r="B679" s="2">
        <v>4500459365</v>
      </c>
      <c r="C679" s="2">
        <v>506896</v>
      </c>
      <c r="D679" s="2" t="s">
        <v>4385</v>
      </c>
      <c r="F679" s="2" t="s">
        <v>2361</v>
      </c>
      <c r="G679" s="2" t="s">
        <v>3252</v>
      </c>
      <c r="H679" s="2" t="s">
        <v>4393</v>
      </c>
      <c r="I679" s="35">
        <v>44559</v>
      </c>
      <c r="J679" s="38">
        <v>120</v>
      </c>
      <c r="K679" s="39">
        <v>5.89</v>
      </c>
    </row>
    <row r="680" spans="2:11">
      <c r="B680" s="2">
        <v>4500459365</v>
      </c>
      <c r="C680" s="2">
        <v>506896</v>
      </c>
      <c r="D680" s="2" t="s">
        <v>4385</v>
      </c>
      <c r="F680" s="2" t="s">
        <v>2361</v>
      </c>
      <c r="G680" s="2" t="s">
        <v>3252</v>
      </c>
      <c r="H680" s="2" t="s">
        <v>4392</v>
      </c>
      <c r="I680" s="35">
        <v>44559</v>
      </c>
      <c r="J680" s="38">
        <v>180</v>
      </c>
      <c r="K680" s="39">
        <v>5.89</v>
      </c>
    </row>
    <row r="681" spans="2:11">
      <c r="B681" s="2">
        <v>4500459365</v>
      </c>
      <c r="C681" s="2">
        <v>506896</v>
      </c>
      <c r="D681" s="2" t="s">
        <v>4385</v>
      </c>
      <c r="F681" s="2" t="s">
        <v>2361</v>
      </c>
      <c r="G681" s="2" t="s">
        <v>3252</v>
      </c>
      <c r="H681" s="2" t="s">
        <v>4395</v>
      </c>
      <c r="I681" s="35">
        <v>44559</v>
      </c>
      <c r="J681" s="38">
        <v>180</v>
      </c>
      <c r="K681" s="39">
        <v>5.89</v>
      </c>
    </row>
    <row r="682" spans="2:11">
      <c r="B682" s="2">
        <v>4500459365</v>
      </c>
      <c r="C682" s="2">
        <v>506896</v>
      </c>
      <c r="D682" s="2" t="s">
        <v>4385</v>
      </c>
      <c r="F682" s="2" t="s">
        <v>2361</v>
      </c>
      <c r="G682" s="2" t="s">
        <v>3252</v>
      </c>
      <c r="H682" s="2" t="s">
        <v>3224</v>
      </c>
      <c r="I682" s="35">
        <v>44559</v>
      </c>
      <c r="J682" s="38">
        <v>60</v>
      </c>
      <c r="K682" s="39">
        <v>5.89</v>
      </c>
    </row>
    <row r="683" spans="2:11">
      <c r="B683" s="2">
        <v>4500459365</v>
      </c>
      <c r="C683" s="2">
        <v>507209</v>
      </c>
      <c r="D683" s="2" t="s">
        <v>4385</v>
      </c>
      <c r="F683" s="2" t="s">
        <v>2361</v>
      </c>
      <c r="G683" s="2" t="s">
        <v>3255</v>
      </c>
      <c r="H683" s="2" t="s">
        <v>4394</v>
      </c>
      <c r="I683" s="35">
        <v>44559</v>
      </c>
      <c r="J683" s="38">
        <v>60</v>
      </c>
      <c r="K683" s="39">
        <v>6.11</v>
      </c>
    </row>
    <row r="684" spans="2:11">
      <c r="B684" s="2">
        <v>4500459365</v>
      </c>
      <c r="C684" s="2">
        <v>507209</v>
      </c>
      <c r="D684" s="2" t="s">
        <v>4385</v>
      </c>
      <c r="F684" s="2" t="s">
        <v>2361</v>
      </c>
      <c r="G684" s="2" t="s">
        <v>3255</v>
      </c>
      <c r="H684" s="2" t="s">
        <v>4393</v>
      </c>
      <c r="I684" s="35">
        <v>44559</v>
      </c>
      <c r="J684" s="38">
        <v>120</v>
      </c>
      <c r="K684" s="39">
        <v>6.11</v>
      </c>
    </row>
    <row r="685" spans="2:11">
      <c r="B685" s="2">
        <v>4500459365</v>
      </c>
      <c r="C685" s="2">
        <v>507209</v>
      </c>
      <c r="D685" s="2" t="s">
        <v>4385</v>
      </c>
      <c r="F685" s="2" t="s">
        <v>2361</v>
      </c>
      <c r="G685" s="2" t="s">
        <v>3255</v>
      </c>
      <c r="H685" s="2" t="s">
        <v>4392</v>
      </c>
      <c r="I685" s="35">
        <v>44559</v>
      </c>
      <c r="J685" s="38">
        <v>180</v>
      </c>
      <c r="K685" s="39">
        <v>6.11</v>
      </c>
    </row>
    <row r="686" spans="2:11">
      <c r="B686" s="2">
        <v>4500459365</v>
      </c>
      <c r="C686" s="2">
        <v>507209</v>
      </c>
      <c r="D686" s="2" t="s">
        <v>4385</v>
      </c>
      <c r="F686" s="2" t="s">
        <v>2361</v>
      </c>
      <c r="G686" s="2" t="s">
        <v>3255</v>
      </c>
      <c r="H686" s="2" t="s">
        <v>4395</v>
      </c>
      <c r="I686" s="35">
        <v>44559</v>
      </c>
      <c r="J686" s="38">
        <v>180</v>
      </c>
      <c r="K686" s="39">
        <v>6.11</v>
      </c>
    </row>
    <row r="687" spans="2:11">
      <c r="B687" s="2">
        <v>4500459365</v>
      </c>
      <c r="C687" s="2">
        <v>507209</v>
      </c>
      <c r="D687" s="2" t="s">
        <v>4385</v>
      </c>
      <c r="F687" s="2" t="s">
        <v>2361</v>
      </c>
      <c r="G687" s="2" t="s">
        <v>3255</v>
      </c>
      <c r="H687" s="2" t="s">
        <v>3224</v>
      </c>
      <c r="I687" s="35">
        <v>44559</v>
      </c>
      <c r="J687" s="38">
        <v>60</v>
      </c>
      <c r="K687" s="39">
        <v>6.11</v>
      </c>
    </row>
    <row r="688" spans="2:11">
      <c r="B688" s="2">
        <v>4500459365</v>
      </c>
      <c r="C688" s="2">
        <v>507209</v>
      </c>
      <c r="D688" s="2" t="s">
        <v>4385</v>
      </c>
      <c r="F688" s="2" t="s">
        <v>2361</v>
      </c>
      <c r="G688" s="2" t="s">
        <v>3257</v>
      </c>
      <c r="H688" s="2" t="s">
        <v>4394</v>
      </c>
      <c r="I688" s="35">
        <v>44559</v>
      </c>
      <c r="J688" s="38">
        <v>60</v>
      </c>
      <c r="K688" s="39">
        <v>6.19</v>
      </c>
    </row>
    <row r="689" spans="2:11">
      <c r="B689" s="2">
        <v>4500459365</v>
      </c>
      <c r="C689" s="2">
        <v>507209</v>
      </c>
      <c r="D689" s="2" t="s">
        <v>4385</v>
      </c>
      <c r="F689" s="2" t="s">
        <v>2361</v>
      </c>
      <c r="G689" s="2" t="s">
        <v>3257</v>
      </c>
      <c r="H689" s="2" t="s">
        <v>4393</v>
      </c>
      <c r="I689" s="35">
        <v>44559</v>
      </c>
      <c r="J689" s="38">
        <v>120</v>
      </c>
      <c r="K689" s="39">
        <v>6.19</v>
      </c>
    </row>
    <row r="690" spans="2:11">
      <c r="B690" s="2">
        <v>4500459365</v>
      </c>
      <c r="C690" s="2">
        <v>507209</v>
      </c>
      <c r="D690" s="2" t="s">
        <v>4385</v>
      </c>
      <c r="F690" s="2" t="s">
        <v>2361</v>
      </c>
      <c r="G690" s="2" t="s">
        <v>3257</v>
      </c>
      <c r="H690" s="2" t="s">
        <v>4392</v>
      </c>
      <c r="I690" s="35">
        <v>44559</v>
      </c>
      <c r="J690" s="38">
        <v>180</v>
      </c>
      <c r="K690" s="39">
        <v>6.19</v>
      </c>
    </row>
    <row r="691" spans="2:11">
      <c r="B691" s="2">
        <v>4500459365</v>
      </c>
      <c r="C691" s="2">
        <v>507209</v>
      </c>
      <c r="D691" s="2" t="s">
        <v>4385</v>
      </c>
      <c r="F691" s="2" t="s">
        <v>2361</v>
      </c>
      <c r="G691" s="2" t="s">
        <v>3257</v>
      </c>
      <c r="H691" s="2" t="s">
        <v>4395</v>
      </c>
      <c r="I691" s="35">
        <v>44559</v>
      </c>
      <c r="J691" s="38">
        <v>180</v>
      </c>
      <c r="K691" s="39">
        <v>6.19</v>
      </c>
    </row>
    <row r="692" spans="2:11">
      <c r="B692" s="2">
        <v>4500459365</v>
      </c>
      <c r="C692" s="2">
        <v>507209</v>
      </c>
      <c r="D692" s="2" t="s">
        <v>4385</v>
      </c>
      <c r="F692" s="2" t="s">
        <v>2361</v>
      </c>
      <c r="G692" s="2" t="s">
        <v>3257</v>
      </c>
      <c r="H692" s="2" t="s">
        <v>3224</v>
      </c>
      <c r="I692" s="35">
        <v>44559</v>
      </c>
      <c r="J692" s="38">
        <v>60</v>
      </c>
      <c r="K692" s="39">
        <v>6.19</v>
      </c>
    </row>
    <row r="693" spans="2:11">
      <c r="B693" s="2">
        <v>4500459365</v>
      </c>
      <c r="C693" s="2">
        <v>507209</v>
      </c>
      <c r="D693" s="2" t="s">
        <v>4385</v>
      </c>
      <c r="F693" s="2" t="s">
        <v>2361</v>
      </c>
      <c r="G693" s="2" t="s">
        <v>3258</v>
      </c>
      <c r="H693" s="2" t="s">
        <v>4394</v>
      </c>
      <c r="I693" s="35">
        <v>44559</v>
      </c>
      <c r="J693" s="38">
        <v>60</v>
      </c>
      <c r="K693" s="39">
        <v>6.11</v>
      </c>
    </row>
    <row r="694" spans="2:11">
      <c r="B694" s="2">
        <v>4500459365</v>
      </c>
      <c r="C694" s="2">
        <v>507209</v>
      </c>
      <c r="D694" s="2" t="s">
        <v>4385</v>
      </c>
      <c r="F694" s="2" t="s">
        <v>2361</v>
      </c>
      <c r="G694" s="2" t="s">
        <v>3258</v>
      </c>
      <c r="H694" s="2" t="s">
        <v>4393</v>
      </c>
      <c r="I694" s="35">
        <v>44559</v>
      </c>
      <c r="J694" s="38">
        <v>120</v>
      </c>
      <c r="K694" s="39">
        <v>6.11</v>
      </c>
    </row>
    <row r="695" spans="2:11">
      <c r="B695" s="2">
        <v>4500459365</v>
      </c>
      <c r="C695" s="2">
        <v>507209</v>
      </c>
      <c r="D695" s="2" t="s">
        <v>4385</v>
      </c>
      <c r="F695" s="2" t="s">
        <v>2361</v>
      </c>
      <c r="G695" s="2" t="s">
        <v>3258</v>
      </c>
      <c r="H695" s="2" t="s">
        <v>4392</v>
      </c>
      <c r="I695" s="35">
        <v>44559</v>
      </c>
      <c r="J695" s="38">
        <v>180</v>
      </c>
      <c r="K695" s="39">
        <v>6.11</v>
      </c>
    </row>
    <row r="696" spans="2:11">
      <c r="B696" s="2">
        <v>4500459365</v>
      </c>
      <c r="C696" s="2">
        <v>507209</v>
      </c>
      <c r="D696" s="2" t="s">
        <v>4385</v>
      </c>
      <c r="F696" s="2" t="s">
        <v>2361</v>
      </c>
      <c r="G696" s="2" t="s">
        <v>3258</v>
      </c>
      <c r="H696" s="2" t="s">
        <v>4395</v>
      </c>
      <c r="I696" s="35">
        <v>44559</v>
      </c>
      <c r="J696" s="38">
        <v>180</v>
      </c>
      <c r="K696" s="39">
        <v>6.11</v>
      </c>
    </row>
    <row r="697" spans="2:11">
      <c r="B697" s="2">
        <v>4500459365</v>
      </c>
      <c r="C697" s="2">
        <v>507209</v>
      </c>
      <c r="D697" s="2" t="s">
        <v>4385</v>
      </c>
      <c r="F697" s="2" t="s">
        <v>2361</v>
      </c>
      <c r="G697" s="2" t="s">
        <v>3258</v>
      </c>
      <c r="H697" s="2" t="s">
        <v>3224</v>
      </c>
      <c r="I697" s="35">
        <v>44559</v>
      </c>
      <c r="J697" s="38">
        <v>60</v>
      </c>
      <c r="K697" s="39">
        <v>6.11</v>
      </c>
    </row>
    <row r="698" spans="2:11">
      <c r="B698" s="2">
        <v>4500459365</v>
      </c>
      <c r="C698" s="2">
        <v>507209</v>
      </c>
      <c r="D698" s="2" t="s">
        <v>4385</v>
      </c>
      <c r="F698" s="2" t="s">
        <v>2361</v>
      </c>
      <c r="G698" s="2" t="s">
        <v>3256</v>
      </c>
      <c r="H698" s="2" t="s">
        <v>4394</v>
      </c>
      <c r="I698" s="35">
        <v>44559</v>
      </c>
      <c r="J698" s="38">
        <v>60</v>
      </c>
      <c r="K698" s="39">
        <v>6.19</v>
      </c>
    </row>
    <row r="699" spans="2:11">
      <c r="B699" s="2">
        <v>4500459365</v>
      </c>
      <c r="C699" s="2">
        <v>507209</v>
      </c>
      <c r="D699" s="2" t="s">
        <v>4385</v>
      </c>
      <c r="F699" s="2" t="s">
        <v>2361</v>
      </c>
      <c r="G699" s="2" t="s">
        <v>3256</v>
      </c>
      <c r="H699" s="2" t="s">
        <v>4393</v>
      </c>
      <c r="I699" s="35">
        <v>44559</v>
      </c>
      <c r="J699" s="38">
        <v>120</v>
      </c>
      <c r="K699" s="39">
        <v>6.19</v>
      </c>
    </row>
    <row r="700" spans="2:11">
      <c r="B700" s="2">
        <v>4500459365</v>
      </c>
      <c r="C700" s="2">
        <v>507209</v>
      </c>
      <c r="D700" s="2" t="s">
        <v>4385</v>
      </c>
      <c r="F700" s="2" t="s">
        <v>2361</v>
      </c>
      <c r="G700" s="2" t="s">
        <v>3256</v>
      </c>
      <c r="H700" s="2" t="s">
        <v>4392</v>
      </c>
      <c r="I700" s="35">
        <v>44559</v>
      </c>
      <c r="J700" s="38">
        <v>180</v>
      </c>
      <c r="K700" s="39">
        <v>6.19</v>
      </c>
    </row>
    <row r="701" spans="2:11">
      <c r="B701" s="2">
        <v>4500459365</v>
      </c>
      <c r="C701" s="2">
        <v>507209</v>
      </c>
      <c r="D701" s="2" t="s">
        <v>4385</v>
      </c>
      <c r="F701" s="2" t="s">
        <v>2361</v>
      </c>
      <c r="G701" s="2" t="s">
        <v>3256</v>
      </c>
      <c r="H701" s="2" t="s">
        <v>4395</v>
      </c>
      <c r="I701" s="35">
        <v>44559</v>
      </c>
      <c r="J701" s="38">
        <v>180</v>
      </c>
      <c r="K701" s="39">
        <v>6.19</v>
      </c>
    </row>
    <row r="702" spans="2:11">
      <c r="B702" s="2">
        <v>4500459365</v>
      </c>
      <c r="C702" s="2">
        <v>507209</v>
      </c>
      <c r="D702" s="2" t="s">
        <v>4385</v>
      </c>
      <c r="F702" s="2" t="s">
        <v>2361</v>
      </c>
      <c r="G702" s="2" t="s">
        <v>3256</v>
      </c>
      <c r="H702" s="2" t="s">
        <v>3224</v>
      </c>
      <c r="I702" s="35">
        <v>44559</v>
      </c>
      <c r="J702" s="38">
        <v>60</v>
      </c>
      <c r="K702" s="39">
        <v>6.19</v>
      </c>
    </row>
    <row r="703" spans="2:11">
      <c r="B703" s="2">
        <v>4500459359</v>
      </c>
      <c r="C703" s="2">
        <v>506896</v>
      </c>
      <c r="D703" s="2" t="s">
        <v>4385</v>
      </c>
      <c r="F703" s="2" t="s">
        <v>2361</v>
      </c>
      <c r="G703" s="2" t="s">
        <v>3248</v>
      </c>
      <c r="H703" s="2" t="s">
        <v>4394</v>
      </c>
      <c r="I703" s="35">
        <v>44573</v>
      </c>
      <c r="J703" s="38">
        <v>30</v>
      </c>
      <c r="K703" s="39">
        <v>5.89</v>
      </c>
    </row>
    <row r="704" spans="2:11">
      <c r="B704" s="2">
        <v>4500459359</v>
      </c>
      <c r="C704" s="2">
        <v>506896</v>
      </c>
      <c r="D704" s="2" t="s">
        <v>4385</v>
      </c>
      <c r="F704" s="2" t="s">
        <v>2361</v>
      </c>
      <c r="G704" s="2" t="s">
        <v>3248</v>
      </c>
      <c r="H704" s="2" t="s">
        <v>4393</v>
      </c>
      <c r="I704" s="35">
        <v>44573</v>
      </c>
      <c r="J704" s="38">
        <v>78</v>
      </c>
      <c r="K704" s="39">
        <v>5.89</v>
      </c>
    </row>
    <row r="705" spans="2:11">
      <c r="B705" s="2">
        <v>4500459359</v>
      </c>
      <c r="C705" s="2">
        <v>506896</v>
      </c>
      <c r="D705" s="2" t="s">
        <v>4385</v>
      </c>
      <c r="F705" s="2" t="s">
        <v>2361</v>
      </c>
      <c r="G705" s="2" t="s">
        <v>3248</v>
      </c>
      <c r="H705" s="2" t="s">
        <v>4392</v>
      </c>
      <c r="I705" s="35">
        <v>44573</v>
      </c>
      <c r="J705" s="38">
        <v>123</v>
      </c>
      <c r="K705" s="39">
        <v>5.89</v>
      </c>
    </row>
    <row r="706" spans="2:11">
      <c r="B706" s="2">
        <v>4500459359</v>
      </c>
      <c r="C706" s="2">
        <v>506896</v>
      </c>
      <c r="D706" s="2" t="s">
        <v>4385</v>
      </c>
      <c r="F706" s="2" t="s">
        <v>2361</v>
      </c>
      <c r="G706" s="2" t="s">
        <v>3248</v>
      </c>
      <c r="H706" s="2" t="s">
        <v>4395</v>
      </c>
      <c r="I706" s="35">
        <v>44573</v>
      </c>
      <c r="J706" s="38">
        <v>93</v>
      </c>
      <c r="K706" s="39">
        <v>5.89</v>
      </c>
    </row>
    <row r="707" spans="2:11">
      <c r="B707" s="2">
        <v>4500459359</v>
      </c>
      <c r="C707" s="2">
        <v>506896</v>
      </c>
      <c r="D707" s="2" t="s">
        <v>4385</v>
      </c>
      <c r="F707" s="2" t="s">
        <v>2361</v>
      </c>
      <c r="G707" s="2" t="s">
        <v>3248</v>
      </c>
      <c r="H707" s="2" t="s">
        <v>3224</v>
      </c>
      <c r="I707" s="35">
        <v>44573</v>
      </c>
      <c r="J707" s="38">
        <v>63</v>
      </c>
      <c r="K707" s="39">
        <v>5.89</v>
      </c>
    </row>
    <row r="708" spans="2:11">
      <c r="B708" s="2">
        <v>4500459359</v>
      </c>
      <c r="C708" s="2">
        <v>506896</v>
      </c>
      <c r="D708" s="2" t="s">
        <v>4385</v>
      </c>
      <c r="F708" s="2" t="s">
        <v>2361</v>
      </c>
      <c r="G708" s="2" t="s">
        <v>3252</v>
      </c>
      <c r="H708" s="2" t="s">
        <v>4394</v>
      </c>
      <c r="I708" s="35">
        <v>44573</v>
      </c>
      <c r="J708" s="38">
        <v>54</v>
      </c>
      <c r="K708" s="39">
        <v>5.89</v>
      </c>
    </row>
    <row r="709" spans="2:11">
      <c r="B709" s="2">
        <v>4500459359</v>
      </c>
      <c r="C709" s="2">
        <v>506896</v>
      </c>
      <c r="D709" s="2" t="s">
        <v>4385</v>
      </c>
      <c r="F709" s="2" t="s">
        <v>2361</v>
      </c>
      <c r="G709" s="2" t="s">
        <v>3252</v>
      </c>
      <c r="H709" s="2" t="s">
        <v>4393</v>
      </c>
      <c r="I709" s="35">
        <v>44573</v>
      </c>
      <c r="J709" s="38">
        <v>138</v>
      </c>
      <c r="K709" s="39">
        <v>5.89</v>
      </c>
    </row>
    <row r="710" spans="2:11">
      <c r="B710" s="2">
        <v>4500459359</v>
      </c>
      <c r="C710" s="2">
        <v>506896</v>
      </c>
      <c r="D710" s="2" t="s">
        <v>4385</v>
      </c>
      <c r="F710" s="2" t="s">
        <v>2361</v>
      </c>
      <c r="G710" s="2" t="s">
        <v>3252</v>
      </c>
      <c r="H710" s="2" t="s">
        <v>4392</v>
      </c>
      <c r="I710" s="35">
        <v>44573</v>
      </c>
      <c r="J710" s="38">
        <v>219</v>
      </c>
      <c r="K710" s="39">
        <v>5.89</v>
      </c>
    </row>
    <row r="711" spans="2:11">
      <c r="B711" s="2">
        <v>4500459359</v>
      </c>
      <c r="C711" s="2">
        <v>506896</v>
      </c>
      <c r="D711" s="2" t="s">
        <v>4385</v>
      </c>
      <c r="F711" s="2" t="s">
        <v>2361</v>
      </c>
      <c r="G711" s="2" t="s">
        <v>3252</v>
      </c>
      <c r="H711" s="2" t="s">
        <v>4395</v>
      </c>
      <c r="I711" s="35">
        <v>44573</v>
      </c>
      <c r="J711" s="38">
        <v>165</v>
      </c>
      <c r="K711" s="39">
        <v>5.89</v>
      </c>
    </row>
    <row r="712" spans="2:11">
      <c r="B712" s="2">
        <v>4500459359</v>
      </c>
      <c r="C712" s="2">
        <v>506896</v>
      </c>
      <c r="D712" s="2" t="s">
        <v>4385</v>
      </c>
      <c r="F712" s="2" t="s">
        <v>2361</v>
      </c>
      <c r="G712" s="2" t="s">
        <v>3252</v>
      </c>
      <c r="H712" s="2" t="s">
        <v>3224</v>
      </c>
      <c r="I712" s="35">
        <v>44573</v>
      </c>
      <c r="J712" s="38">
        <v>111</v>
      </c>
      <c r="K712" s="39">
        <v>5.89</v>
      </c>
    </row>
    <row r="713" spans="2:11">
      <c r="B713" s="2">
        <v>4500459359</v>
      </c>
      <c r="C713" s="2">
        <v>507209</v>
      </c>
      <c r="D713" s="2" t="s">
        <v>4385</v>
      </c>
      <c r="F713" s="2" t="s">
        <v>2361</v>
      </c>
      <c r="G713" s="2" t="s">
        <v>3255</v>
      </c>
      <c r="H713" s="2" t="s">
        <v>4394</v>
      </c>
      <c r="I713" s="35">
        <v>44573</v>
      </c>
      <c r="J713" s="38">
        <v>24</v>
      </c>
      <c r="K713" s="39">
        <v>6.11</v>
      </c>
    </row>
    <row r="714" spans="2:11">
      <c r="B714" s="2">
        <v>4500459359</v>
      </c>
      <c r="C714" s="2">
        <v>507209</v>
      </c>
      <c r="D714" s="2" t="s">
        <v>4385</v>
      </c>
      <c r="F714" s="2" t="s">
        <v>2361</v>
      </c>
      <c r="G714" s="2" t="s">
        <v>3255</v>
      </c>
      <c r="H714" s="2" t="s">
        <v>4393</v>
      </c>
      <c r="I714" s="35">
        <v>44573</v>
      </c>
      <c r="J714" s="38">
        <v>60</v>
      </c>
      <c r="K714" s="39">
        <v>6.11</v>
      </c>
    </row>
    <row r="715" spans="2:11">
      <c r="B715" s="2">
        <v>4500459359</v>
      </c>
      <c r="C715" s="2">
        <v>507209</v>
      </c>
      <c r="D715" s="2" t="s">
        <v>4385</v>
      </c>
      <c r="F715" s="2" t="s">
        <v>2361</v>
      </c>
      <c r="G715" s="2" t="s">
        <v>3255</v>
      </c>
      <c r="H715" s="2" t="s">
        <v>4392</v>
      </c>
      <c r="I715" s="35">
        <v>44573</v>
      </c>
      <c r="J715" s="38">
        <v>96</v>
      </c>
      <c r="K715" s="39">
        <v>6.11</v>
      </c>
    </row>
    <row r="716" spans="2:11">
      <c r="B716" s="2">
        <v>4500459359</v>
      </c>
      <c r="C716" s="2">
        <v>507209</v>
      </c>
      <c r="D716" s="2" t="s">
        <v>4385</v>
      </c>
      <c r="F716" s="2" t="s">
        <v>2361</v>
      </c>
      <c r="G716" s="2" t="s">
        <v>3255</v>
      </c>
      <c r="H716" s="2" t="s">
        <v>4395</v>
      </c>
      <c r="I716" s="35">
        <v>44573</v>
      </c>
      <c r="J716" s="38">
        <v>72</v>
      </c>
      <c r="K716" s="39">
        <v>6.11</v>
      </c>
    </row>
    <row r="717" spans="2:11">
      <c r="B717" s="2">
        <v>4500459359</v>
      </c>
      <c r="C717" s="2">
        <v>507209</v>
      </c>
      <c r="D717" s="2" t="s">
        <v>4385</v>
      </c>
      <c r="F717" s="2" t="s">
        <v>2361</v>
      </c>
      <c r="G717" s="2" t="s">
        <v>3255</v>
      </c>
      <c r="H717" s="2" t="s">
        <v>3224</v>
      </c>
      <c r="I717" s="35">
        <v>44573</v>
      </c>
      <c r="J717" s="38">
        <v>48</v>
      </c>
      <c r="K717" s="39">
        <v>6.11</v>
      </c>
    </row>
    <row r="718" spans="2:11">
      <c r="B718" s="2">
        <v>4500459359</v>
      </c>
      <c r="C718" s="2">
        <v>507209</v>
      </c>
      <c r="D718" s="2" t="s">
        <v>4385</v>
      </c>
      <c r="F718" s="2" t="s">
        <v>2361</v>
      </c>
      <c r="G718" s="2" t="s">
        <v>3257</v>
      </c>
      <c r="H718" s="2" t="s">
        <v>4394</v>
      </c>
      <c r="I718" s="35">
        <v>44573</v>
      </c>
      <c r="J718" s="38">
        <v>42</v>
      </c>
      <c r="K718" s="39">
        <v>6.19</v>
      </c>
    </row>
    <row r="719" spans="2:11">
      <c r="B719" s="2">
        <v>4500459359</v>
      </c>
      <c r="C719" s="2">
        <v>507209</v>
      </c>
      <c r="D719" s="2" t="s">
        <v>4385</v>
      </c>
      <c r="F719" s="2" t="s">
        <v>2361</v>
      </c>
      <c r="G719" s="2" t="s">
        <v>3257</v>
      </c>
      <c r="H719" s="2" t="s">
        <v>4393</v>
      </c>
      <c r="I719" s="35">
        <v>44573</v>
      </c>
      <c r="J719" s="38">
        <v>108</v>
      </c>
      <c r="K719" s="39">
        <v>6.19</v>
      </c>
    </row>
    <row r="720" spans="2:11">
      <c r="B720" s="2">
        <v>4500459359</v>
      </c>
      <c r="C720" s="2">
        <v>507209</v>
      </c>
      <c r="D720" s="2" t="s">
        <v>4385</v>
      </c>
      <c r="F720" s="2" t="s">
        <v>2361</v>
      </c>
      <c r="G720" s="2" t="s">
        <v>3257</v>
      </c>
      <c r="H720" s="2" t="s">
        <v>4392</v>
      </c>
      <c r="I720" s="35">
        <v>44573</v>
      </c>
      <c r="J720" s="38">
        <v>174</v>
      </c>
      <c r="K720" s="39">
        <v>6.19</v>
      </c>
    </row>
    <row r="721" spans="2:11">
      <c r="B721" s="2">
        <v>4500459359</v>
      </c>
      <c r="C721" s="2">
        <v>507209</v>
      </c>
      <c r="D721" s="2" t="s">
        <v>4385</v>
      </c>
      <c r="F721" s="2" t="s">
        <v>2361</v>
      </c>
      <c r="G721" s="2" t="s">
        <v>3257</v>
      </c>
      <c r="H721" s="2" t="s">
        <v>4395</v>
      </c>
      <c r="I721" s="35">
        <v>44573</v>
      </c>
      <c r="J721" s="38">
        <v>129</v>
      </c>
      <c r="K721" s="39">
        <v>6.19</v>
      </c>
    </row>
    <row r="722" spans="2:11">
      <c r="B722" s="2">
        <v>4500459359</v>
      </c>
      <c r="C722" s="2">
        <v>507209</v>
      </c>
      <c r="D722" s="2" t="s">
        <v>4385</v>
      </c>
      <c r="F722" s="2" t="s">
        <v>2361</v>
      </c>
      <c r="G722" s="2" t="s">
        <v>3257</v>
      </c>
      <c r="H722" s="2" t="s">
        <v>3224</v>
      </c>
      <c r="I722" s="35">
        <v>44573</v>
      </c>
      <c r="J722" s="38">
        <v>87</v>
      </c>
      <c r="K722" s="39">
        <v>6.19</v>
      </c>
    </row>
    <row r="723" spans="2:11">
      <c r="B723" s="2">
        <v>4500459359</v>
      </c>
      <c r="C723" s="2">
        <v>507209</v>
      </c>
      <c r="D723" s="2" t="s">
        <v>4385</v>
      </c>
      <c r="F723" s="2" t="s">
        <v>2361</v>
      </c>
      <c r="G723" s="2" t="s">
        <v>3258</v>
      </c>
      <c r="H723" s="2" t="s">
        <v>4394</v>
      </c>
      <c r="I723" s="35">
        <v>44573</v>
      </c>
      <c r="J723" s="38">
        <v>51</v>
      </c>
      <c r="K723" s="39">
        <v>6.11</v>
      </c>
    </row>
    <row r="724" spans="2:11">
      <c r="B724" s="2">
        <v>4500459359</v>
      </c>
      <c r="C724" s="2">
        <v>507209</v>
      </c>
      <c r="D724" s="2" t="s">
        <v>4385</v>
      </c>
      <c r="F724" s="2" t="s">
        <v>2361</v>
      </c>
      <c r="G724" s="2" t="s">
        <v>3258</v>
      </c>
      <c r="H724" s="2" t="s">
        <v>4393</v>
      </c>
      <c r="I724" s="35">
        <v>44573</v>
      </c>
      <c r="J724" s="38">
        <v>126</v>
      </c>
      <c r="K724" s="39">
        <v>6.11</v>
      </c>
    </row>
    <row r="725" spans="2:11">
      <c r="B725" s="2">
        <v>4500459359</v>
      </c>
      <c r="C725" s="2">
        <v>507209</v>
      </c>
      <c r="D725" s="2" t="s">
        <v>4385</v>
      </c>
      <c r="F725" s="2" t="s">
        <v>2361</v>
      </c>
      <c r="G725" s="2" t="s">
        <v>3258</v>
      </c>
      <c r="H725" s="2" t="s">
        <v>4392</v>
      </c>
      <c r="I725" s="35">
        <v>44573</v>
      </c>
      <c r="J725" s="38">
        <v>201</v>
      </c>
      <c r="K725" s="39">
        <v>6.11</v>
      </c>
    </row>
    <row r="726" spans="2:11">
      <c r="B726" s="2">
        <v>4500459359</v>
      </c>
      <c r="C726" s="2">
        <v>507209</v>
      </c>
      <c r="D726" s="2" t="s">
        <v>4385</v>
      </c>
      <c r="F726" s="2" t="s">
        <v>2361</v>
      </c>
      <c r="G726" s="2" t="s">
        <v>3258</v>
      </c>
      <c r="H726" s="2" t="s">
        <v>4395</v>
      </c>
      <c r="I726" s="35">
        <v>44573</v>
      </c>
      <c r="J726" s="38">
        <v>150</v>
      </c>
      <c r="K726" s="39">
        <v>6.11</v>
      </c>
    </row>
    <row r="727" spans="2:11">
      <c r="B727" s="2">
        <v>4500459359</v>
      </c>
      <c r="C727" s="2">
        <v>507209</v>
      </c>
      <c r="D727" s="2" t="s">
        <v>4385</v>
      </c>
      <c r="F727" s="2" t="s">
        <v>2361</v>
      </c>
      <c r="G727" s="2" t="s">
        <v>3258</v>
      </c>
      <c r="H727" s="2" t="s">
        <v>3224</v>
      </c>
      <c r="I727" s="35">
        <v>44573</v>
      </c>
      <c r="J727" s="38">
        <v>99</v>
      </c>
      <c r="K727" s="39">
        <v>6.11</v>
      </c>
    </row>
    <row r="728" spans="2:11">
      <c r="B728" s="2">
        <v>4500459359</v>
      </c>
      <c r="C728" s="2">
        <v>507209</v>
      </c>
      <c r="D728" s="2" t="s">
        <v>4385</v>
      </c>
      <c r="F728" s="2" t="s">
        <v>2361</v>
      </c>
      <c r="G728" s="2" t="s">
        <v>3256</v>
      </c>
      <c r="H728" s="2" t="s">
        <v>4394</v>
      </c>
      <c r="I728" s="35">
        <v>44573</v>
      </c>
      <c r="J728" s="38">
        <v>36</v>
      </c>
      <c r="K728" s="39">
        <v>6.19</v>
      </c>
    </row>
    <row r="729" spans="2:11">
      <c r="B729" s="2">
        <v>4500459359</v>
      </c>
      <c r="C729" s="2">
        <v>507209</v>
      </c>
      <c r="D729" s="2" t="s">
        <v>4385</v>
      </c>
      <c r="F729" s="2" t="s">
        <v>2361</v>
      </c>
      <c r="G729" s="2" t="s">
        <v>3256</v>
      </c>
      <c r="H729" s="2" t="s">
        <v>4393</v>
      </c>
      <c r="I729" s="35">
        <v>44573</v>
      </c>
      <c r="J729" s="38">
        <v>90</v>
      </c>
      <c r="K729" s="39">
        <v>6.19</v>
      </c>
    </row>
    <row r="730" spans="2:11">
      <c r="B730" s="2">
        <v>4500459359</v>
      </c>
      <c r="C730" s="2">
        <v>507209</v>
      </c>
      <c r="D730" s="2" t="s">
        <v>4385</v>
      </c>
      <c r="F730" s="2" t="s">
        <v>2361</v>
      </c>
      <c r="G730" s="2" t="s">
        <v>3256</v>
      </c>
      <c r="H730" s="2" t="s">
        <v>4392</v>
      </c>
      <c r="I730" s="35">
        <v>44573</v>
      </c>
      <c r="J730" s="38">
        <v>144</v>
      </c>
      <c r="K730" s="39">
        <v>6.19</v>
      </c>
    </row>
    <row r="731" spans="2:11">
      <c r="B731" s="2">
        <v>4500459359</v>
      </c>
      <c r="C731" s="2">
        <v>507209</v>
      </c>
      <c r="D731" s="2" t="s">
        <v>4385</v>
      </c>
      <c r="F731" s="2" t="s">
        <v>2361</v>
      </c>
      <c r="G731" s="2" t="s">
        <v>3256</v>
      </c>
      <c r="H731" s="2" t="s">
        <v>4395</v>
      </c>
      <c r="I731" s="35">
        <v>44573</v>
      </c>
      <c r="J731" s="38">
        <v>108</v>
      </c>
      <c r="K731" s="39">
        <v>6.19</v>
      </c>
    </row>
    <row r="732" spans="2:11">
      <c r="B732" s="2">
        <v>4500459359</v>
      </c>
      <c r="C732" s="2">
        <v>507209</v>
      </c>
      <c r="D732" s="2" t="s">
        <v>4385</v>
      </c>
      <c r="F732" s="2" t="s">
        <v>2361</v>
      </c>
      <c r="G732" s="2" t="s">
        <v>3256</v>
      </c>
      <c r="H732" s="2" t="s">
        <v>3224</v>
      </c>
      <c r="I732" s="35">
        <v>44573</v>
      </c>
      <c r="J732" s="38">
        <v>72</v>
      </c>
      <c r="K732" s="39">
        <v>6.19</v>
      </c>
    </row>
    <row r="733" spans="2:11">
      <c r="B733" s="2">
        <v>4500459371</v>
      </c>
      <c r="C733" s="2">
        <v>507209</v>
      </c>
      <c r="D733" s="2" t="s">
        <v>4385</v>
      </c>
      <c r="F733" s="2" t="s">
        <v>2361</v>
      </c>
      <c r="G733" s="2" t="s">
        <v>3255</v>
      </c>
      <c r="H733" s="2" t="s">
        <v>4394</v>
      </c>
      <c r="I733" s="35">
        <v>44587</v>
      </c>
      <c r="J733" s="38">
        <v>12</v>
      </c>
      <c r="K733" s="39">
        <v>5.82</v>
      </c>
    </row>
    <row r="734" spans="2:11">
      <c r="B734" s="2">
        <v>4500459371</v>
      </c>
      <c r="C734" s="2">
        <v>507209</v>
      </c>
      <c r="D734" s="2" t="s">
        <v>4385</v>
      </c>
      <c r="F734" s="2" t="s">
        <v>2361</v>
      </c>
      <c r="G734" s="2" t="s">
        <v>3255</v>
      </c>
      <c r="H734" s="2" t="s">
        <v>4393</v>
      </c>
      <c r="I734" s="35">
        <v>44587</v>
      </c>
      <c r="J734" s="38">
        <v>24</v>
      </c>
      <c r="K734" s="39">
        <v>5.82</v>
      </c>
    </row>
    <row r="735" spans="2:11">
      <c r="B735" s="2">
        <v>4500459371</v>
      </c>
      <c r="C735" s="2">
        <v>507209</v>
      </c>
      <c r="D735" s="2" t="s">
        <v>4385</v>
      </c>
      <c r="F735" s="2" t="s">
        <v>2361</v>
      </c>
      <c r="G735" s="2" t="s">
        <v>3255</v>
      </c>
      <c r="H735" s="2" t="s">
        <v>4392</v>
      </c>
      <c r="I735" s="35">
        <v>44587</v>
      </c>
      <c r="J735" s="38">
        <v>24</v>
      </c>
      <c r="K735" s="39">
        <v>5.82</v>
      </c>
    </row>
    <row r="736" spans="2:11">
      <c r="B736" s="2">
        <v>4500459371</v>
      </c>
      <c r="C736" s="2">
        <v>507209</v>
      </c>
      <c r="D736" s="2" t="s">
        <v>4385</v>
      </c>
      <c r="F736" s="2" t="s">
        <v>2361</v>
      </c>
      <c r="G736" s="2" t="s">
        <v>3255</v>
      </c>
      <c r="H736" s="2" t="s">
        <v>4395</v>
      </c>
      <c r="I736" s="35">
        <v>44587</v>
      </c>
      <c r="J736" s="38">
        <v>12</v>
      </c>
      <c r="K736" s="39">
        <v>5.82</v>
      </c>
    </row>
    <row r="737" spans="2:11">
      <c r="B737" s="2">
        <v>4500459371</v>
      </c>
      <c r="C737" s="2">
        <v>507209</v>
      </c>
      <c r="D737" s="2" t="s">
        <v>4385</v>
      </c>
      <c r="F737" s="2" t="s">
        <v>2361</v>
      </c>
      <c r="G737" s="2" t="s">
        <v>3258</v>
      </c>
      <c r="H737" s="2" t="s">
        <v>4394</v>
      </c>
      <c r="I737" s="35">
        <v>44587</v>
      </c>
      <c r="J737" s="38">
        <v>12</v>
      </c>
      <c r="K737" s="39">
        <v>5.82</v>
      </c>
    </row>
    <row r="738" spans="2:11">
      <c r="B738" s="2">
        <v>4500459371</v>
      </c>
      <c r="C738" s="2">
        <v>507209</v>
      </c>
      <c r="D738" s="2" t="s">
        <v>4385</v>
      </c>
      <c r="F738" s="2" t="s">
        <v>2361</v>
      </c>
      <c r="G738" s="2" t="s">
        <v>3258</v>
      </c>
      <c r="H738" s="2" t="s">
        <v>4393</v>
      </c>
      <c r="I738" s="35">
        <v>44587</v>
      </c>
      <c r="J738" s="38">
        <v>36</v>
      </c>
      <c r="K738" s="39">
        <v>5.82</v>
      </c>
    </row>
    <row r="739" spans="2:11">
      <c r="B739" s="2">
        <v>4500459371</v>
      </c>
      <c r="C739" s="2">
        <v>507209</v>
      </c>
      <c r="D739" s="2" t="s">
        <v>4385</v>
      </c>
      <c r="F739" s="2" t="s">
        <v>2361</v>
      </c>
      <c r="G739" s="2" t="s">
        <v>3258</v>
      </c>
      <c r="H739" s="2" t="s">
        <v>4392</v>
      </c>
      <c r="I739" s="35">
        <v>44587</v>
      </c>
      <c r="J739" s="38">
        <v>36</v>
      </c>
      <c r="K739" s="39">
        <v>5.82</v>
      </c>
    </row>
    <row r="740" spans="2:11">
      <c r="B740" s="2">
        <v>4500459371</v>
      </c>
      <c r="C740" s="2">
        <v>507209</v>
      </c>
      <c r="D740" s="2" t="s">
        <v>4385</v>
      </c>
      <c r="F740" s="2" t="s">
        <v>2361</v>
      </c>
      <c r="G740" s="2" t="s">
        <v>3258</v>
      </c>
      <c r="H740" s="2" t="s">
        <v>4395</v>
      </c>
      <c r="I740" s="35">
        <v>44587</v>
      </c>
      <c r="J740" s="38">
        <v>24</v>
      </c>
      <c r="K740" s="39">
        <v>5.82</v>
      </c>
    </row>
    <row r="741" spans="2:11">
      <c r="B741" s="2">
        <v>4500459371</v>
      </c>
      <c r="C741" s="2">
        <v>507209</v>
      </c>
      <c r="D741" s="2" t="s">
        <v>4385</v>
      </c>
      <c r="F741" s="2" t="s">
        <v>2361</v>
      </c>
      <c r="G741" s="2" t="s">
        <v>3258</v>
      </c>
      <c r="H741" s="2" t="s">
        <v>3224</v>
      </c>
      <c r="I741" s="35">
        <v>44587</v>
      </c>
      <c r="J741" s="38">
        <v>12</v>
      </c>
      <c r="K741" s="39">
        <v>5.82</v>
      </c>
    </row>
    <row r="742" spans="2:11">
      <c r="B742" s="2">
        <v>4500459371</v>
      </c>
      <c r="C742" s="2">
        <v>507209</v>
      </c>
      <c r="D742" s="2" t="s">
        <v>4385</v>
      </c>
      <c r="F742" s="2" t="s">
        <v>2361</v>
      </c>
      <c r="G742" s="2" t="s">
        <v>4386</v>
      </c>
      <c r="H742" s="2" t="s">
        <v>4394</v>
      </c>
      <c r="I742" s="35">
        <v>44587</v>
      </c>
      <c r="J742" s="38">
        <v>12</v>
      </c>
      <c r="K742" s="39">
        <v>5.95</v>
      </c>
    </row>
    <row r="743" spans="2:11">
      <c r="B743" s="2">
        <v>4500459371</v>
      </c>
      <c r="C743" s="2">
        <v>507209</v>
      </c>
      <c r="D743" s="2" t="s">
        <v>4385</v>
      </c>
      <c r="F743" s="2" t="s">
        <v>2361</v>
      </c>
      <c r="G743" s="2" t="s">
        <v>4386</v>
      </c>
      <c r="H743" s="2" t="s">
        <v>4393</v>
      </c>
      <c r="I743" s="35">
        <v>44587</v>
      </c>
      <c r="J743" s="38">
        <v>24</v>
      </c>
      <c r="K743" s="39">
        <v>5.95</v>
      </c>
    </row>
    <row r="744" spans="2:11">
      <c r="B744" s="2">
        <v>4500459371</v>
      </c>
      <c r="C744" s="2">
        <v>507209</v>
      </c>
      <c r="D744" s="2" t="s">
        <v>4385</v>
      </c>
      <c r="F744" s="2" t="s">
        <v>2361</v>
      </c>
      <c r="G744" s="2" t="s">
        <v>4386</v>
      </c>
      <c r="H744" s="2" t="s">
        <v>4392</v>
      </c>
      <c r="I744" s="35">
        <v>44587</v>
      </c>
      <c r="J744" s="38">
        <v>24</v>
      </c>
      <c r="K744" s="39">
        <v>5.95</v>
      </c>
    </row>
    <row r="745" spans="2:11">
      <c r="B745" s="2">
        <v>4500459371</v>
      </c>
      <c r="C745" s="2">
        <v>507209</v>
      </c>
      <c r="D745" s="2" t="s">
        <v>4385</v>
      </c>
      <c r="F745" s="2" t="s">
        <v>2361</v>
      </c>
      <c r="G745" s="2" t="s">
        <v>4386</v>
      </c>
      <c r="H745" s="2" t="s">
        <v>4395</v>
      </c>
      <c r="I745" s="35">
        <v>44587</v>
      </c>
      <c r="J745" s="38">
        <v>12</v>
      </c>
      <c r="K745" s="39">
        <v>5.95</v>
      </c>
    </row>
    <row r="746" spans="2:11">
      <c r="B746" s="2">
        <v>4500459371</v>
      </c>
      <c r="C746" s="2">
        <v>507209</v>
      </c>
      <c r="D746" s="2" t="s">
        <v>4385</v>
      </c>
      <c r="F746" s="2" t="s">
        <v>2361</v>
      </c>
      <c r="G746" s="2" t="s">
        <v>4398</v>
      </c>
      <c r="H746" s="2" t="s">
        <v>4394</v>
      </c>
      <c r="I746" s="35">
        <v>44587</v>
      </c>
      <c r="J746" s="38">
        <v>72</v>
      </c>
      <c r="K746" s="39">
        <v>6.05</v>
      </c>
    </row>
    <row r="747" spans="2:11">
      <c r="B747" s="2">
        <v>4500459371</v>
      </c>
      <c r="C747" s="2">
        <v>507209</v>
      </c>
      <c r="D747" s="2" t="s">
        <v>4385</v>
      </c>
      <c r="F747" s="2" t="s">
        <v>2361</v>
      </c>
      <c r="G747" s="2" t="s">
        <v>4398</v>
      </c>
      <c r="H747" s="2" t="s">
        <v>4393</v>
      </c>
      <c r="I747" s="35">
        <v>44587</v>
      </c>
      <c r="J747" s="38">
        <v>228</v>
      </c>
      <c r="K747" s="39">
        <v>6.05</v>
      </c>
    </row>
    <row r="748" spans="2:11">
      <c r="B748" s="2">
        <v>4500459371</v>
      </c>
      <c r="C748" s="2">
        <v>507209</v>
      </c>
      <c r="D748" s="2" t="s">
        <v>4385</v>
      </c>
      <c r="F748" s="2" t="s">
        <v>2361</v>
      </c>
      <c r="G748" s="2" t="s">
        <v>4398</v>
      </c>
      <c r="H748" s="2" t="s">
        <v>4392</v>
      </c>
      <c r="I748" s="35">
        <v>44587</v>
      </c>
      <c r="J748" s="38">
        <v>288</v>
      </c>
      <c r="K748" s="39">
        <v>6.05</v>
      </c>
    </row>
    <row r="749" spans="2:11">
      <c r="B749" s="2">
        <v>4500459371</v>
      </c>
      <c r="C749" s="2">
        <v>507209</v>
      </c>
      <c r="D749" s="2" t="s">
        <v>4385</v>
      </c>
      <c r="F749" s="2" t="s">
        <v>2361</v>
      </c>
      <c r="G749" s="2" t="s">
        <v>4398</v>
      </c>
      <c r="H749" s="2" t="s">
        <v>4395</v>
      </c>
      <c r="I749" s="35">
        <v>44587</v>
      </c>
      <c r="J749" s="38">
        <v>96</v>
      </c>
      <c r="K749" s="39">
        <v>6.05</v>
      </c>
    </row>
    <row r="750" spans="2:11">
      <c r="B750" s="2">
        <v>4500459371</v>
      </c>
      <c r="C750" s="2">
        <v>507209</v>
      </c>
      <c r="D750" s="2" t="s">
        <v>4385</v>
      </c>
      <c r="F750" s="2" t="s">
        <v>2361</v>
      </c>
      <c r="G750" s="2" t="s">
        <v>4398</v>
      </c>
      <c r="H750" s="2" t="s">
        <v>3224</v>
      </c>
      <c r="I750" s="35">
        <v>44587</v>
      </c>
      <c r="J750" s="38">
        <v>24</v>
      </c>
      <c r="K750" s="39">
        <v>6.05</v>
      </c>
    </row>
    <row r="751" spans="2:11">
      <c r="B751" s="2">
        <v>4500459371</v>
      </c>
      <c r="C751" s="2">
        <v>507209</v>
      </c>
      <c r="D751" s="2" t="s">
        <v>4385</v>
      </c>
      <c r="F751" s="2" t="s">
        <v>2361</v>
      </c>
      <c r="G751" s="2" t="s">
        <v>4400</v>
      </c>
      <c r="H751" s="2" t="s">
        <v>4394</v>
      </c>
      <c r="I751" s="35">
        <v>44587</v>
      </c>
      <c r="J751" s="38">
        <v>48</v>
      </c>
      <c r="K751" s="39">
        <v>8</v>
      </c>
    </row>
    <row r="752" spans="2:11">
      <c r="B752" s="2">
        <v>4500459371</v>
      </c>
      <c r="C752" s="2">
        <v>507209</v>
      </c>
      <c r="D752" s="2" t="s">
        <v>4385</v>
      </c>
      <c r="F752" s="2" t="s">
        <v>2361</v>
      </c>
      <c r="G752" s="2" t="s">
        <v>4400</v>
      </c>
      <c r="H752" s="2" t="s">
        <v>4393</v>
      </c>
      <c r="I752" s="35">
        <v>44587</v>
      </c>
      <c r="J752" s="38">
        <v>144</v>
      </c>
      <c r="K752" s="39">
        <v>8</v>
      </c>
    </row>
    <row r="753" spans="2:11">
      <c r="B753" s="2">
        <v>4500459371</v>
      </c>
      <c r="C753" s="2">
        <v>507209</v>
      </c>
      <c r="D753" s="2" t="s">
        <v>4385</v>
      </c>
      <c r="F753" s="2" t="s">
        <v>2361</v>
      </c>
      <c r="G753" s="2" t="s">
        <v>4400</v>
      </c>
      <c r="H753" s="2" t="s">
        <v>4392</v>
      </c>
      <c r="I753" s="35">
        <v>44587</v>
      </c>
      <c r="J753" s="38">
        <v>180</v>
      </c>
      <c r="K753" s="39">
        <v>8</v>
      </c>
    </row>
    <row r="754" spans="2:11">
      <c r="B754" s="2">
        <v>4500459371</v>
      </c>
      <c r="C754" s="2">
        <v>507209</v>
      </c>
      <c r="D754" s="2" t="s">
        <v>4385</v>
      </c>
      <c r="F754" s="2" t="s">
        <v>2361</v>
      </c>
      <c r="G754" s="2" t="s">
        <v>4400</v>
      </c>
      <c r="H754" s="2" t="s">
        <v>4395</v>
      </c>
      <c r="I754" s="35">
        <v>44587</v>
      </c>
      <c r="J754" s="38">
        <v>48</v>
      </c>
      <c r="K754" s="39">
        <v>8</v>
      </c>
    </row>
    <row r="755" spans="2:11">
      <c r="B755" s="2">
        <v>4500459371</v>
      </c>
      <c r="C755" s="2">
        <v>507209</v>
      </c>
      <c r="D755" s="2" t="s">
        <v>4385</v>
      </c>
      <c r="F755" s="2" t="s">
        <v>2361</v>
      </c>
      <c r="G755" s="2" t="s">
        <v>4400</v>
      </c>
      <c r="H755" s="2" t="s">
        <v>3224</v>
      </c>
      <c r="I755" s="35">
        <v>44587</v>
      </c>
      <c r="J755" s="38">
        <v>12</v>
      </c>
      <c r="K755" s="39">
        <v>8</v>
      </c>
    </row>
    <row r="756" spans="2:11">
      <c r="B756" s="2">
        <v>4500459356</v>
      </c>
      <c r="C756" s="2">
        <v>506896</v>
      </c>
      <c r="D756" s="2" t="s">
        <v>4385</v>
      </c>
      <c r="F756" s="2" t="s">
        <v>2361</v>
      </c>
      <c r="G756" s="2" t="s">
        <v>3248</v>
      </c>
      <c r="H756" s="2" t="s">
        <v>4394</v>
      </c>
      <c r="I756" s="35">
        <v>44587</v>
      </c>
      <c r="J756" s="38">
        <v>76</v>
      </c>
      <c r="K756" s="39">
        <v>5.6</v>
      </c>
    </row>
    <row r="757" spans="2:11">
      <c r="B757" s="2">
        <v>4500459356</v>
      </c>
      <c r="C757" s="2">
        <v>506896</v>
      </c>
      <c r="D757" s="2" t="s">
        <v>4385</v>
      </c>
      <c r="F757" s="2" t="s">
        <v>2361</v>
      </c>
      <c r="G757" s="2" t="s">
        <v>3248</v>
      </c>
      <c r="H757" s="2" t="s">
        <v>4393</v>
      </c>
      <c r="I757" s="35">
        <v>44587</v>
      </c>
      <c r="J757" s="38">
        <v>197</v>
      </c>
      <c r="K757" s="39">
        <v>5.6</v>
      </c>
    </row>
    <row r="758" spans="2:11">
      <c r="B758" s="2">
        <v>4500459356</v>
      </c>
      <c r="C758" s="2">
        <v>506896</v>
      </c>
      <c r="D758" s="2" t="s">
        <v>4385</v>
      </c>
      <c r="F758" s="2" t="s">
        <v>2361</v>
      </c>
      <c r="G758" s="2" t="s">
        <v>3248</v>
      </c>
      <c r="H758" s="2" t="s">
        <v>4392</v>
      </c>
      <c r="I758" s="35">
        <v>44587</v>
      </c>
      <c r="J758" s="38">
        <v>245</v>
      </c>
      <c r="K758" s="39">
        <v>5.6</v>
      </c>
    </row>
    <row r="759" spans="2:11">
      <c r="B759" s="2">
        <v>4500459356</v>
      </c>
      <c r="C759" s="2">
        <v>506896</v>
      </c>
      <c r="D759" s="2" t="s">
        <v>4385</v>
      </c>
      <c r="F759" s="2" t="s">
        <v>2361</v>
      </c>
      <c r="G759" s="2" t="s">
        <v>3248</v>
      </c>
      <c r="H759" s="2" t="s">
        <v>4395</v>
      </c>
      <c r="I759" s="35">
        <v>44587</v>
      </c>
      <c r="J759" s="38">
        <v>184</v>
      </c>
      <c r="K759" s="39">
        <v>5.6</v>
      </c>
    </row>
    <row r="760" spans="2:11">
      <c r="B760" s="2">
        <v>4500459356</v>
      </c>
      <c r="C760" s="2">
        <v>506896</v>
      </c>
      <c r="D760" s="2" t="s">
        <v>4385</v>
      </c>
      <c r="F760" s="2" t="s">
        <v>2361</v>
      </c>
      <c r="G760" s="2" t="s">
        <v>3248</v>
      </c>
      <c r="H760" s="2" t="s">
        <v>3224</v>
      </c>
      <c r="I760" s="35">
        <v>44587</v>
      </c>
      <c r="J760" s="38">
        <v>62</v>
      </c>
      <c r="K760" s="39">
        <v>5.6</v>
      </c>
    </row>
    <row r="761" spans="2:11">
      <c r="B761" s="2">
        <v>4500459356</v>
      </c>
      <c r="C761" s="2">
        <v>506896</v>
      </c>
      <c r="D761" s="2" t="s">
        <v>4385</v>
      </c>
      <c r="F761" s="2" t="s">
        <v>2361</v>
      </c>
      <c r="G761" s="2" t="s">
        <v>3250</v>
      </c>
      <c r="H761" s="2" t="s">
        <v>4394</v>
      </c>
      <c r="I761" s="35">
        <v>44587</v>
      </c>
      <c r="J761" s="38">
        <v>67</v>
      </c>
      <c r="K761" s="39">
        <v>6.9</v>
      </c>
    </row>
    <row r="762" spans="2:11">
      <c r="B762" s="2">
        <v>4500459356</v>
      </c>
      <c r="C762" s="2">
        <v>506896</v>
      </c>
      <c r="D762" s="2" t="s">
        <v>4385</v>
      </c>
      <c r="F762" s="2" t="s">
        <v>2361</v>
      </c>
      <c r="G762" s="2" t="s">
        <v>3250</v>
      </c>
      <c r="H762" s="2" t="s">
        <v>4393</v>
      </c>
      <c r="I762" s="35">
        <v>44587</v>
      </c>
      <c r="J762" s="38">
        <v>203</v>
      </c>
      <c r="K762" s="39">
        <v>6.9</v>
      </c>
    </row>
    <row r="763" spans="2:11">
      <c r="B763" s="2">
        <v>4500459356</v>
      </c>
      <c r="C763" s="2">
        <v>506896</v>
      </c>
      <c r="D763" s="2" t="s">
        <v>4385</v>
      </c>
      <c r="F763" s="2" t="s">
        <v>2361</v>
      </c>
      <c r="G763" s="2" t="s">
        <v>3250</v>
      </c>
      <c r="H763" s="2" t="s">
        <v>4392</v>
      </c>
      <c r="I763" s="35">
        <v>44587</v>
      </c>
      <c r="J763" s="38">
        <v>246</v>
      </c>
      <c r="K763" s="39">
        <v>6.9</v>
      </c>
    </row>
    <row r="764" spans="2:11">
      <c r="B764" s="2">
        <v>4500459356</v>
      </c>
      <c r="C764" s="2">
        <v>506896</v>
      </c>
      <c r="D764" s="2" t="s">
        <v>4385</v>
      </c>
      <c r="F764" s="2" t="s">
        <v>2361</v>
      </c>
      <c r="G764" s="2" t="s">
        <v>3250</v>
      </c>
      <c r="H764" s="2" t="s">
        <v>4395</v>
      </c>
      <c r="I764" s="35">
        <v>44587</v>
      </c>
      <c r="J764" s="38">
        <v>140</v>
      </c>
      <c r="K764" s="39">
        <v>6.9</v>
      </c>
    </row>
    <row r="765" spans="2:11">
      <c r="B765" s="2">
        <v>4500459356</v>
      </c>
      <c r="C765" s="2">
        <v>506896</v>
      </c>
      <c r="D765" s="2" t="s">
        <v>4385</v>
      </c>
      <c r="F765" s="2" t="s">
        <v>2361</v>
      </c>
      <c r="G765" s="2" t="s">
        <v>3250</v>
      </c>
      <c r="H765" s="2" t="s">
        <v>3224</v>
      </c>
      <c r="I765" s="35">
        <v>44587</v>
      </c>
      <c r="J765" s="38">
        <v>49</v>
      </c>
      <c r="K765" s="39">
        <v>6.9</v>
      </c>
    </row>
    <row r="766" spans="2:11">
      <c r="B766" s="2">
        <v>4500459356</v>
      </c>
      <c r="C766" s="2">
        <v>506896</v>
      </c>
      <c r="D766" s="2" t="s">
        <v>4385</v>
      </c>
      <c r="F766" s="2" t="s">
        <v>2361</v>
      </c>
      <c r="G766" s="2" t="s">
        <v>3252</v>
      </c>
      <c r="H766" s="2" t="s">
        <v>4394</v>
      </c>
      <c r="I766" s="35">
        <v>44587</v>
      </c>
      <c r="J766" s="38">
        <v>180</v>
      </c>
      <c r="K766" s="39">
        <v>5.6</v>
      </c>
    </row>
    <row r="767" spans="2:11">
      <c r="B767" s="2">
        <v>4500459356</v>
      </c>
      <c r="C767" s="2">
        <v>506896</v>
      </c>
      <c r="D767" s="2" t="s">
        <v>4385</v>
      </c>
      <c r="F767" s="2" t="s">
        <v>2361</v>
      </c>
      <c r="G767" s="2" t="s">
        <v>3252</v>
      </c>
      <c r="H767" s="2" t="s">
        <v>4393</v>
      </c>
      <c r="I767" s="35">
        <v>44587</v>
      </c>
      <c r="J767" s="38">
        <v>653</v>
      </c>
      <c r="K767" s="39">
        <v>5.6</v>
      </c>
    </row>
    <row r="768" spans="2:11">
      <c r="B768" s="2">
        <v>4500459356</v>
      </c>
      <c r="C768" s="2">
        <v>506896</v>
      </c>
      <c r="D768" s="2" t="s">
        <v>4385</v>
      </c>
      <c r="F768" s="2" t="s">
        <v>2361</v>
      </c>
      <c r="G768" s="2" t="s">
        <v>3252</v>
      </c>
      <c r="H768" s="2" t="s">
        <v>4392</v>
      </c>
      <c r="I768" s="35">
        <v>44587</v>
      </c>
      <c r="J768" s="38">
        <v>714</v>
      </c>
      <c r="K768" s="39">
        <v>5.6</v>
      </c>
    </row>
    <row r="769" spans="2:11">
      <c r="B769" s="2">
        <v>4500459356</v>
      </c>
      <c r="C769" s="2">
        <v>506896</v>
      </c>
      <c r="D769" s="2" t="s">
        <v>4385</v>
      </c>
      <c r="F769" s="2" t="s">
        <v>2361</v>
      </c>
      <c r="G769" s="2" t="s">
        <v>3252</v>
      </c>
      <c r="H769" s="2" t="s">
        <v>4395</v>
      </c>
      <c r="I769" s="35">
        <v>44587</v>
      </c>
      <c r="J769" s="38">
        <v>283</v>
      </c>
      <c r="K769" s="39">
        <v>5.6</v>
      </c>
    </row>
    <row r="770" spans="2:11">
      <c r="B770" s="2">
        <v>4500459356</v>
      </c>
      <c r="C770" s="2">
        <v>506896</v>
      </c>
      <c r="D770" s="2" t="s">
        <v>4385</v>
      </c>
      <c r="F770" s="2" t="s">
        <v>2361</v>
      </c>
      <c r="G770" s="2" t="s">
        <v>3252</v>
      </c>
      <c r="H770" s="2" t="s">
        <v>3224</v>
      </c>
      <c r="I770" s="35">
        <v>44587</v>
      </c>
      <c r="J770" s="38">
        <v>95</v>
      </c>
      <c r="K770" s="39">
        <v>5.6</v>
      </c>
    </row>
    <row r="771" spans="2:11">
      <c r="B771" s="2">
        <v>4500459356</v>
      </c>
      <c r="C771" s="2">
        <v>506896</v>
      </c>
      <c r="D771" s="2" t="s">
        <v>4385</v>
      </c>
      <c r="F771" s="2" t="s">
        <v>2361</v>
      </c>
      <c r="G771" s="2" t="s">
        <v>3253</v>
      </c>
      <c r="H771" s="2" t="s">
        <v>4394</v>
      </c>
      <c r="I771" s="35">
        <v>44587</v>
      </c>
      <c r="J771" s="38">
        <v>126</v>
      </c>
      <c r="K771" s="39">
        <v>7.15</v>
      </c>
    </row>
    <row r="772" spans="2:11">
      <c r="B772" s="2">
        <v>4500459356</v>
      </c>
      <c r="C772" s="2">
        <v>506896</v>
      </c>
      <c r="D772" s="2" t="s">
        <v>4385</v>
      </c>
      <c r="F772" s="2" t="s">
        <v>2361</v>
      </c>
      <c r="G772" s="2" t="s">
        <v>3253</v>
      </c>
      <c r="H772" s="2" t="s">
        <v>4393</v>
      </c>
      <c r="I772" s="35">
        <v>44587</v>
      </c>
      <c r="J772" s="38">
        <v>382</v>
      </c>
      <c r="K772" s="39">
        <v>7.15</v>
      </c>
    </row>
    <row r="773" spans="2:11">
      <c r="B773" s="2">
        <v>4500459356</v>
      </c>
      <c r="C773" s="2">
        <v>506896</v>
      </c>
      <c r="D773" s="2" t="s">
        <v>4385</v>
      </c>
      <c r="F773" s="2" t="s">
        <v>2361</v>
      </c>
      <c r="G773" s="2" t="s">
        <v>3253</v>
      </c>
      <c r="H773" s="2" t="s">
        <v>4392</v>
      </c>
      <c r="I773" s="35">
        <v>44587</v>
      </c>
      <c r="J773" s="38">
        <v>462</v>
      </c>
      <c r="K773" s="39">
        <v>7.15</v>
      </c>
    </row>
    <row r="774" spans="2:11">
      <c r="B774" s="2">
        <v>4500459356</v>
      </c>
      <c r="C774" s="2">
        <v>506896</v>
      </c>
      <c r="D774" s="2" t="s">
        <v>4385</v>
      </c>
      <c r="F774" s="2" t="s">
        <v>2361</v>
      </c>
      <c r="G774" s="2" t="s">
        <v>3253</v>
      </c>
      <c r="H774" s="2" t="s">
        <v>4395</v>
      </c>
      <c r="I774" s="35">
        <v>44587</v>
      </c>
      <c r="J774" s="38">
        <v>262</v>
      </c>
      <c r="K774" s="39">
        <v>7.15</v>
      </c>
    </row>
    <row r="775" spans="2:11">
      <c r="B775" s="2">
        <v>4500459356</v>
      </c>
      <c r="C775" s="2">
        <v>506896</v>
      </c>
      <c r="D775" s="2" t="s">
        <v>4385</v>
      </c>
      <c r="F775" s="2" t="s">
        <v>2361</v>
      </c>
      <c r="G775" s="2" t="s">
        <v>3253</v>
      </c>
      <c r="H775" s="2" t="s">
        <v>3224</v>
      </c>
      <c r="I775" s="35">
        <v>44587</v>
      </c>
      <c r="J775" s="38">
        <v>93</v>
      </c>
      <c r="K775" s="39">
        <v>7.15</v>
      </c>
    </row>
    <row r="776" spans="2:11">
      <c r="B776" s="2">
        <v>4500459356</v>
      </c>
      <c r="C776" s="2">
        <v>506896</v>
      </c>
      <c r="D776" s="2" t="s">
        <v>4385</v>
      </c>
      <c r="F776" s="2" t="s">
        <v>2361</v>
      </c>
      <c r="G776" s="2" t="s">
        <v>4387</v>
      </c>
      <c r="H776" s="2" t="s">
        <v>4394</v>
      </c>
      <c r="I776" s="35">
        <v>44587</v>
      </c>
      <c r="J776" s="38">
        <v>132</v>
      </c>
      <c r="K776" s="39">
        <v>5.84</v>
      </c>
    </row>
    <row r="777" spans="2:11">
      <c r="B777" s="2">
        <v>4500459356</v>
      </c>
      <c r="C777" s="2">
        <v>506896</v>
      </c>
      <c r="D777" s="2" t="s">
        <v>4385</v>
      </c>
      <c r="F777" s="2" t="s">
        <v>2361</v>
      </c>
      <c r="G777" s="2" t="s">
        <v>4387</v>
      </c>
      <c r="H777" s="2" t="s">
        <v>4393</v>
      </c>
      <c r="I777" s="35">
        <v>44587</v>
      </c>
      <c r="J777" s="38">
        <v>494</v>
      </c>
      <c r="K777" s="39">
        <v>5.84</v>
      </c>
    </row>
    <row r="778" spans="2:11">
      <c r="B778" s="2">
        <v>4500459356</v>
      </c>
      <c r="C778" s="2">
        <v>506896</v>
      </c>
      <c r="D778" s="2" t="s">
        <v>4385</v>
      </c>
      <c r="F778" s="2" t="s">
        <v>2361</v>
      </c>
      <c r="G778" s="2" t="s">
        <v>4387</v>
      </c>
      <c r="H778" s="2" t="s">
        <v>4392</v>
      </c>
      <c r="I778" s="35">
        <v>44587</v>
      </c>
      <c r="J778" s="38">
        <v>553</v>
      </c>
      <c r="K778" s="39">
        <v>5.84</v>
      </c>
    </row>
    <row r="779" spans="2:11">
      <c r="B779" s="2">
        <v>4500459356</v>
      </c>
      <c r="C779" s="2">
        <v>506896</v>
      </c>
      <c r="D779" s="2" t="s">
        <v>4385</v>
      </c>
      <c r="F779" s="2" t="s">
        <v>2361</v>
      </c>
      <c r="G779" s="2" t="s">
        <v>4387</v>
      </c>
      <c r="H779" s="2" t="s">
        <v>4395</v>
      </c>
      <c r="I779" s="35">
        <v>44587</v>
      </c>
      <c r="J779" s="38">
        <v>272</v>
      </c>
      <c r="K779" s="39">
        <v>5.84</v>
      </c>
    </row>
    <row r="780" spans="2:11">
      <c r="B780" s="2">
        <v>4500459356</v>
      </c>
      <c r="C780" s="2">
        <v>506896</v>
      </c>
      <c r="D780" s="2" t="s">
        <v>4385</v>
      </c>
      <c r="F780" s="2" t="s">
        <v>2361</v>
      </c>
      <c r="G780" s="2" t="s">
        <v>4387</v>
      </c>
      <c r="H780" s="2" t="s">
        <v>3224</v>
      </c>
      <c r="I780" s="35">
        <v>44587</v>
      </c>
      <c r="J780" s="38">
        <v>139</v>
      </c>
      <c r="K780" s="39">
        <v>5.84</v>
      </c>
    </row>
    <row r="781" spans="2:11">
      <c r="B781" s="2">
        <v>4500459356</v>
      </c>
      <c r="C781" s="2">
        <v>507209</v>
      </c>
      <c r="D781" s="2" t="s">
        <v>4385</v>
      </c>
      <c r="F781" s="2" t="s">
        <v>2361</v>
      </c>
      <c r="G781" s="2" t="s">
        <v>3254</v>
      </c>
      <c r="H781" s="2" t="s">
        <v>4394</v>
      </c>
      <c r="I781" s="35">
        <v>44587</v>
      </c>
      <c r="J781" s="38">
        <v>64</v>
      </c>
      <c r="K781" s="39">
        <v>5.82</v>
      </c>
    </row>
    <row r="782" spans="2:11">
      <c r="B782" s="2">
        <v>4500459356</v>
      </c>
      <c r="C782" s="2">
        <v>507209</v>
      </c>
      <c r="D782" s="2" t="s">
        <v>4385</v>
      </c>
      <c r="F782" s="2" t="s">
        <v>2361</v>
      </c>
      <c r="G782" s="2" t="s">
        <v>3254</v>
      </c>
      <c r="H782" s="2" t="s">
        <v>4393</v>
      </c>
      <c r="I782" s="35">
        <v>44587</v>
      </c>
      <c r="J782" s="38">
        <v>194</v>
      </c>
      <c r="K782" s="39">
        <v>5.82</v>
      </c>
    </row>
    <row r="783" spans="2:11">
      <c r="B783" s="2">
        <v>4500459356</v>
      </c>
      <c r="C783" s="2">
        <v>507209</v>
      </c>
      <c r="D783" s="2" t="s">
        <v>4385</v>
      </c>
      <c r="F783" s="2" t="s">
        <v>2361</v>
      </c>
      <c r="G783" s="2" t="s">
        <v>3254</v>
      </c>
      <c r="H783" s="2" t="s">
        <v>4392</v>
      </c>
      <c r="I783" s="35">
        <v>44587</v>
      </c>
      <c r="J783" s="38">
        <v>234</v>
      </c>
      <c r="K783" s="39">
        <v>5.82</v>
      </c>
    </row>
    <row r="784" spans="2:11">
      <c r="B784" s="2">
        <v>4500459356</v>
      </c>
      <c r="C784" s="2">
        <v>507209</v>
      </c>
      <c r="D784" s="2" t="s">
        <v>4385</v>
      </c>
      <c r="F784" s="2" t="s">
        <v>2361</v>
      </c>
      <c r="G784" s="2" t="s">
        <v>3254</v>
      </c>
      <c r="H784" s="2" t="s">
        <v>4395</v>
      </c>
      <c r="I784" s="35">
        <v>44587</v>
      </c>
      <c r="J784" s="38">
        <v>134</v>
      </c>
      <c r="K784" s="39">
        <v>5.82</v>
      </c>
    </row>
    <row r="785" spans="2:11">
      <c r="B785" s="2">
        <v>4500459356</v>
      </c>
      <c r="C785" s="2">
        <v>507209</v>
      </c>
      <c r="D785" s="2" t="s">
        <v>4385</v>
      </c>
      <c r="F785" s="2" t="s">
        <v>2361</v>
      </c>
      <c r="G785" s="2" t="s">
        <v>3254</v>
      </c>
      <c r="H785" s="2" t="s">
        <v>3224</v>
      </c>
      <c r="I785" s="35">
        <v>44587</v>
      </c>
      <c r="J785" s="38">
        <v>47</v>
      </c>
      <c r="K785" s="39">
        <v>5.82</v>
      </c>
    </row>
    <row r="786" spans="2:11">
      <c r="B786" s="2">
        <v>4500459356</v>
      </c>
      <c r="C786" s="2">
        <v>507209</v>
      </c>
      <c r="D786" s="2" t="s">
        <v>4385</v>
      </c>
      <c r="F786" s="2" t="s">
        <v>2361</v>
      </c>
      <c r="G786" s="2" t="s">
        <v>3265</v>
      </c>
      <c r="H786" s="2" t="s">
        <v>4394</v>
      </c>
      <c r="I786" s="35">
        <v>44587</v>
      </c>
      <c r="J786" s="38">
        <v>62</v>
      </c>
      <c r="K786" s="39">
        <v>6.45</v>
      </c>
    </row>
    <row r="787" spans="2:11">
      <c r="B787" s="2">
        <v>4500459356</v>
      </c>
      <c r="C787" s="2">
        <v>507209</v>
      </c>
      <c r="D787" s="2" t="s">
        <v>4385</v>
      </c>
      <c r="F787" s="2" t="s">
        <v>2361</v>
      </c>
      <c r="G787" s="2" t="s">
        <v>3265</v>
      </c>
      <c r="H787" s="2" t="s">
        <v>4393</v>
      </c>
      <c r="I787" s="35">
        <v>44587</v>
      </c>
      <c r="J787" s="38">
        <v>187</v>
      </c>
      <c r="K787" s="39">
        <v>6.45</v>
      </c>
    </row>
    <row r="788" spans="2:11">
      <c r="B788" s="2">
        <v>4500459356</v>
      </c>
      <c r="C788" s="2">
        <v>507209</v>
      </c>
      <c r="D788" s="2" t="s">
        <v>4385</v>
      </c>
      <c r="F788" s="2" t="s">
        <v>2361</v>
      </c>
      <c r="G788" s="2" t="s">
        <v>3265</v>
      </c>
      <c r="H788" s="2" t="s">
        <v>4392</v>
      </c>
      <c r="I788" s="35">
        <v>44587</v>
      </c>
      <c r="J788" s="38">
        <v>227</v>
      </c>
      <c r="K788" s="39">
        <v>6.45</v>
      </c>
    </row>
    <row r="789" spans="2:11">
      <c r="B789" s="2">
        <v>4500459356</v>
      </c>
      <c r="C789" s="2">
        <v>507209</v>
      </c>
      <c r="D789" s="2" t="s">
        <v>4385</v>
      </c>
      <c r="F789" s="2" t="s">
        <v>2361</v>
      </c>
      <c r="G789" s="2" t="s">
        <v>3265</v>
      </c>
      <c r="H789" s="2" t="s">
        <v>4395</v>
      </c>
      <c r="I789" s="35">
        <v>44587</v>
      </c>
      <c r="J789" s="38">
        <v>129</v>
      </c>
      <c r="K789" s="39">
        <v>6.45</v>
      </c>
    </row>
    <row r="790" spans="2:11">
      <c r="B790" s="2">
        <v>4500459356</v>
      </c>
      <c r="C790" s="2">
        <v>507209</v>
      </c>
      <c r="D790" s="2" t="s">
        <v>4385</v>
      </c>
      <c r="F790" s="2" t="s">
        <v>2361</v>
      </c>
      <c r="G790" s="2" t="s">
        <v>3265</v>
      </c>
      <c r="H790" s="2" t="s">
        <v>3224</v>
      </c>
      <c r="I790" s="35">
        <v>44587</v>
      </c>
      <c r="J790" s="38">
        <v>45</v>
      </c>
      <c r="K790" s="39">
        <v>6.45</v>
      </c>
    </row>
    <row r="791" spans="2:11">
      <c r="B791" s="2">
        <v>4500459356</v>
      </c>
      <c r="C791" s="2">
        <v>507209</v>
      </c>
      <c r="D791" s="2" t="s">
        <v>4385</v>
      </c>
      <c r="F791" s="2" t="s">
        <v>2361</v>
      </c>
      <c r="G791" s="2" t="s">
        <v>3255</v>
      </c>
      <c r="H791" s="2" t="s">
        <v>4394</v>
      </c>
      <c r="I791" s="35">
        <v>44587</v>
      </c>
      <c r="J791" s="38">
        <v>105</v>
      </c>
      <c r="K791" s="39">
        <v>5.82</v>
      </c>
    </row>
    <row r="792" spans="2:11">
      <c r="B792" s="2">
        <v>4500459356</v>
      </c>
      <c r="C792" s="2">
        <v>507209</v>
      </c>
      <c r="D792" s="2" t="s">
        <v>4385</v>
      </c>
      <c r="F792" s="2" t="s">
        <v>2361</v>
      </c>
      <c r="G792" s="2" t="s">
        <v>3255</v>
      </c>
      <c r="H792" s="2" t="s">
        <v>4393</v>
      </c>
      <c r="I792" s="35">
        <v>44587</v>
      </c>
      <c r="J792" s="38">
        <v>317</v>
      </c>
      <c r="K792" s="39">
        <v>5.82</v>
      </c>
    </row>
    <row r="793" spans="2:11">
      <c r="B793" s="2">
        <v>4500459356</v>
      </c>
      <c r="C793" s="2">
        <v>507209</v>
      </c>
      <c r="D793" s="2" t="s">
        <v>4385</v>
      </c>
      <c r="F793" s="2" t="s">
        <v>2361</v>
      </c>
      <c r="G793" s="2" t="s">
        <v>3255</v>
      </c>
      <c r="H793" s="2" t="s">
        <v>4392</v>
      </c>
      <c r="I793" s="35">
        <v>44587</v>
      </c>
      <c r="J793" s="38">
        <v>384</v>
      </c>
      <c r="K793" s="39">
        <v>5.82</v>
      </c>
    </row>
    <row r="794" spans="2:11">
      <c r="B794" s="2">
        <v>4500459356</v>
      </c>
      <c r="C794" s="2">
        <v>507209</v>
      </c>
      <c r="D794" s="2" t="s">
        <v>4385</v>
      </c>
      <c r="F794" s="2" t="s">
        <v>2361</v>
      </c>
      <c r="G794" s="2" t="s">
        <v>3255</v>
      </c>
      <c r="H794" s="2" t="s">
        <v>4395</v>
      </c>
      <c r="I794" s="35">
        <v>44587</v>
      </c>
      <c r="J794" s="38">
        <v>217</v>
      </c>
      <c r="K794" s="39">
        <v>5.82</v>
      </c>
    </row>
    <row r="795" spans="2:11">
      <c r="B795" s="2">
        <v>4500459356</v>
      </c>
      <c r="C795" s="2">
        <v>507209</v>
      </c>
      <c r="D795" s="2" t="s">
        <v>4385</v>
      </c>
      <c r="F795" s="2" t="s">
        <v>2361</v>
      </c>
      <c r="G795" s="2" t="s">
        <v>3255</v>
      </c>
      <c r="H795" s="2" t="s">
        <v>3224</v>
      </c>
      <c r="I795" s="35">
        <v>44587</v>
      </c>
      <c r="J795" s="38">
        <v>77</v>
      </c>
      <c r="K795" s="39">
        <v>5.82</v>
      </c>
    </row>
    <row r="796" spans="2:11">
      <c r="B796" s="2">
        <v>4500459356</v>
      </c>
      <c r="C796" s="2">
        <v>507209</v>
      </c>
      <c r="D796" s="2" t="s">
        <v>4385</v>
      </c>
      <c r="F796" s="2" t="s">
        <v>2361</v>
      </c>
      <c r="G796" s="2" t="s">
        <v>3257</v>
      </c>
      <c r="H796" s="2" t="s">
        <v>4394</v>
      </c>
      <c r="I796" s="35">
        <v>44587</v>
      </c>
      <c r="J796" s="38">
        <v>186</v>
      </c>
      <c r="K796" s="39">
        <v>5.9</v>
      </c>
    </row>
    <row r="797" spans="2:11">
      <c r="B797" s="2">
        <v>4500459356</v>
      </c>
      <c r="C797" s="2">
        <v>507209</v>
      </c>
      <c r="D797" s="2" t="s">
        <v>4385</v>
      </c>
      <c r="F797" s="2" t="s">
        <v>2361</v>
      </c>
      <c r="G797" s="2" t="s">
        <v>3257</v>
      </c>
      <c r="H797" s="2" t="s">
        <v>4393</v>
      </c>
      <c r="I797" s="35">
        <v>44587</v>
      </c>
      <c r="J797" s="38">
        <v>562</v>
      </c>
      <c r="K797" s="39">
        <v>5.9</v>
      </c>
    </row>
    <row r="798" spans="2:11">
      <c r="B798" s="2">
        <v>4500459356</v>
      </c>
      <c r="C798" s="2">
        <v>507209</v>
      </c>
      <c r="D798" s="2" t="s">
        <v>4385</v>
      </c>
      <c r="F798" s="2" t="s">
        <v>2361</v>
      </c>
      <c r="G798" s="2" t="s">
        <v>3257</v>
      </c>
      <c r="H798" s="2" t="s">
        <v>4392</v>
      </c>
      <c r="I798" s="35">
        <v>44587</v>
      </c>
      <c r="J798" s="38">
        <v>680</v>
      </c>
      <c r="K798" s="39">
        <v>5.9</v>
      </c>
    </row>
    <row r="799" spans="2:11">
      <c r="B799" s="2">
        <v>4500459356</v>
      </c>
      <c r="C799" s="2">
        <v>507209</v>
      </c>
      <c r="D799" s="2" t="s">
        <v>4385</v>
      </c>
      <c r="F799" s="2" t="s">
        <v>2361</v>
      </c>
      <c r="G799" s="2" t="s">
        <v>3257</v>
      </c>
      <c r="H799" s="2" t="s">
        <v>4395</v>
      </c>
      <c r="I799" s="35">
        <v>44587</v>
      </c>
      <c r="J799" s="38">
        <v>385</v>
      </c>
      <c r="K799" s="39">
        <v>5.9</v>
      </c>
    </row>
    <row r="800" spans="2:11">
      <c r="B800" s="2">
        <v>4500459356</v>
      </c>
      <c r="C800" s="2">
        <v>507209</v>
      </c>
      <c r="D800" s="2" t="s">
        <v>4385</v>
      </c>
      <c r="F800" s="2" t="s">
        <v>2361</v>
      </c>
      <c r="G800" s="2" t="s">
        <v>3257</v>
      </c>
      <c r="H800" s="2" t="s">
        <v>3224</v>
      </c>
      <c r="I800" s="35">
        <v>44587</v>
      </c>
      <c r="J800" s="38">
        <v>136</v>
      </c>
      <c r="K800" s="39">
        <v>5.9</v>
      </c>
    </row>
    <row r="801" spans="2:11">
      <c r="B801" s="2">
        <v>4500459356</v>
      </c>
      <c r="C801" s="2">
        <v>507209</v>
      </c>
      <c r="D801" s="2" t="s">
        <v>4385</v>
      </c>
      <c r="F801" s="2" t="s">
        <v>2361</v>
      </c>
      <c r="G801" s="2" t="s">
        <v>3256</v>
      </c>
      <c r="H801" s="2" t="s">
        <v>4394</v>
      </c>
      <c r="I801" s="35">
        <v>44587</v>
      </c>
      <c r="J801" s="38">
        <v>47</v>
      </c>
      <c r="K801" s="39">
        <v>5.9</v>
      </c>
    </row>
    <row r="802" spans="2:11">
      <c r="B802" s="2">
        <v>4500459356</v>
      </c>
      <c r="C802" s="2">
        <v>507209</v>
      </c>
      <c r="D802" s="2" t="s">
        <v>4385</v>
      </c>
      <c r="F802" s="2" t="s">
        <v>2361</v>
      </c>
      <c r="G802" s="2" t="s">
        <v>3256</v>
      </c>
      <c r="H802" s="2" t="s">
        <v>4393</v>
      </c>
      <c r="I802" s="35">
        <v>44587</v>
      </c>
      <c r="J802" s="38">
        <v>143</v>
      </c>
      <c r="K802" s="39">
        <v>5.9</v>
      </c>
    </row>
    <row r="803" spans="2:11">
      <c r="B803" s="2">
        <v>4500459356</v>
      </c>
      <c r="C803" s="2">
        <v>507209</v>
      </c>
      <c r="D803" s="2" t="s">
        <v>4385</v>
      </c>
      <c r="F803" s="2" t="s">
        <v>2361</v>
      </c>
      <c r="G803" s="2" t="s">
        <v>3256</v>
      </c>
      <c r="H803" s="2" t="s">
        <v>4392</v>
      </c>
      <c r="I803" s="35">
        <v>44587</v>
      </c>
      <c r="J803" s="38">
        <v>172</v>
      </c>
      <c r="K803" s="39">
        <v>5.9</v>
      </c>
    </row>
    <row r="804" spans="2:11">
      <c r="B804" s="2">
        <v>4500459356</v>
      </c>
      <c r="C804" s="2">
        <v>507209</v>
      </c>
      <c r="D804" s="2" t="s">
        <v>4385</v>
      </c>
      <c r="F804" s="2" t="s">
        <v>2361</v>
      </c>
      <c r="G804" s="2" t="s">
        <v>3256</v>
      </c>
      <c r="H804" s="2" t="s">
        <v>4395</v>
      </c>
      <c r="I804" s="35">
        <v>44587</v>
      </c>
      <c r="J804" s="38">
        <v>98</v>
      </c>
      <c r="K804" s="39">
        <v>5.9</v>
      </c>
    </row>
    <row r="805" spans="2:11">
      <c r="B805" s="2">
        <v>4500459356</v>
      </c>
      <c r="C805" s="2">
        <v>507209</v>
      </c>
      <c r="D805" s="2" t="s">
        <v>4385</v>
      </c>
      <c r="F805" s="2" t="s">
        <v>2361</v>
      </c>
      <c r="G805" s="2" t="s">
        <v>3256</v>
      </c>
      <c r="H805" s="2" t="s">
        <v>3224</v>
      </c>
      <c r="I805" s="35">
        <v>44587</v>
      </c>
      <c r="J805" s="38">
        <v>34</v>
      </c>
      <c r="K805" s="39">
        <v>5.9</v>
      </c>
    </row>
    <row r="806" spans="2:11">
      <c r="B806" s="2">
        <v>4500459356</v>
      </c>
      <c r="C806" s="2">
        <v>507209</v>
      </c>
      <c r="D806" s="2" t="s">
        <v>4385</v>
      </c>
      <c r="F806" s="2" t="s">
        <v>2361</v>
      </c>
      <c r="G806" s="2" t="s">
        <v>4398</v>
      </c>
      <c r="H806" s="2" t="s">
        <v>4394</v>
      </c>
      <c r="I806" s="35">
        <v>44587</v>
      </c>
      <c r="J806" s="38">
        <v>196</v>
      </c>
      <c r="K806" s="39">
        <v>6.05</v>
      </c>
    </row>
    <row r="807" spans="2:11">
      <c r="B807" s="2">
        <v>4500459356</v>
      </c>
      <c r="C807" s="2">
        <v>507209</v>
      </c>
      <c r="D807" s="2" t="s">
        <v>4385</v>
      </c>
      <c r="F807" s="2" t="s">
        <v>2361</v>
      </c>
      <c r="G807" s="2" t="s">
        <v>4398</v>
      </c>
      <c r="H807" s="2" t="s">
        <v>4393</v>
      </c>
      <c r="I807" s="35">
        <v>44587</v>
      </c>
      <c r="J807" s="38">
        <v>597</v>
      </c>
      <c r="K807" s="39">
        <v>6.05</v>
      </c>
    </row>
    <row r="808" spans="2:11">
      <c r="B808" s="2">
        <v>4500459356</v>
      </c>
      <c r="C808" s="2">
        <v>507209</v>
      </c>
      <c r="D808" s="2" t="s">
        <v>4385</v>
      </c>
      <c r="F808" s="2" t="s">
        <v>2361</v>
      </c>
      <c r="G808" s="2" t="s">
        <v>4398</v>
      </c>
      <c r="H808" s="2" t="s">
        <v>4392</v>
      </c>
      <c r="I808" s="35">
        <v>44587</v>
      </c>
      <c r="J808" s="38">
        <v>724</v>
      </c>
      <c r="K808" s="39">
        <v>6.05</v>
      </c>
    </row>
    <row r="809" spans="2:11">
      <c r="B809" s="2">
        <v>4500459356</v>
      </c>
      <c r="C809" s="2">
        <v>507209</v>
      </c>
      <c r="D809" s="2" t="s">
        <v>4385</v>
      </c>
      <c r="F809" s="2" t="s">
        <v>2361</v>
      </c>
      <c r="G809" s="2" t="s">
        <v>4398</v>
      </c>
      <c r="H809" s="2" t="s">
        <v>4395</v>
      </c>
      <c r="I809" s="35">
        <v>44587</v>
      </c>
      <c r="J809" s="38">
        <v>407</v>
      </c>
      <c r="K809" s="39">
        <v>6.05</v>
      </c>
    </row>
    <row r="810" spans="2:11">
      <c r="B810" s="2">
        <v>4500459356</v>
      </c>
      <c r="C810" s="2">
        <v>507209</v>
      </c>
      <c r="D810" s="2" t="s">
        <v>4385</v>
      </c>
      <c r="F810" s="2" t="s">
        <v>2361</v>
      </c>
      <c r="G810" s="2" t="s">
        <v>4398</v>
      </c>
      <c r="H810" s="2" t="s">
        <v>3224</v>
      </c>
      <c r="I810" s="35">
        <v>44587</v>
      </c>
      <c r="J810" s="38">
        <v>143</v>
      </c>
      <c r="K810" s="39">
        <v>6.05</v>
      </c>
    </row>
    <row r="811" spans="2:11">
      <c r="B811" s="2">
        <v>4500459356</v>
      </c>
      <c r="C811" s="2">
        <v>507209</v>
      </c>
      <c r="D811" s="2" t="s">
        <v>4385</v>
      </c>
      <c r="F811" s="2" t="s">
        <v>2361</v>
      </c>
      <c r="G811" s="2" t="s">
        <v>4399</v>
      </c>
      <c r="H811" s="2" t="s">
        <v>4394</v>
      </c>
      <c r="I811" s="35">
        <v>44587</v>
      </c>
      <c r="J811" s="38">
        <v>106</v>
      </c>
      <c r="K811" s="39">
        <v>6.45</v>
      </c>
    </row>
    <row r="812" spans="2:11">
      <c r="B812" s="2">
        <v>4500459356</v>
      </c>
      <c r="C812" s="2">
        <v>507209</v>
      </c>
      <c r="D812" s="2" t="s">
        <v>4385</v>
      </c>
      <c r="F812" s="2" t="s">
        <v>2361</v>
      </c>
      <c r="G812" s="2" t="s">
        <v>4399</v>
      </c>
      <c r="H812" s="2" t="s">
        <v>4393</v>
      </c>
      <c r="I812" s="35">
        <v>44587</v>
      </c>
      <c r="J812" s="38">
        <v>321</v>
      </c>
      <c r="K812" s="39">
        <v>6.45</v>
      </c>
    </row>
    <row r="813" spans="2:11">
      <c r="B813" s="2">
        <v>4500459356</v>
      </c>
      <c r="C813" s="2">
        <v>507209</v>
      </c>
      <c r="D813" s="2" t="s">
        <v>4385</v>
      </c>
      <c r="F813" s="2" t="s">
        <v>2361</v>
      </c>
      <c r="G813" s="2" t="s">
        <v>4399</v>
      </c>
      <c r="H813" s="2" t="s">
        <v>4392</v>
      </c>
      <c r="I813" s="35">
        <v>44587</v>
      </c>
      <c r="J813" s="38">
        <v>389</v>
      </c>
      <c r="K813" s="39">
        <v>6.45</v>
      </c>
    </row>
    <row r="814" spans="2:11">
      <c r="B814" s="2">
        <v>4500459356</v>
      </c>
      <c r="C814" s="2">
        <v>507209</v>
      </c>
      <c r="D814" s="2" t="s">
        <v>4385</v>
      </c>
      <c r="F814" s="2" t="s">
        <v>2361</v>
      </c>
      <c r="G814" s="2" t="s">
        <v>4399</v>
      </c>
      <c r="H814" s="2" t="s">
        <v>4395</v>
      </c>
      <c r="I814" s="35">
        <v>44587</v>
      </c>
      <c r="J814" s="38">
        <v>219</v>
      </c>
      <c r="K814" s="39">
        <v>6.45</v>
      </c>
    </row>
    <row r="815" spans="2:11">
      <c r="B815" s="2">
        <v>4500459356</v>
      </c>
      <c r="C815" s="2">
        <v>507209</v>
      </c>
      <c r="D815" s="2" t="s">
        <v>4385</v>
      </c>
      <c r="F815" s="2" t="s">
        <v>2361</v>
      </c>
      <c r="G815" s="2" t="s">
        <v>4399</v>
      </c>
      <c r="H815" s="2" t="s">
        <v>3224</v>
      </c>
      <c r="I815" s="35">
        <v>44587</v>
      </c>
      <c r="J815" s="38">
        <v>77</v>
      </c>
      <c r="K815" s="39">
        <v>6.45</v>
      </c>
    </row>
    <row r="816" spans="2:11">
      <c r="B816" s="2">
        <v>4500459356</v>
      </c>
      <c r="C816" s="2">
        <v>507209</v>
      </c>
      <c r="D816" s="2" t="s">
        <v>4385</v>
      </c>
      <c r="F816" s="2" t="s">
        <v>2361</v>
      </c>
      <c r="G816" s="2" t="s">
        <v>4400</v>
      </c>
      <c r="H816" s="2" t="s">
        <v>4394</v>
      </c>
      <c r="I816" s="35">
        <v>44587</v>
      </c>
      <c r="J816" s="38">
        <v>178</v>
      </c>
      <c r="K816" s="39">
        <v>8</v>
      </c>
    </row>
    <row r="817" spans="2:11">
      <c r="B817" s="2">
        <v>4500459356</v>
      </c>
      <c r="C817" s="2">
        <v>507209</v>
      </c>
      <c r="D817" s="2" t="s">
        <v>4385</v>
      </c>
      <c r="F817" s="2" t="s">
        <v>2361</v>
      </c>
      <c r="G817" s="2" t="s">
        <v>4400</v>
      </c>
      <c r="H817" s="2" t="s">
        <v>4393</v>
      </c>
      <c r="I817" s="35">
        <v>44587</v>
      </c>
      <c r="J817" s="38">
        <v>541</v>
      </c>
      <c r="K817" s="39">
        <v>8</v>
      </c>
    </row>
    <row r="818" spans="2:11">
      <c r="B818" s="2">
        <v>4500459356</v>
      </c>
      <c r="C818" s="2">
        <v>507209</v>
      </c>
      <c r="D818" s="2" t="s">
        <v>4385</v>
      </c>
      <c r="F818" s="2" t="s">
        <v>2361</v>
      </c>
      <c r="G818" s="2" t="s">
        <v>4400</v>
      </c>
      <c r="H818" s="2" t="s">
        <v>4392</v>
      </c>
      <c r="I818" s="35">
        <v>44587</v>
      </c>
      <c r="J818" s="38">
        <v>655</v>
      </c>
      <c r="K818" s="39">
        <v>8</v>
      </c>
    </row>
    <row r="819" spans="2:11">
      <c r="B819" s="2">
        <v>4500459356</v>
      </c>
      <c r="C819" s="2">
        <v>507209</v>
      </c>
      <c r="D819" s="2" t="s">
        <v>4385</v>
      </c>
      <c r="F819" s="2" t="s">
        <v>2361</v>
      </c>
      <c r="G819" s="2" t="s">
        <v>4400</v>
      </c>
      <c r="H819" s="2" t="s">
        <v>4395</v>
      </c>
      <c r="I819" s="35">
        <v>44587</v>
      </c>
      <c r="J819" s="38">
        <v>369</v>
      </c>
      <c r="K819" s="39">
        <v>8</v>
      </c>
    </row>
    <row r="820" spans="2:11">
      <c r="B820" s="2">
        <v>4500459356</v>
      </c>
      <c r="C820" s="2">
        <v>507209</v>
      </c>
      <c r="D820" s="2" t="s">
        <v>4385</v>
      </c>
      <c r="F820" s="2" t="s">
        <v>2361</v>
      </c>
      <c r="G820" s="2" t="s">
        <v>4400</v>
      </c>
      <c r="H820" s="2" t="s">
        <v>3224</v>
      </c>
      <c r="I820" s="35">
        <v>44587</v>
      </c>
      <c r="J820" s="38">
        <v>129</v>
      </c>
      <c r="K820" s="39">
        <v>8</v>
      </c>
    </row>
    <row r="821" spans="2:11">
      <c r="B821" s="2">
        <v>4500459356</v>
      </c>
      <c r="C821" s="2">
        <v>529692</v>
      </c>
      <c r="D821" s="2" t="s">
        <v>4385</v>
      </c>
      <c r="F821" s="2" t="s">
        <v>2361</v>
      </c>
      <c r="G821" s="2" t="s">
        <v>3252</v>
      </c>
      <c r="H821" s="2" t="s">
        <v>3261</v>
      </c>
      <c r="I821" s="35">
        <v>44587</v>
      </c>
      <c r="J821" s="38">
        <v>107</v>
      </c>
      <c r="K821" s="39">
        <v>6.03</v>
      </c>
    </row>
    <row r="822" spans="2:11">
      <c r="B822" s="2">
        <v>4500459356</v>
      </c>
      <c r="C822" s="2">
        <v>529692</v>
      </c>
      <c r="D822" s="2" t="s">
        <v>4385</v>
      </c>
      <c r="F822" s="2" t="s">
        <v>2361</v>
      </c>
      <c r="G822" s="2" t="s">
        <v>3252</v>
      </c>
      <c r="H822" s="2" t="s">
        <v>4390</v>
      </c>
      <c r="I822" s="35">
        <v>44587</v>
      </c>
      <c r="J822" s="38">
        <v>92</v>
      </c>
      <c r="K822" s="39">
        <v>6.03</v>
      </c>
    </row>
    <row r="823" spans="2:11">
      <c r="B823" s="2">
        <v>4500459356</v>
      </c>
      <c r="C823" s="2">
        <v>529692</v>
      </c>
      <c r="D823" s="2" t="s">
        <v>4385</v>
      </c>
      <c r="F823" s="2" t="s">
        <v>2361</v>
      </c>
      <c r="G823" s="2" t="s">
        <v>3252</v>
      </c>
      <c r="H823" s="2" t="s">
        <v>4391</v>
      </c>
      <c r="I823" s="35">
        <v>44587</v>
      </c>
      <c r="J823" s="38">
        <v>26</v>
      </c>
      <c r="K823" s="39">
        <v>6.03</v>
      </c>
    </row>
    <row r="824" spans="2:11">
      <c r="B824" s="2">
        <v>4500459356</v>
      </c>
      <c r="C824" s="2">
        <v>529688</v>
      </c>
      <c r="D824" s="2" t="s">
        <v>4385</v>
      </c>
      <c r="F824" s="2" t="s">
        <v>2361</v>
      </c>
      <c r="G824" s="2" t="s">
        <v>3257</v>
      </c>
      <c r="H824" s="2" t="s">
        <v>3261</v>
      </c>
      <c r="I824" s="35">
        <v>44587</v>
      </c>
      <c r="J824" s="38">
        <v>235</v>
      </c>
      <c r="K824" s="39">
        <v>6.35</v>
      </c>
    </row>
    <row r="825" spans="2:11">
      <c r="B825" s="2">
        <v>4500459356</v>
      </c>
      <c r="C825" s="2">
        <v>529688</v>
      </c>
      <c r="D825" s="2" t="s">
        <v>4385</v>
      </c>
      <c r="F825" s="2" t="s">
        <v>2361</v>
      </c>
      <c r="G825" s="2" t="s">
        <v>3257</v>
      </c>
      <c r="H825" s="2" t="s">
        <v>4390</v>
      </c>
      <c r="I825" s="35">
        <v>44587</v>
      </c>
      <c r="J825" s="38">
        <v>194</v>
      </c>
      <c r="K825" s="39">
        <v>6.35</v>
      </c>
    </row>
    <row r="826" spans="2:11">
      <c r="B826" s="2">
        <v>4500459356</v>
      </c>
      <c r="C826" s="2">
        <v>529688</v>
      </c>
      <c r="D826" s="2" t="s">
        <v>4385</v>
      </c>
      <c r="F826" s="2" t="s">
        <v>2361</v>
      </c>
      <c r="G826" s="2" t="s">
        <v>3257</v>
      </c>
      <c r="H826" s="2" t="s">
        <v>4391</v>
      </c>
      <c r="I826" s="35">
        <v>44587</v>
      </c>
      <c r="J826" s="38">
        <v>59</v>
      </c>
      <c r="K826" s="39">
        <v>6.35</v>
      </c>
    </row>
    <row r="827" spans="2:11">
      <c r="B827" s="2">
        <v>4500459360</v>
      </c>
      <c r="C827" s="2">
        <v>506896</v>
      </c>
      <c r="D827" s="2" t="s">
        <v>4385</v>
      </c>
      <c r="F827" s="2" t="s">
        <v>2361</v>
      </c>
      <c r="G827" s="2" t="s">
        <v>3248</v>
      </c>
      <c r="H827" s="2" t="s">
        <v>4394</v>
      </c>
      <c r="I827" s="35">
        <v>44587</v>
      </c>
      <c r="J827" s="38">
        <v>51</v>
      </c>
      <c r="K827" s="39">
        <v>5.89</v>
      </c>
    </row>
    <row r="828" spans="2:11">
      <c r="B828" s="2">
        <v>4500459360</v>
      </c>
      <c r="C828" s="2">
        <v>506896</v>
      </c>
      <c r="D828" s="2" t="s">
        <v>4385</v>
      </c>
      <c r="F828" s="2" t="s">
        <v>2361</v>
      </c>
      <c r="G828" s="2" t="s">
        <v>3248</v>
      </c>
      <c r="H828" s="2" t="s">
        <v>4393</v>
      </c>
      <c r="I828" s="35">
        <v>44587</v>
      </c>
      <c r="J828" s="38">
        <v>129</v>
      </c>
      <c r="K828" s="39">
        <v>5.89</v>
      </c>
    </row>
    <row r="829" spans="2:11">
      <c r="B829" s="2">
        <v>4500459360</v>
      </c>
      <c r="C829" s="2">
        <v>506896</v>
      </c>
      <c r="D829" s="2" t="s">
        <v>4385</v>
      </c>
      <c r="F829" s="2" t="s">
        <v>2361</v>
      </c>
      <c r="G829" s="2" t="s">
        <v>3248</v>
      </c>
      <c r="H829" s="2" t="s">
        <v>4392</v>
      </c>
      <c r="I829" s="35">
        <v>44587</v>
      </c>
      <c r="J829" s="38">
        <v>207</v>
      </c>
      <c r="K829" s="39">
        <v>5.89</v>
      </c>
    </row>
    <row r="830" spans="2:11">
      <c r="B830" s="2">
        <v>4500459360</v>
      </c>
      <c r="C830" s="2">
        <v>506896</v>
      </c>
      <c r="D830" s="2" t="s">
        <v>4385</v>
      </c>
      <c r="F830" s="2" t="s">
        <v>2361</v>
      </c>
      <c r="G830" s="2" t="s">
        <v>3248</v>
      </c>
      <c r="H830" s="2" t="s">
        <v>4395</v>
      </c>
      <c r="I830" s="35">
        <v>44587</v>
      </c>
      <c r="J830" s="38">
        <v>156</v>
      </c>
      <c r="K830" s="39">
        <v>5.89</v>
      </c>
    </row>
    <row r="831" spans="2:11">
      <c r="B831" s="2">
        <v>4500459360</v>
      </c>
      <c r="C831" s="2">
        <v>506896</v>
      </c>
      <c r="D831" s="2" t="s">
        <v>4385</v>
      </c>
      <c r="F831" s="2" t="s">
        <v>2361</v>
      </c>
      <c r="G831" s="2" t="s">
        <v>3248</v>
      </c>
      <c r="H831" s="2" t="s">
        <v>3224</v>
      </c>
      <c r="I831" s="35">
        <v>44587</v>
      </c>
      <c r="J831" s="38">
        <v>105</v>
      </c>
      <c r="K831" s="39">
        <v>5.89</v>
      </c>
    </row>
    <row r="832" spans="2:11">
      <c r="B832" s="2">
        <v>4500459360</v>
      </c>
      <c r="C832" s="2">
        <v>506896</v>
      </c>
      <c r="D832" s="2" t="s">
        <v>4385</v>
      </c>
      <c r="F832" s="2" t="s">
        <v>2361</v>
      </c>
      <c r="G832" s="2" t="s">
        <v>3252</v>
      </c>
      <c r="H832" s="2" t="s">
        <v>4394</v>
      </c>
      <c r="I832" s="35">
        <v>44587</v>
      </c>
      <c r="J832" s="38">
        <v>93</v>
      </c>
      <c r="K832" s="39">
        <v>5.89</v>
      </c>
    </row>
    <row r="833" spans="2:11">
      <c r="B833" s="2">
        <v>4500459360</v>
      </c>
      <c r="C833" s="2">
        <v>506896</v>
      </c>
      <c r="D833" s="2" t="s">
        <v>4385</v>
      </c>
      <c r="F833" s="2" t="s">
        <v>2361</v>
      </c>
      <c r="G833" s="2" t="s">
        <v>3252</v>
      </c>
      <c r="H833" s="2" t="s">
        <v>4393</v>
      </c>
      <c r="I833" s="35">
        <v>44587</v>
      </c>
      <c r="J833" s="38">
        <v>231</v>
      </c>
      <c r="K833" s="39">
        <v>5.89</v>
      </c>
    </row>
    <row r="834" spans="2:11">
      <c r="B834" s="2">
        <v>4500459360</v>
      </c>
      <c r="C834" s="2">
        <v>506896</v>
      </c>
      <c r="D834" s="2" t="s">
        <v>4385</v>
      </c>
      <c r="F834" s="2" t="s">
        <v>2361</v>
      </c>
      <c r="G834" s="2" t="s">
        <v>3252</v>
      </c>
      <c r="H834" s="2" t="s">
        <v>4392</v>
      </c>
      <c r="I834" s="35">
        <v>44587</v>
      </c>
      <c r="J834" s="38">
        <v>366</v>
      </c>
      <c r="K834" s="39">
        <v>5.89</v>
      </c>
    </row>
    <row r="835" spans="2:11">
      <c r="B835" s="2">
        <v>4500459360</v>
      </c>
      <c r="C835" s="2">
        <v>506896</v>
      </c>
      <c r="D835" s="2" t="s">
        <v>4385</v>
      </c>
      <c r="F835" s="2" t="s">
        <v>2361</v>
      </c>
      <c r="G835" s="2" t="s">
        <v>3252</v>
      </c>
      <c r="H835" s="2" t="s">
        <v>4395</v>
      </c>
      <c r="I835" s="35">
        <v>44587</v>
      </c>
      <c r="J835" s="38">
        <v>276</v>
      </c>
      <c r="K835" s="39">
        <v>5.89</v>
      </c>
    </row>
    <row r="836" spans="2:11">
      <c r="B836" s="2">
        <v>4500459360</v>
      </c>
      <c r="C836" s="2">
        <v>506896</v>
      </c>
      <c r="D836" s="2" t="s">
        <v>4385</v>
      </c>
      <c r="F836" s="2" t="s">
        <v>2361</v>
      </c>
      <c r="G836" s="2" t="s">
        <v>3252</v>
      </c>
      <c r="H836" s="2" t="s">
        <v>3224</v>
      </c>
      <c r="I836" s="35">
        <v>44587</v>
      </c>
      <c r="J836" s="38">
        <v>183</v>
      </c>
      <c r="K836" s="39">
        <v>5.89</v>
      </c>
    </row>
    <row r="837" spans="2:11">
      <c r="B837" s="2">
        <v>4500459360</v>
      </c>
      <c r="C837" s="2">
        <v>507209</v>
      </c>
      <c r="D837" s="2" t="s">
        <v>4385</v>
      </c>
      <c r="F837" s="2" t="s">
        <v>2361</v>
      </c>
      <c r="G837" s="2" t="s">
        <v>3255</v>
      </c>
      <c r="H837" s="2" t="s">
        <v>4394</v>
      </c>
      <c r="I837" s="35">
        <v>44587</v>
      </c>
      <c r="J837" s="38">
        <v>39</v>
      </c>
      <c r="K837" s="39">
        <v>6.11</v>
      </c>
    </row>
    <row r="838" spans="2:11">
      <c r="B838" s="2">
        <v>4500459360</v>
      </c>
      <c r="C838" s="2">
        <v>507209</v>
      </c>
      <c r="D838" s="2" t="s">
        <v>4385</v>
      </c>
      <c r="F838" s="2" t="s">
        <v>2361</v>
      </c>
      <c r="G838" s="2" t="s">
        <v>3255</v>
      </c>
      <c r="H838" s="2" t="s">
        <v>4393</v>
      </c>
      <c r="I838" s="35">
        <v>44587</v>
      </c>
      <c r="J838" s="38">
        <v>99</v>
      </c>
      <c r="K838" s="39">
        <v>6.11</v>
      </c>
    </row>
    <row r="839" spans="2:11">
      <c r="B839" s="2">
        <v>4500459360</v>
      </c>
      <c r="C839" s="2">
        <v>507209</v>
      </c>
      <c r="D839" s="2" t="s">
        <v>4385</v>
      </c>
      <c r="F839" s="2" t="s">
        <v>2361</v>
      </c>
      <c r="G839" s="2" t="s">
        <v>3255</v>
      </c>
      <c r="H839" s="2" t="s">
        <v>4392</v>
      </c>
      <c r="I839" s="35">
        <v>44587</v>
      </c>
      <c r="J839" s="38">
        <v>159</v>
      </c>
      <c r="K839" s="39">
        <v>6.11</v>
      </c>
    </row>
    <row r="840" spans="2:11">
      <c r="B840" s="2">
        <v>4500459360</v>
      </c>
      <c r="C840" s="2">
        <v>507209</v>
      </c>
      <c r="D840" s="2" t="s">
        <v>4385</v>
      </c>
      <c r="F840" s="2" t="s">
        <v>2361</v>
      </c>
      <c r="G840" s="2" t="s">
        <v>3255</v>
      </c>
      <c r="H840" s="2" t="s">
        <v>4395</v>
      </c>
      <c r="I840" s="35">
        <v>44587</v>
      </c>
      <c r="J840" s="38">
        <v>120</v>
      </c>
      <c r="K840" s="39">
        <v>6.11</v>
      </c>
    </row>
    <row r="841" spans="2:11">
      <c r="B841" s="2">
        <v>4500459360</v>
      </c>
      <c r="C841" s="2">
        <v>507209</v>
      </c>
      <c r="D841" s="2" t="s">
        <v>4385</v>
      </c>
      <c r="F841" s="2" t="s">
        <v>2361</v>
      </c>
      <c r="G841" s="2" t="s">
        <v>3255</v>
      </c>
      <c r="H841" s="2" t="s">
        <v>3224</v>
      </c>
      <c r="I841" s="35">
        <v>44587</v>
      </c>
      <c r="J841" s="38">
        <v>81</v>
      </c>
      <c r="K841" s="39">
        <v>6.11</v>
      </c>
    </row>
    <row r="842" spans="2:11">
      <c r="B842" s="2">
        <v>4500459360</v>
      </c>
      <c r="C842" s="2">
        <v>507209</v>
      </c>
      <c r="D842" s="2" t="s">
        <v>4385</v>
      </c>
      <c r="F842" s="2" t="s">
        <v>2361</v>
      </c>
      <c r="G842" s="2" t="s">
        <v>3257</v>
      </c>
      <c r="H842" s="2" t="s">
        <v>4394</v>
      </c>
      <c r="I842" s="35">
        <v>44587</v>
      </c>
      <c r="J842" s="38">
        <v>72</v>
      </c>
      <c r="K842" s="39">
        <v>6.19</v>
      </c>
    </row>
    <row r="843" spans="2:11">
      <c r="B843" s="2">
        <v>4500459360</v>
      </c>
      <c r="C843" s="2">
        <v>507209</v>
      </c>
      <c r="D843" s="2" t="s">
        <v>4385</v>
      </c>
      <c r="F843" s="2" t="s">
        <v>2361</v>
      </c>
      <c r="G843" s="2" t="s">
        <v>3257</v>
      </c>
      <c r="H843" s="2" t="s">
        <v>4393</v>
      </c>
      <c r="I843" s="35">
        <v>44587</v>
      </c>
      <c r="J843" s="38">
        <v>180</v>
      </c>
      <c r="K843" s="39">
        <v>6.19</v>
      </c>
    </row>
    <row r="844" spans="2:11">
      <c r="B844" s="2">
        <v>4500459360</v>
      </c>
      <c r="C844" s="2">
        <v>507209</v>
      </c>
      <c r="D844" s="2" t="s">
        <v>4385</v>
      </c>
      <c r="F844" s="2" t="s">
        <v>2361</v>
      </c>
      <c r="G844" s="2" t="s">
        <v>3257</v>
      </c>
      <c r="H844" s="2" t="s">
        <v>4392</v>
      </c>
      <c r="I844" s="35">
        <v>44587</v>
      </c>
      <c r="J844" s="38">
        <v>288</v>
      </c>
      <c r="K844" s="39">
        <v>6.19</v>
      </c>
    </row>
    <row r="845" spans="2:11">
      <c r="B845" s="2">
        <v>4500459360</v>
      </c>
      <c r="C845" s="2">
        <v>507209</v>
      </c>
      <c r="D845" s="2" t="s">
        <v>4385</v>
      </c>
      <c r="F845" s="2" t="s">
        <v>2361</v>
      </c>
      <c r="G845" s="2" t="s">
        <v>3257</v>
      </c>
      <c r="H845" s="2" t="s">
        <v>4395</v>
      </c>
      <c r="I845" s="35">
        <v>44587</v>
      </c>
      <c r="J845" s="38">
        <v>216</v>
      </c>
      <c r="K845" s="39">
        <v>6.19</v>
      </c>
    </row>
    <row r="846" spans="2:11">
      <c r="B846" s="2">
        <v>4500459360</v>
      </c>
      <c r="C846" s="2">
        <v>507209</v>
      </c>
      <c r="D846" s="2" t="s">
        <v>4385</v>
      </c>
      <c r="F846" s="2" t="s">
        <v>2361</v>
      </c>
      <c r="G846" s="2" t="s">
        <v>3257</v>
      </c>
      <c r="H846" s="2" t="s">
        <v>3224</v>
      </c>
      <c r="I846" s="35">
        <v>44587</v>
      </c>
      <c r="J846" s="38">
        <v>144</v>
      </c>
      <c r="K846" s="39">
        <v>6.19</v>
      </c>
    </row>
    <row r="847" spans="2:11">
      <c r="B847" s="2">
        <v>4500459360</v>
      </c>
      <c r="C847" s="2">
        <v>507209</v>
      </c>
      <c r="D847" s="2" t="s">
        <v>4385</v>
      </c>
      <c r="F847" s="2" t="s">
        <v>2361</v>
      </c>
      <c r="G847" s="2" t="s">
        <v>3258</v>
      </c>
      <c r="H847" s="2" t="s">
        <v>4394</v>
      </c>
      <c r="I847" s="35">
        <v>44587</v>
      </c>
      <c r="J847" s="38">
        <v>84</v>
      </c>
      <c r="K847" s="39">
        <v>6.11</v>
      </c>
    </row>
    <row r="848" spans="2:11">
      <c r="B848" s="2">
        <v>4500459360</v>
      </c>
      <c r="C848" s="2">
        <v>507209</v>
      </c>
      <c r="D848" s="2" t="s">
        <v>4385</v>
      </c>
      <c r="F848" s="2" t="s">
        <v>2361</v>
      </c>
      <c r="G848" s="2" t="s">
        <v>3258</v>
      </c>
      <c r="H848" s="2" t="s">
        <v>4393</v>
      </c>
      <c r="I848" s="35">
        <v>44587</v>
      </c>
      <c r="J848" s="38">
        <v>210</v>
      </c>
      <c r="K848" s="39">
        <v>6.11</v>
      </c>
    </row>
    <row r="849" spans="2:11">
      <c r="B849" s="2">
        <v>4500459360</v>
      </c>
      <c r="C849" s="2">
        <v>507209</v>
      </c>
      <c r="D849" s="2" t="s">
        <v>4385</v>
      </c>
      <c r="F849" s="2" t="s">
        <v>2361</v>
      </c>
      <c r="G849" s="2" t="s">
        <v>3258</v>
      </c>
      <c r="H849" s="2" t="s">
        <v>4392</v>
      </c>
      <c r="I849" s="35">
        <v>44587</v>
      </c>
      <c r="J849" s="38">
        <v>336</v>
      </c>
      <c r="K849" s="39">
        <v>6.11</v>
      </c>
    </row>
    <row r="850" spans="2:11">
      <c r="B850" s="2">
        <v>4500459360</v>
      </c>
      <c r="C850" s="2">
        <v>507209</v>
      </c>
      <c r="D850" s="2" t="s">
        <v>4385</v>
      </c>
      <c r="F850" s="2" t="s">
        <v>2361</v>
      </c>
      <c r="G850" s="2" t="s">
        <v>3258</v>
      </c>
      <c r="H850" s="2" t="s">
        <v>4395</v>
      </c>
      <c r="I850" s="35">
        <v>44587</v>
      </c>
      <c r="J850" s="38">
        <v>252</v>
      </c>
      <c r="K850" s="39">
        <v>6.11</v>
      </c>
    </row>
    <row r="851" spans="2:11">
      <c r="B851" s="2">
        <v>4500459360</v>
      </c>
      <c r="C851" s="2">
        <v>507209</v>
      </c>
      <c r="D851" s="2" t="s">
        <v>4385</v>
      </c>
      <c r="F851" s="2" t="s">
        <v>2361</v>
      </c>
      <c r="G851" s="2" t="s">
        <v>3258</v>
      </c>
      <c r="H851" s="2" t="s">
        <v>3224</v>
      </c>
      <c r="I851" s="35">
        <v>44587</v>
      </c>
      <c r="J851" s="38">
        <v>168</v>
      </c>
      <c r="K851" s="39">
        <v>6.11</v>
      </c>
    </row>
    <row r="852" spans="2:11">
      <c r="B852" s="2">
        <v>4500459360</v>
      </c>
      <c r="C852" s="2">
        <v>507209</v>
      </c>
      <c r="D852" s="2" t="s">
        <v>4385</v>
      </c>
      <c r="F852" s="2" t="s">
        <v>2361</v>
      </c>
      <c r="G852" s="2" t="s">
        <v>3256</v>
      </c>
      <c r="H852" s="2" t="s">
        <v>4394</v>
      </c>
      <c r="I852" s="35">
        <v>44587</v>
      </c>
      <c r="J852" s="38">
        <v>60</v>
      </c>
      <c r="K852" s="39">
        <v>6.19</v>
      </c>
    </row>
    <row r="853" spans="2:11">
      <c r="B853" s="2">
        <v>4500459360</v>
      </c>
      <c r="C853" s="2">
        <v>507209</v>
      </c>
      <c r="D853" s="2" t="s">
        <v>4385</v>
      </c>
      <c r="F853" s="2" t="s">
        <v>2361</v>
      </c>
      <c r="G853" s="2" t="s">
        <v>3256</v>
      </c>
      <c r="H853" s="2" t="s">
        <v>4393</v>
      </c>
      <c r="I853" s="35">
        <v>44587</v>
      </c>
      <c r="J853" s="38">
        <v>150</v>
      </c>
      <c r="K853" s="39">
        <v>6.19</v>
      </c>
    </row>
    <row r="854" spans="2:11">
      <c r="B854" s="2">
        <v>4500459360</v>
      </c>
      <c r="C854" s="2">
        <v>507209</v>
      </c>
      <c r="D854" s="2" t="s">
        <v>4385</v>
      </c>
      <c r="F854" s="2" t="s">
        <v>2361</v>
      </c>
      <c r="G854" s="2" t="s">
        <v>3256</v>
      </c>
      <c r="H854" s="2" t="s">
        <v>4392</v>
      </c>
      <c r="I854" s="35">
        <v>44587</v>
      </c>
      <c r="J854" s="38">
        <v>240</v>
      </c>
      <c r="K854" s="39">
        <v>6.19</v>
      </c>
    </row>
    <row r="855" spans="2:11">
      <c r="B855" s="2">
        <v>4500459360</v>
      </c>
      <c r="C855" s="2">
        <v>507209</v>
      </c>
      <c r="D855" s="2" t="s">
        <v>4385</v>
      </c>
      <c r="F855" s="2" t="s">
        <v>2361</v>
      </c>
      <c r="G855" s="2" t="s">
        <v>3256</v>
      </c>
      <c r="H855" s="2" t="s">
        <v>4395</v>
      </c>
      <c r="I855" s="35">
        <v>44587</v>
      </c>
      <c r="J855" s="38">
        <v>180</v>
      </c>
      <c r="K855" s="39">
        <v>6.19</v>
      </c>
    </row>
    <row r="856" spans="2:11">
      <c r="B856" s="2">
        <v>4500459360</v>
      </c>
      <c r="C856" s="2">
        <v>507209</v>
      </c>
      <c r="D856" s="2" t="s">
        <v>4385</v>
      </c>
      <c r="F856" s="2" t="s">
        <v>2361</v>
      </c>
      <c r="G856" s="2" t="s">
        <v>3256</v>
      </c>
      <c r="H856" s="2" t="s">
        <v>3224</v>
      </c>
      <c r="I856" s="35">
        <v>44587</v>
      </c>
      <c r="J856" s="38">
        <v>120</v>
      </c>
      <c r="K856" s="39">
        <v>6.19</v>
      </c>
    </row>
    <row r="857" spans="2:11">
      <c r="B857" s="2">
        <v>4500459361</v>
      </c>
      <c r="C857" s="2">
        <v>506896</v>
      </c>
      <c r="D857" s="2" t="s">
        <v>4385</v>
      </c>
      <c r="F857" s="2" t="s">
        <v>2361</v>
      </c>
      <c r="G857" s="2" t="s">
        <v>3248</v>
      </c>
      <c r="H857" s="2" t="s">
        <v>4394</v>
      </c>
      <c r="I857" s="35">
        <v>44601</v>
      </c>
      <c r="J857" s="38">
        <v>30</v>
      </c>
      <c r="K857" s="39">
        <v>5.89</v>
      </c>
    </row>
    <row r="858" spans="2:11">
      <c r="B858" s="2">
        <v>4500459361</v>
      </c>
      <c r="C858" s="2">
        <v>506896</v>
      </c>
      <c r="D858" s="2" t="s">
        <v>4385</v>
      </c>
      <c r="F858" s="2" t="s">
        <v>2361</v>
      </c>
      <c r="G858" s="2" t="s">
        <v>3248</v>
      </c>
      <c r="H858" s="2" t="s">
        <v>4393</v>
      </c>
      <c r="I858" s="35">
        <v>44601</v>
      </c>
      <c r="J858" s="38">
        <v>102</v>
      </c>
      <c r="K858" s="39">
        <v>5.89</v>
      </c>
    </row>
    <row r="859" spans="2:11">
      <c r="B859" s="2">
        <v>4500459361</v>
      </c>
      <c r="C859" s="2">
        <v>506896</v>
      </c>
      <c r="D859" s="2" t="s">
        <v>4385</v>
      </c>
      <c r="F859" s="2" t="s">
        <v>2361</v>
      </c>
      <c r="G859" s="2" t="s">
        <v>3248</v>
      </c>
      <c r="H859" s="2" t="s">
        <v>4392</v>
      </c>
      <c r="I859" s="35">
        <v>44601</v>
      </c>
      <c r="J859" s="38">
        <v>177</v>
      </c>
      <c r="K859" s="39">
        <v>5.89</v>
      </c>
    </row>
    <row r="860" spans="2:11">
      <c r="B860" s="2">
        <v>4500459361</v>
      </c>
      <c r="C860" s="2">
        <v>506896</v>
      </c>
      <c r="D860" s="2" t="s">
        <v>4385</v>
      </c>
      <c r="F860" s="2" t="s">
        <v>2361</v>
      </c>
      <c r="G860" s="2" t="s">
        <v>3248</v>
      </c>
      <c r="H860" s="2" t="s">
        <v>4395</v>
      </c>
      <c r="I860" s="35">
        <v>44601</v>
      </c>
      <c r="J860" s="38">
        <v>87</v>
      </c>
      <c r="K860" s="39">
        <v>5.89</v>
      </c>
    </row>
    <row r="861" spans="2:11">
      <c r="B861" s="2">
        <v>4500459361</v>
      </c>
      <c r="C861" s="2">
        <v>506896</v>
      </c>
      <c r="D861" s="2" t="s">
        <v>4385</v>
      </c>
      <c r="F861" s="2" t="s">
        <v>2361</v>
      </c>
      <c r="G861" s="2" t="s">
        <v>3248</v>
      </c>
      <c r="H861" s="2" t="s">
        <v>3224</v>
      </c>
      <c r="I861" s="35">
        <v>44601</v>
      </c>
      <c r="J861" s="38">
        <v>120</v>
      </c>
      <c r="K861" s="39">
        <v>5.89</v>
      </c>
    </row>
    <row r="862" spans="2:11">
      <c r="B862" s="2">
        <v>4500459361</v>
      </c>
      <c r="C862" s="2">
        <v>506896</v>
      </c>
      <c r="D862" s="2" t="s">
        <v>4385</v>
      </c>
      <c r="F862" s="2" t="s">
        <v>2361</v>
      </c>
      <c r="G862" s="2" t="s">
        <v>3252</v>
      </c>
      <c r="H862" s="2" t="s">
        <v>4394</v>
      </c>
      <c r="I862" s="35">
        <v>44601</v>
      </c>
      <c r="J862" s="38">
        <v>99</v>
      </c>
      <c r="K862" s="39">
        <v>5.89</v>
      </c>
    </row>
    <row r="863" spans="2:11">
      <c r="B863" s="2">
        <v>4500459361</v>
      </c>
      <c r="C863" s="2">
        <v>506896</v>
      </c>
      <c r="D863" s="2" t="s">
        <v>4385</v>
      </c>
      <c r="F863" s="2" t="s">
        <v>2361</v>
      </c>
      <c r="G863" s="2" t="s">
        <v>3252</v>
      </c>
      <c r="H863" s="2" t="s">
        <v>4393</v>
      </c>
      <c r="I863" s="35">
        <v>44601</v>
      </c>
      <c r="J863" s="38">
        <v>276</v>
      </c>
      <c r="K863" s="39">
        <v>5.89</v>
      </c>
    </row>
    <row r="864" spans="2:11">
      <c r="B864" s="2">
        <v>4500459361</v>
      </c>
      <c r="C864" s="2">
        <v>506896</v>
      </c>
      <c r="D864" s="2" t="s">
        <v>4385</v>
      </c>
      <c r="F864" s="2" t="s">
        <v>2361</v>
      </c>
      <c r="G864" s="2" t="s">
        <v>3252</v>
      </c>
      <c r="H864" s="2" t="s">
        <v>4392</v>
      </c>
      <c r="I864" s="35">
        <v>44601</v>
      </c>
      <c r="J864" s="38">
        <v>453</v>
      </c>
      <c r="K864" s="39">
        <v>5.89</v>
      </c>
    </row>
    <row r="865" spans="2:11">
      <c r="B865" s="2">
        <v>4500459361</v>
      </c>
      <c r="C865" s="2">
        <v>506896</v>
      </c>
      <c r="D865" s="2" t="s">
        <v>4385</v>
      </c>
      <c r="F865" s="2" t="s">
        <v>2361</v>
      </c>
      <c r="G865" s="2" t="s">
        <v>3252</v>
      </c>
      <c r="H865" s="2" t="s">
        <v>4395</v>
      </c>
      <c r="I865" s="35">
        <v>44601</v>
      </c>
      <c r="J865" s="38">
        <v>294</v>
      </c>
      <c r="K865" s="39">
        <v>5.89</v>
      </c>
    </row>
    <row r="866" spans="2:11">
      <c r="B866" s="2">
        <v>4500459361</v>
      </c>
      <c r="C866" s="2">
        <v>506896</v>
      </c>
      <c r="D866" s="2" t="s">
        <v>4385</v>
      </c>
      <c r="F866" s="2" t="s">
        <v>2361</v>
      </c>
      <c r="G866" s="2" t="s">
        <v>3252</v>
      </c>
      <c r="H866" s="2" t="s">
        <v>3224</v>
      </c>
      <c r="I866" s="35">
        <v>44601</v>
      </c>
      <c r="J866" s="38">
        <v>255</v>
      </c>
      <c r="K866" s="39">
        <v>5.89</v>
      </c>
    </row>
    <row r="867" spans="2:11">
      <c r="B867" s="2">
        <v>4500459361</v>
      </c>
      <c r="C867" s="2">
        <v>507209</v>
      </c>
      <c r="D867" s="2" t="s">
        <v>4385</v>
      </c>
      <c r="F867" s="2" t="s">
        <v>2361</v>
      </c>
      <c r="G867" s="2" t="s">
        <v>3255</v>
      </c>
      <c r="H867" s="2" t="s">
        <v>4394</v>
      </c>
      <c r="I867" s="35">
        <v>44601</v>
      </c>
      <c r="J867" s="38">
        <v>9</v>
      </c>
      <c r="K867" s="39">
        <v>6.11</v>
      </c>
    </row>
    <row r="868" spans="2:11">
      <c r="B868" s="2">
        <v>4500459361</v>
      </c>
      <c r="C868" s="2">
        <v>507209</v>
      </c>
      <c r="D868" s="2" t="s">
        <v>4385</v>
      </c>
      <c r="F868" s="2" t="s">
        <v>2361</v>
      </c>
      <c r="G868" s="2" t="s">
        <v>3255</v>
      </c>
      <c r="H868" s="2" t="s">
        <v>4393</v>
      </c>
      <c r="I868" s="35">
        <v>44601</v>
      </c>
      <c r="J868" s="38">
        <v>51</v>
      </c>
      <c r="K868" s="39">
        <v>6.11</v>
      </c>
    </row>
    <row r="869" spans="2:11">
      <c r="B869" s="2">
        <v>4500459361</v>
      </c>
      <c r="C869" s="2">
        <v>507209</v>
      </c>
      <c r="D869" s="2" t="s">
        <v>4385</v>
      </c>
      <c r="F869" s="2" t="s">
        <v>2361</v>
      </c>
      <c r="G869" s="2" t="s">
        <v>3255</v>
      </c>
      <c r="H869" s="2" t="s">
        <v>4392</v>
      </c>
      <c r="I869" s="35">
        <v>44601</v>
      </c>
      <c r="J869" s="38">
        <v>96</v>
      </c>
      <c r="K869" s="39">
        <v>6.11</v>
      </c>
    </row>
    <row r="870" spans="2:11">
      <c r="B870" s="2">
        <v>4500459361</v>
      </c>
      <c r="C870" s="2">
        <v>507209</v>
      </c>
      <c r="D870" s="2" t="s">
        <v>4385</v>
      </c>
      <c r="F870" s="2" t="s">
        <v>2361</v>
      </c>
      <c r="G870" s="2" t="s">
        <v>3255</v>
      </c>
      <c r="H870" s="2" t="s">
        <v>4395</v>
      </c>
      <c r="I870" s="35">
        <v>44601</v>
      </c>
      <c r="J870" s="38">
        <v>27</v>
      </c>
      <c r="K870" s="39">
        <v>6.11</v>
      </c>
    </row>
    <row r="871" spans="2:11">
      <c r="B871" s="2">
        <v>4500459361</v>
      </c>
      <c r="C871" s="2">
        <v>507209</v>
      </c>
      <c r="D871" s="2" t="s">
        <v>4385</v>
      </c>
      <c r="F871" s="2" t="s">
        <v>2361</v>
      </c>
      <c r="G871" s="2" t="s">
        <v>3255</v>
      </c>
      <c r="H871" s="2" t="s">
        <v>3224</v>
      </c>
      <c r="I871" s="35">
        <v>44601</v>
      </c>
      <c r="J871" s="38">
        <v>78</v>
      </c>
      <c r="K871" s="39">
        <v>6.11</v>
      </c>
    </row>
    <row r="872" spans="2:11">
      <c r="B872" s="2">
        <v>4500459361</v>
      </c>
      <c r="C872" s="2">
        <v>507209</v>
      </c>
      <c r="D872" s="2" t="s">
        <v>4385</v>
      </c>
      <c r="F872" s="2" t="s">
        <v>2361</v>
      </c>
      <c r="G872" s="2" t="s">
        <v>3257</v>
      </c>
      <c r="H872" s="2" t="s">
        <v>4394</v>
      </c>
      <c r="I872" s="35">
        <v>44601</v>
      </c>
      <c r="J872" s="38">
        <v>63</v>
      </c>
      <c r="K872" s="39">
        <v>6.19</v>
      </c>
    </row>
    <row r="873" spans="2:11">
      <c r="B873" s="2">
        <v>4500459361</v>
      </c>
      <c r="C873" s="2">
        <v>507209</v>
      </c>
      <c r="D873" s="2" t="s">
        <v>4385</v>
      </c>
      <c r="F873" s="2" t="s">
        <v>2361</v>
      </c>
      <c r="G873" s="2" t="s">
        <v>3257</v>
      </c>
      <c r="H873" s="2" t="s">
        <v>4393</v>
      </c>
      <c r="I873" s="35">
        <v>44601</v>
      </c>
      <c r="J873" s="38">
        <v>189</v>
      </c>
      <c r="K873" s="39">
        <v>6.19</v>
      </c>
    </row>
    <row r="874" spans="2:11">
      <c r="B874" s="2">
        <v>4500459361</v>
      </c>
      <c r="C874" s="2">
        <v>507209</v>
      </c>
      <c r="D874" s="2" t="s">
        <v>4385</v>
      </c>
      <c r="F874" s="2" t="s">
        <v>2361</v>
      </c>
      <c r="G874" s="2" t="s">
        <v>3257</v>
      </c>
      <c r="H874" s="2" t="s">
        <v>4392</v>
      </c>
      <c r="I874" s="35">
        <v>44601</v>
      </c>
      <c r="J874" s="38">
        <v>315</v>
      </c>
      <c r="K874" s="39">
        <v>6.19</v>
      </c>
    </row>
    <row r="875" spans="2:11">
      <c r="B875" s="2">
        <v>4500459361</v>
      </c>
      <c r="C875" s="2">
        <v>507209</v>
      </c>
      <c r="D875" s="2" t="s">
        <v>4385</v>
      </c>
      <c r="F875" s="2" t="s">
        <v>2361</v>
      </c>
      <c r="G875" s="2" t="s">
        <v>3257</v>
      </c>
      <c r="H875" s="2" t="s">
        <v>4395</v>
      </c>
      <c r="I875" s="35">
        <v>44601</v>
      </c>
      <c r="J875" s="38">
        <v>192</v>
      </c>
      <c r="K875" s="39">
        <v>6.19</v>
      </c>
    </row>
    <row r="876" spans="2:11">
      <c r="B876" s="2">
        <v>4500459361</v>
      </c>
      <c r="C876" s="2">
        <v>507209</v>
      </c>
      <c r="D876" s="2" t="s">
        <v>4385</v>
      </c>
      <c r="F876" s="2" t="s">
        <v>2361</v>
      </c>
      <c r="G876" s="2" t="s">
        <v>3257</v>
      </c>
      <c r="H876" s="2" t="s">
        <v>3224</v>
      </c>
      <c r="I876" s="35">
        <v>44601</v>
      </c>
      <c r="J876" s="38">
        <v>189</v>
      </c>
      <c r="K876" s="39">
        <v>6.19</v>
      </c>
    </row>
    <row r="877" spans="2:11">
      <c r="B877" s="2">
        <v>4500459361</v>
      </c>
      <c r="C877" s="2">
        <v>507209</v>
      </c>
      <c r="D877" s="2" t="s">
        <v>4385</v>
      </c>
      <c r="F877" s="2" t="s">
        <v>2361</v>
      </c>
      <c r="G877" s="2" t="s">
        <v>3258</v>
      </c>
      <c r="H877" s="2" t="s">
        <v>4394</v>
      </c>
      <c r="I877" s="35">
        <v>44601</v>
      </c>
      <c r="J877" s="38">
        <v>84</v>
      </c>
      <c r="K877" s="39">
        <v>6.11</v>
      </c>
    </row>
    <row r="878" spans="2:11">
      <c r="B878" s="2">
        <v>4500459361</v>
      </c>
      <c r="C878" s="2">
        <v>507209</v>
      </c>
      <c r="D878" s="2" t="s">
        <v>4385</v>
      </c>
      <c r="F878" s="2" t="s">
        <v>2361</v>
      </c>
      <c r="G878" s="2" t="s">
        <v>3258</v>
      </c>
      <c r="H878" s="2" t="s">
        <v>4393</v>
      </c>
      <c r="I878" s="35">
        <v>44601</v>
      </c>
      <c r="J878" s="38">
        <v>240</v>
      </c>
      <c r="K878" s="39">
        <v>6.11</v>
      </c>
    </row>
    <row r="879" spans="2:11">
      <c r="B879" s="2">
        <v>4500459361</v>
      </c>
      <c r="C879" s="2">
        <v>507209</v>
      </c>
      <c r="D879" s="2" t="s">
        <v>4385</v>
      </c>
      <c r="F879" s="2" t="s">
        <v>2361</v>
      </c>
      <c r="G879" s="2" t="s">
        <v>3258</v>
      </c>
      <c r="H879" s="2" t="s">
        <v>4392</v>
      </c>
      <c r="I879" s="35">
        <v>44601</v>
      </c>
      <c r="J879" s="38">
        <v>396</v>
      </c>
      <c r="K879" s="39">
        <v>6.11</v>
      </c>
    </row>
    <row r="880" spans="2:11">
      <c r="B880" s="2">
        <v>4500459361</v>
      </c>
      <c r="C880" s="2">
        <v>507209</v>
      </c>
      <c r="D880" s="2" t="s">
        <v>4385</v>
      </c>
      <c r="F880" s="2" t="s">
        <v>2361</v>
      </c>
      <c r="G880" s="2" t="s">
        <v>3258</v>
      </c>
      <c r="H880" s="2" t="s">
        <v>4395</v>
      </c>
      <c r="I880" s="35">
        <v>44601</v>
      </c>
      <c r="J880" s="38">
        <v>252</v>
      </c>
      <c r="K880" s="39">
        <v>6.11</v>
      </c>
    </row>
    <row r="881" spans="2:11">
      <c r="B881" s="2">
        <v>4500459361</v>
      </c>
      <c r="C881" s="2">
        <v>507209</v>
      </c>
      <c r="D881" s="2" t="s">
        <v>4385</v>
      </c>
      <c r="F881" s="2" t="s">
        <v>2361</v>
      </c>
      <c r="G881" s="2" t="s">
        <v>3258</v>
      </c>
      <c r="H881" s="2" t="s">
        <v>3224</v>
      </c>
      <c r="I881" s="35">
        <v>44601</v>
      </c>
      <c r="J881" s="38">
        <v>228</v>
      </c>
      <c r="K881" s="39">
        <v>6.11</v>
      </c>
    </row>
    <row r="882" spans="2:11">
      <c r="B882" s="2">
        <v>4500459361</v>
      </c>
      <c r="C882" s="2">
        <v>507209</v>
      </c>
      <c r="D882" s="2" t="s">
        <v>4385</v>
      </c>
      <c r="F882" s="2" t="s">
        <v>2361</v>
      </c>
      <c r="G882" s="2" t="s">
        <v>3256</v>
      </c>
      <c r="H882" s="2" t="s">
        <v>4394</v>
      </c>
      <c r="I882" s="35">
        <v>44601</v>
      </c>
      <c r="J882" s="38">
        <v>42</v>
      </c>
      <c r="K882" s="39">
        <v>6.19</v>
      </c>
    </row>
    <row r="883" spans="2:11">
      <c r="B883" s="2">
        <v>4500459361</v>
      </c>
      <c r="C883" s="2">
        <v>507209</v>
      </c>
      <c r="D883" s="2" t="s">
        <v>4385</v>
      </c>
      <c r="F883" s="2" t="s">
        <v>2361</v>
      </c>
      <c r="G883" s="2" t="s">
        <v>3256</v>
      </c>
      <c r="H883" s="2" t="s">
        <v>4393</v>
      </c>
      <c r="I883" s="35">
        <v>44601</v>
      </c>
      <c r="J883" s="38">
        <v>138</v>
      </c>
      <c r="K883" s="39">
        <v>6.19</v>
      </c>
    </row>
    <row r="884" spans="2:11">
      <c r="B884" s="2">
        <v>4500459361</v>
      </c>
      <c r="C884" s="2">
        <v>507209</v>
      </c>
      <c r="D884" s="2" t="s">
        <v>4385</v>
      </c>
      <c r="F884" s="2" t="s">
        <v>2361</v>
      </c>
      <c r="G884" s="2" t="s">
        <v>3256</v>
      </c>
      <c r="H884" s="2" t="s">
        <v>4392</v>
      </c>
      <c r="I884" s="35">
        <v>44601</v>
      </c>
      <c r="J884" s="38">
        <v>234</v>
      </c>
      <c r="K884" s="39">
        <v>6.19</v>
      </c>
    </row>
    <row r="885" spans="2:11">
      <c r="B885" s="2">
        <v>4500459361</v>
      </c>
      <c r="C885" s="2">
        <v>507209</v>
      </c>
      <c r="D885" s="2" t="s">
        <v>4385</v>
      </c>
      <c r="F885" s="2" t="s">
        <v>2361</v>
      </c>
      <c r="G885" s="2" t="s">
        <v>3256</v>
      </c>
      <c r="H885" s="2" t="s">
        <v>4395</v>
      </c>
      <c r="I885" s="35">
        <v>44601</v>
      </c>
      <c r="J885" s="38">
        <v>129</v>
      </c>
      <c r="K885" s="39">
        <v>6.19</v>
      </c>
    </row>
    <row r="886" spans="2:11">
      <c r="B886" s="2">
        <v>4500459361</v>
      </c>
      <c r="C886" s="2">
        <v>507209</v>
      </c>
      <c r="D886" s="2" t="s">
        <v>4385</v>
      </c>
      <c r="F886" s="2" t="s">
        <v>2361</v>
      </c>
      <c r="G886" s="2" t="s">
        <v>3256</v>
      </c>
      <c r="H886" s="2" t="s">
        <v>3224</v>
      </c>
      <c r="I886" s="35">
        <v>44601</v>
      </c>
      <c r="J886" s="38">
        <v>147</v>
      </c>
      <c r="K886" s="39">
        <v>6.19</v>
      </c>
    </row>
    <row r="887" spans="2:11">
      <c r="B887" s="2">
        <v>4500459357</v>
      </c>
      <c r="C887" s="2">
        <v>507209</v>
      </c>
      <c r="D887" s="2" t="s">
        <v>4385</v>
      </c>
      <c r="F887" s="2" t="s">
        <v>2361</v>
      </c>
      <c r="G887" s="2" t="s">
        <v>3257</v>
      </c>
      <c r="H887" s="2" t="s">
        <v>4394</v>
      </c>
      <c r="I887" s="35">
        <v>44615</v>
      </c>
      <c r="J887" s="38">
        <v>181</v>
      </c>
      <c r="K887" s="39">
        <v>5.9</v>
      </c>
    </row>
    <row r="888" spans="2:11">
      <c r="B888" s="2">
        <v>4500459357</v>
      </c>
      <c r="C888" s="2">
        <v>507209</v>
      </c>
      <c r="D888" s="2" t="s">
        <v>4385</v>
      </c>
      <c r="F888" s="2" t="s">
        <v>2361</v>
      </c>
      <c r="G888" s="2" t="s">
        <v>3257</v>
      </c>
      <c r="H888" s="2" t="s">
        <v>4393</v>
      </c>
      <c r="I888" s="35">
        <v>44615</v>
      </c>
      <c r="J888" s="38">
        <v>549</v>
      </c>
      <c r="K888" s="39">
        <v>5.9</v>
      </c>
    </row>
    <row r="889" spans="2:11">
      <c r="B889" s="2">
        <v>4500459357</v>
      </c>
      <c r="C889" s="2">
        <v>507209</v>
      </c>
      <c r="D889" s="2" t="s">
        <v>4385</v>
      </c>
      <c r="F889" s="2" t="s">
        <v>2361</v>
      </c>
      <c r="G889" s="2" t="s">
        <v>3257</v>
      </c>
      <c r="H889" s="2" t="s">
        <v>4392</v>
      </c>
      <c r="I889" s="35">
        <v>44615</v>
      </c>
      <c r="J889" s="38">
        <v>664</v>
      </c>
      <c r="K889" s="39">
        <v>5.9</v>
      </c>
    </row>
    <row r="890" spans="2:11">
      <c r="B890" s="2">
        <v>4500459357</v>
      </c>
      <c r="C890" s="2">
        <v>507209</v>
      </c>
      <c r="D890" s="2" t="s">
        <v>4385</v>
      </c>
      <c r="F890" s="2" t="s">
        <v>2361</v>
      </c>
      <c r="G890" s="2" t="s">
        <v>3257</v>
      </c>
      <c r="H890" s="2" t="s">
        <v>4395</v>
      </c>
      <c r="I890" s="35">
        <v>44615</v>
      </c>
      <c r="J890" s="38">
        <v>376</v>
      </c>
      <c r="K890" s="39">
        <v>5.9</v>
      </c>
    </row>
    <row r="891" spans="2:11">
      <c r="B891" s="2">
        <v>4500459357</v>
      </c>
      <c r="C891" s="2">
        <v>507209</v>
      </c>
      <c r="D891" s="2" t="s">
        <v>4385</v>
      </c>
      <c r="F891" s="2" t="s">
        <v>2361</v>
      </c>
      <c r="G891" s="2" t="s">
        <v>3257</v>
      </c>
      <c r="H891" s="2" t="s">
        <v>3224</v>
      </c>
      <c r="I891" s="35">
        <v>44615</v>
      </c>
      <c r="J891" s="38">
        <v>133</v>
      </c>
      <c r="K891" s="39">
        <v>5.9</v>
      </c>
    </row>
    <row r="892" spans="2:11">
      <c r="B892" s="2">
        <v>4500459357</v>
      </c>
      <c r="C892" s="2">
        <v>507209</v>
      </c>
      <c r="D892" s="2" t="s">
        <v>4385</v>
      </c>
      <c r="F892" s="2" t="s">
        <v>2361</v>
      </c>
      <c r="G892" s="2" t="s">
        <v>4398</v>
      </c>
      <c r="H892" s="2" t="s">
        <v>4394</v>
      </c>
      <c r="I892" s="35">
        <v>44615</v>
      </c>
      <c r="J892" s="38">
        <v>168</v>
      </c>
      <c r="K892" s="39">
        <v>6.05</v>
      </c>
    </row>
    <row r="893" spans="2:11">
      <c r="B893" s="2">
        <v>4500459357</v>
      </c>
      <c r="C893" s="2">
        <v>507209</v>
      </c>
      <c r="D893" s="2" t="s">
        <v>4385</v>
      </c>
      <c r="F893" s="2" t="s">
        <v>2361</v>
      </c>
      <c r="G893" s="2" t="s">
        <v>4398</v>
      </c>
      <c r="H893" s="2" t="s">
        <v>4393</v>
      </c>
      <c r="I893" s="35">
        <v>44615</v>
      </c>
      <c r="J893" s="38">
        <v>512</v>
      </c>
      <c r="K893" s="39">
        <v>6.05</v>
      </c>
    </row>
    <row r="894" spans="2:11">
      <c r="B894" s="2">
        <v>4500459357</v>
      </c>
      <c r="C894" s="2">
        <v>507209</v>
      </c>
      <c r="D894" s="2" t="s">
        <v>4385</v>
      </c>
      <c r="F894" s="2" t="s">
        <v>2361</v>
      </c>
      <c r="G894" s="2" t="s">
        <v>4398</v>
      </c>
      <c r="H894" s="2" t="s">
        <v>4392</v>
      </c>
      <c r="I894" s="35">
        <v>44615</v>
      </c>
      <c r="J894" s="38">
        <v>620</v>
      </c>
      <c r="K894" s="39">
        <v>6.05</v>
      </c>
    </row>
    <row r="895" spans="2:11">
      <c r="B895" s="2">
        <v>4500459357</v>
      </c>
      <c r="C895" s="2">
        <v>507209</v>
      </c>
      <c r="D895" s="2" t="s">
        <v>4385</v>
      </c>
      <c r="F895" s="2" t="s">
        <v>2361</v>
      </c>
      <c r="G895" s="2" t="s">
        <v>4398</v>
      </c>
      <c r="H895" s="2" t="s">
        <v>4395</v>
      </c>
      <c r="I895" s="35">
        <v>44615</v>
      </c>
      <c r="J895" s="38">
        <v>349</v>
      </c>
      <c r="K895" s="39">
        <v>6.05</v>
      </c>
    </row>
    <row r="896" spans="2:11">
      <c r="B896" s="2">
        <v>4500459357</v>
      </c>
      <c r="C896" s="2">
        <v>507209</v>
      </c>
      <c r="D896" s="2" t="s">
        <v>4385</v>
      </c>
      <c r="F896" s="2" t="s">
        <v>2361</v>
      </c>
      <c r="G896" s="2" t="s">
        <v>4398</v>
      </c>
      <c r="H896" s="2" t="s">
        <v>3224</v>
      </c>
      <c r="I896" s="35">
        <v>44615</v>
      </c>
      <c r="J896" s="38">
        <v>122</v>
      </c>
      <c r="K896" s="39">
        <v>6.05</v>
      </c>
    </row>
    <row r="897" spans="2:11">
      <c r="B897" s="2">
        <v>4500459357</v>
      </c>
      <c r="C897" s="2">
        <v>507209</v>
      </c>
      <c r="D897" s="2" t="s">
        <v>4385</v>
      </c>
      <c r="F897" s="2" t="s">
        <v>2361</v>
      </c>
      <c r="G897" s="2" t="s">
        <v>4400</v>
      </c>
      <c r="H897" s="2" t="s">
        <v>4394</v>
      </c>
      <c r="I897" s="35">
        <v>44615</v>
      </c>
      <c r="J897" s="38">
        <v>162</v>
      </c>
      <c r="K897" s="39">
        <v>8</v>
      </c>
    </row>
    <row r="898" spans="2:11">
      <c r="B898" s="2">
        <v>4500459357</v>
      </c>
      <c r="C898" s="2">
        <v>507209</v>
      </c>
      <c r="D898" s="2" t="s">
        <v>4385</v>
      </c>
      <c r="F898" s="2" t="s">
        <v>2361</v>
      </c>
      <c r="G898" s="2" t="s">
        <v>4400</v>
      </c>
      <c r="H898" s="2" t="s">
        <v>4393</v>
      </c>
      <c r="I898" s="35">
        <v>44615</v>
      </c>
      <c r="J898" s="38">
        <v>491</v>
      </c>
      <c r="K898" s="39">
        <v>8</v>
      </c>
    </row>
    <row r="899" spans="2:11">
      <c r="B899" s="2">
        <v>4500459357</v>
      </c>
      <c r="C899" s="2">
        <v>507209</v>
      </c>
      <c r="D899" s="2" t="s">
        <v>4385</v>
      </c>
      <c r="F899" s="2" t="s">
        <v>2361</v>
      </c>
      <c r="G899" s="2" t="s">
        <v>4400</v>
      </c>
      <c r="H899" s="2" t="s">
        <v>4392</v>
      </c>
      <c r="I899" s="35">
        <v>44615</v>
      </c>
      <c r="J899" s="38">
        <v>595</v>
      </c>
      <c r="K899" s="39">
        <v>8</v>
      </c>
    </row>
    <row r="900" spans="2:11">
      <c r="B900" s="2">
        <v>4500459357</v>
      </c>
      <c r="C900" s="2">
        <v>507209</v>
      </c>
      <c r="D900" s="2" t="s">
        <v>4385</v>
      </c>
      <c r="F900" s="2" t="s">
        <v>2361</v>
      </c>
      <c r="G900" s="2" t="s">
        <v>4400</v>
      </c>
      <c r="H900" s="2" t="s">
        <v>4395</v>
      </c>
      <c r="I900" s="35">
        <v>44615</v>
      </c>
      <c r="J900" s="38">
        <v>335</v>
      </c>
      <c r="K900" s="39">
        <v>8</v>
      </c>
    </row>
    <row r="901" spans="2:11">
      <c r="B901" s="2">
        <v>4500459357</v>
      </c>
      <c r="C901" s="2">
        <v>507209</v>
      </c>
      <c r="D901" s="2" t="s">
        <v>4385</v>
      </c>
      <c r="F901" s="2" t="s">
        <v>2361</v>
      </c>
      <c r="G901" s="2" t="s">
        <v>4400</v>
      </c>
      <c r="H901" s="2" t="s">
        <v>3224</v>
      </c>
      <c r="I901" s="35">
        <v>44615</v>
      </c>
      <c r="J901" s="38">
        <v>117</v>
      </c>
      <c r="K901" s="39">
        <v>8</v>
      </c>
    </row>
    <row r="902" spans="2:11">
      <c r="B902" s="2">
        <v>4500459364</v>
      </c>
      <c r="C902" s="2">
        <v>506896</v>
      </c>
      <c r="D902" s="2" t="s">
        <v>4385</v>
      </c>
      <c r="F902" s="2" t="s">
        <v>2361</v>
      </c>
      <c r="G902" s="2" t="s">
        <v>3248</v>
      </c>
      <c r="H902" s="2" t="s">
        <v>4394</v>
      </c>
      <c r="I902" s="35">
        <v>44629</v>
      </c>
      <c r="J902" s="38">
        <v>32</v>
      </c>
      <c r="K902" s="39">
        <v>5.89</v>
      </c>
    </row>
    <row r="903" spans="2:11">
      <c r="B903" s="2">
        <v>4500459364</v>
      </c>
      <c r="C903" s="2">
        <v>506896</v>
      </c>
      <c r="D903" s="2" t="s">
        <v>4385</v>
      </c>
      <c r="F903" s="2" t="s">
        <v>2361</v>
      </c>
      <c r="G903" s="2" t="s">
        <v>3248</v>
      </c>
      <c r="H903" s="2" t="s">
        <v>4393</v>
      </c>
      <c r="I903" s="35">
        <v>44629</v>
      </c>
      <c r="J903" s="38">
        <v>78</v>
      </c>
      <c r="K903" s="39">
        <v>5.89</v>
      </c>
    </row>
    <row r="904" spans="2:11">
      <c r="B904" s="2">
        <v>4500459364</v>
      </c>
      <c r="C904" s="2">
        <v>506896</v>
      </c>
      <c r="D904" s="2" t="s">
        <v>4385</v>
      </c>
      <c r="F904" s="2" t="s">
        <v>2361</v>
      </c>
      <c r="G904" s="2" t="s">
        <v>3248</v>
      </c>
      <c r="H904" s="2" t="s">
        <v>4392</v>
      </c>
      <c r="I904" s="35">
        <v>44629</v>
      </c>
      <c r="J904" s="38">
        <v>123</v>
      </c>
      <c r="K904" s="39">
        <v>5.89</v>
      </c>
    </row>
    <row r="905" spans="2:11">
      <c r="B905" s="2">
        <v>4500459364</v>
      </c>
      <c r="C905" s="2">
        <v>506896</v>
      </c>
      <c r="D905" s="2" t="s">
        <v>4385</v>
      </c>
      <c r="F905" s="2" t="s">
        <v>2361</v>
      </c>
      <c r="G905" s="2" t="s">
        <v>3248</v>
      </c>
      <c r="H905" s="2" t="s">
        <v>4395</v>
      </c>
      <c r="I905" s="35">
        <v>44629</v>
      </c>
      <c r="J905" s="38">
        <v>93</v>
      </c>
      <c r="K905" s="39">
        <v>5.89</v>
      </c>
    </row>
    <row r="906" spans="2:11">
      <c r="B906" s="2">
        <v>4500459364</v>
      </c>
      <c r="C906" s="2">
        <v>506896</v>
      </c>
      <c r="D906" s="2" t="s">
        <v>4385</v>
      </c>
      <c r="F906" s="2" t="s">
        <v>2361</v>
      </c>
      <c r="G906" s="2" t="s">
        <v>3248</v>
      </c>
      <c r="H906" s="2" t="s">
        <v>3224</v>
      </c>
      <c r="I906" s="35">
        <v>44629</v>
      </c>
      <c r="J906" s="38">
        <v>63</v>
      </c>
      <c r="K906" s="39">
        <v>5.89</v>
      </c>
    </row>
    <row r="907" spans="2:11">
      <c r="B907" s="2">
        <v>4500459364</v>
      </c>
      <c r="C907" s="2">
        <v>506896</v>
      </c>
      <c r="D907" s="2" t="s">
        <v>4385</v>
      </c>
      <c r="F907" s="2" t="s">
        <v>2361</v>
      </c>
      <c r="G907" s="2" t="s">
        <v>3252</v>
      </c>
      <c r="H907" s="2" t="s">
        <v>4394</v>
      </c>
      <c r="I907" s="35">
        <v>44629</v>
      </c>
      <c r="J907" s="38">
        <v>54</v>
      </c>
      <c r="K907" s="39">
        <v>5.89</v>
      </c>
    </row>
    <row r="908" spans="2:11">
      <c r="B908" s="2">
        <v>4500459364</v>
      </c>
      <c r="C908" s="2">
        <v>506896</v>
      </c>
      <c r="D908" s="2" t="s">
        <v>4385</v>
      </c>
      <c r="F908" s="2" t="s">
        <v>2361</v>
      </c>
      <c r="G908" s="2" t="s">
        <v>3252</v>
      </c>
      <c r="H908" s="2" t="s">
        <v>4393</v>
      </c>
      <c r="I908" s="35">
        <v>44629</v>
      </c>
      <c r="J908" s="38">
        <v>138</v>
      </c>
      <c r="K908" s="39">
        <v>5.89</v>
      </c>
    </row>
    <row r="909" spans="2:11">
      <c r="B909" s="2">
        <v>4500459364</v>
      </c>
      <c r="C909" s="2">
        <v>506896</v>
      </c>
      <c r="D909" s="2" t="s">
        <v>4385</v>
      </c>
      <c r="F909" s="2" t="s">
        <v>2361</v>
      </c>
      <c r="G909" s="2" t="s">
        <v>3252</v>
      </c>
      <c r="H909" s="2" t="s">
        <v>4392</v>
      </c>
      <c r="I909" s="35">
        <v>44629</v>
      </c>
      <c r="J909" s="38">
        <v>219</v>
      </c>
      <c r="K909" s="39">
        <v>5.89</v>
      </c>
    </row>
    <row r="910" spans="2:11">
      <c r="B910" s="2">
        <v>4500459364</v>
      </c>
      <c r="C910" s="2">
        <v>506896</v>
      </c>
      <c r="D910" s="2" t="s">
        <v>4385</v>
      </c>
      <c r="F910" s="2" t="s">
        <v>2361</v>
      </c>
      <c r="G910" s="2" t="s">
        <v>3252</v>
      </c>
      <c r="H910" s="2" t="s">
        <v>4395</v>
      </c>
      <c r="I910" s="35">
        <v>44629</v>
      </c>
      <c r="J910" s="38">
        <v>165</v>
      </c>
      <c r="K910" s="39">
        <v>5.89</v>
      </c>
    </row>
    <row r="911" spans="2:11">
      <c r="B911" s="2">
        <v>4500459364</v>
      </c>
      <c r="C911" s="2">
        <v>506896</v>
      </c>
      <c r="D911" s="2" t="s">
        <v>4385</v>
      </c>
      <c r="F911" s="2" t="s">
        <v>2361</v>
      </c>
      <c r="G911" s="2" t="s">
        <v>3252</v>
      </c>
      <c r="H911" s="2" t="s">
        <v>3224</v>
      </c>
      <c r="I911" s="35">
        <v>44629</v>
      </c>
      <c r="J911" s="38">
        <v>111</v>
      </c>
      <c r="K911" s="39">
        <v>5.89</v>
      </c>
    </row>
    <row r="912" spans="2:11">
      <c r="B912" s="2">
        <v>4500459364</v>
      </c>
      <c r="C912" s="2">
        <v>507209</v>
      </c>
      <c r="D912" s="2" t="s">
        <v>4385</v>
      </c>
      <c r="F912" s="2" t="s">
        <v>2361</v>
      </c>
      <c r="G912" s="2" t="s">
        <v>3255</v>
      </c>
      <c r="H912" s="2" t="s">
        <v>4394</v>
      </c>
      <c r="I912" s="35">
        <v>44629</v>
      </c>
      <c r="J912" s="38">
        <v>24</v>
      </c>
      <c r="K912" s="39">
        <v>6.11</v>
      </c>
    </row>
    <row r="913" spans="2:11">
      <c r="B913" s="2">
        <v>4500459364</v>
      </c>
      <c r="C913" s="2">
        <v>507209</v>
      </c>
      <c r="D913" s="2" t="s">
        <v>4385</v>
      </c>
      <c r="F913" s="2" t="s">
        <v>2361</v>
      </c>
      <c r="G913" s="2" t="s">
        <v>3255</v>
      </c>
      <c r="H913" s="2" t="s">
        <v>4393</v>
      </c>
      <c r="I913" s="35">
        <v>44629</v>
      </c>
      <c r="J913" s="38">
        <v>60</v>
      </c>
      <c r="K913" s="39">
        <v>6.11</v>
      </c>
    </row>
    <row r="914" spans="2:11">
      <c r="B914" s="2">
        <v>4500459364</v>
      </c>
      <c r="C914" s="2">
        <v>507209</v>
      </c>
      <c r="D914" s="2" t="s">
        <v>4385</v>
      </c>
      <c r="F914" s="2" t="s">
        <v>2361</v>
      </c>
      <c r="G914" s="2" t="s">
        <v>3255</v>
      </c>
      <c r="H914" s="2" t="s">
        <v>4392</v>
      </c>
      <c r="I914" s="35">
        <v>44629</v>
      </c>
      <c r="J914" s="38">
        <v>96</v>
      </c>
      <c r="K914" s="39">
        <v>6.11</v>
      </c>
    </row>
    <row r="915" spans="2:11">
      <c r="B915" s="2">
        <v>4500459364</v>
      </c>
      <c r="C915" s="2">
        <v>507209</v>
      </c>
      <c r="D915" s="2" t="s">
        <v>4385</v>
      </c>
      <c r="F915" s="2" t="s">
        <v>2361</v>
      </c>
      <c r="G915" s="2" t="s">
        <v>3255</v>
      </c>
      <c r="H915" s="2" t="s">
        <v>4395</v>
      </c>
      <c r="I915" s="35">
        <v>44629</v>
      </c>
      <c r="J915" s="38">
        <v>72</v>
      </c>
      <c r="K915" s="39">
        <v>6.11</v>
      </c>
    </row>
    <row r="916" spans="2:11">
      <c r="B916" s="2">
        <v>4500459364</v>
      </c>
      <c r="C916" s="2">
        <v>507209</v>
      </c>
      <c r="D916" s="2" t="s">
        <v>4385</v>
      </c>
      <c r="F916" s="2" t="s">
        <v>2361</v>
      </c>
      <c r="G916" s="2" t="s">
        <v>3255</v>
      </c>
      <c r="H916" s="2" t="s">
        <v>3224</v>
      </c>
      <c r="I916" s="35">
        <v>44629</v>
      </c>
      <c r="J916" s="38">
        <v>48</v>
      </c>
      <c r="K916" s="39">
        <v>6.11</v>
      </c>
    </row>
    <row r="917" spans="2:11">
      <c r="B917" s="2">
        <v>4500459364</v>
      </c>
      <c r="C917" s="2">
        <v>507209</v>
      </c>
      <c r="D917" s="2" t="s">
        <v>4385</v>
      </c>
      <c r="F917" s="2" t="s">
        <v>2361</v>
      </c>
      <c r="G917" s="2" t="s">
        <v>3257</v>
      </c>
      <c r="H917" s="2" t="s">
        <v>4394</v>
      </c>
      <c r="I917" s="35">
        <v>44629</v>
      </c>
      <c r="J917" s="38">
        <v>42</v>
      </c>
      <c r="K917" s="39">
        <v>6.19</v>
      </c>
    </row>
    <row r="918" spans="2:11">
      <c r="B918" s="2">
        <v>4500459364</v>
      </c>
      <c r="C918" s="2">
        <v>507209</v>
      </c>
      <c r="D918" s="2" t="s">
        <v>4385</v>
      </c>
      <c r="F918" s="2" t="s">
        <v>2361</v>
      </c>
      <c r="G918" s="2" t="s">
        <v>3257</v>
      </c>
      <c r="H918" s="2" t="s">
        <v>4393</v>
      </c>
      <c r="I918" s="35">
        <v>44629</v>
      </c>
      <c r="J918" s="38">
        <v>108</v>
      </c>
      <c r="K918" s="39">
        <v>6.19</v>
      </c>
    </row>
    <row r="919" spans="2:11">
      <c r="B919" s="2">
        <v>4500459364</v>
      </c>
      <c r="C919" s="2">
        <v>507209</v>
      </c>
      <c r="D919" s="2" t="s">
        <v>4385</v>
      </c>
      <c r="F919" s="2" t="s">
        <v>2361</v>
      </c>
      <c r="G919" s="2" t="s">
        <v>3257</v>
      </c>
      <c r="H919" s="2" t="s">
        <v>4392</v>
      </c>
      <c r="I919" s="35">
        <v>44629</v>
      </c>
      <c r="J919" s="38">
        <v>174</v>
      </c>
      <c r="K919" s="39">
        <v>6.19</v>
      </c>
    </row>
    <row r="920" spans="2:11">
      <c r="B920" s="2">
        <v>4500459364</v>
      </c>
      <c r="C920" s="2">
        <v>507209</v>
      </c>
      <c r="D920" s="2" t="s">
        <v>4385</v>
      </c>
      <c r="F920" s="2" t="s">
        <v>2361</v>
      </c>
      <c r="G920" s="2" t="s">
        <v>3257</v>
      </c>
      <c r="H920" s="2" t="s">
        <v>4395</v>
      </c>
      <c r="I920" s="35">
        <v>44629</v>
      </c>
      <c r="J920" s="38">
        <v>129</v>
      </c>
      <c r="K920" s="39">
        <v>6.19</v>
      </c>
    </row>
    <row r="921" spans="2:11">
      <c r="B921" s="2">
        <v>4500459364</v>
      </c>
      <c r="C921" s="2">
        <v>507209</v>
      </c>
      <c r="D921" s="2" t="s">
        <v>4385</v>
      </c>
      <c r="F921" s="2" t="s">
        <v>2361</v>
      </c>
      <c r="G921" s="2" t="s">
        <v>3257</v>
      </c>
      <c r="H921" s="2" t="s">
        <v>3224</v>
      </c>
      <c r="I921" s="35">
        <v>44629</v>
      </c>
      <c r="J921" s="38">
        <v>87</v>
      </c>
      <c r="K921" s="39">
        <v>6.19</v>
      </c>
    </row>
    <row r="922" spans="2:11">
      <c r="B922" s="2">
        <v>4500459364</v>
      </c>
      <c r="C922" s="2">
        <v>507209</v>
      </c>
      <c r="D922" s="2" t="s">
        <v>4385</v>
      </c>
      <c r="F922" s="2" t="s">
        <v>2361</v>
      </c>
      <c r="G922" s="2" t="s">
        <v>3258</v>
      </c>
      <c r="H922" s="2" t="s">
        <v>4394</v>
      </c>
      <c r="I922" s="35">
        <v>44629</v>
      </c>
      <c r="J922" s="38">
        <v>51</v>
      </c>
      <c r="K922" s="39">
        <v>6.11</v>
      </c>
    </row>
    <row r="923" spans="2:11">
      <c r="B923" s="2">
        <v>4500459364</v>
      </c>
      <c r="C923" s="2">
        <v>507209</v>
      </c>
      <c r="D923" s="2" t="s">
        <v>4385</v>
      </c>
      <c r="F923" s="2" t="s">
        <v>2361</v>
      </c>
      <c r="G923" s="2" t="s">
        <v>3258</v>
      </c>
      <c r="H923" s="2" t="s">
        <v>4393</v>
      </c>
      <c r="I923" s="35">
        <v>44629</v>
      </c>
      <c r="J923" s="38">
        <v>126</v>
      </c>
      <c r="K923" s="39">
        <v>6.11</v>
      </c>
    </row>
    <row r="924" spans="2:11">
      <c r="B924" s="2">
        <v>4500459364</v>
      </c>
      <c r="C924" s="2">
        <v>507209</v>
      </c>
      <c r="D924" s="2" t="s">
        <v>4385</v>
      </c>
      <c r="F924" s="2" t="s">
        <v>2361</v>
      </c>
      <c r="G924" s="2" t="s">
        <v>3258</v>
      </c>
      <c r="H924" s="2" t="s">
        <v>4392</v>
      </c>
      <c r="I924" s="35">
        <v>44629</v>
      </c>
      <c r="J924" s="38">
        <v>201</v>
      </c>
      <c r="K924" s="39">
        <v>6.11</v>
      </c>
    </row>
    <row r="925" spans="2:11">
      <c r="B925" s="2">
        <v>4500459364</v>
      </c>
      <c r="C925" s="2">
        <v>507209</v>
      </c>
      <c r="D925" s="2" t="s">
        <v>4385</v>
      </c>
      <c r="F925" s="2" t="s">
        <v>2361</v>
      </c>
      <c r="G925" s="2" t="s">
        <v>3258</v>
      </c>
      <c r="H925" s="2" t="s">
        <v>4395</v>
      </c>
      <c r="I925" s="35">
        <v>44629</v>
      </c>
      <c r="J925" s="38">
        <v>150</v>
      </c>
      <c r="K925" s="39">
        <v>6.11</v>
      </c>
    </row>
    <row r="926" spans="2:11">
      <c r="B926" s="2">
        <v>4500459364</v>
      </c>
      <c r="C926" s="2">
        <v>507209</v>
      </c>
      <c r="D926" s="2" t="s">
        <v>4385</v>
      </c>
      <c r="F926" s="2" t="s">
        <v>2361</v>
      </c>
      <c r="G926" s="2" t="s">
        <v>3258</v>
      </c>
      <c r="H926" s="2" t="s">
        <v>3224</v>
      </c>
      <c r="I926" s="35">
        <v>44629</v>
      </c>
      <c r="J926" s="38">
        <v>99</v>
      </c>
      <c r="K926" s="39">
        <v>6.11</v>
      </c>
    </row>
    <row r="927" spans="2:11">
      <c r="B927" s="2">
        <v>4500459364</v>
      </c>
      <c r="C927" s="2">
        <v>507209</v>
      </c>
      <c r="D927" s="2" t="s">
        <v>4385</v>
      </c>
      <c r="F927" s="2" t="s">
        <v>2361</v>
      </c>
      <c r="G927" s="2" t="s">
        <v>3256</v>
      </c>
      <c r="H927" s="2" t="s">
        <v>4394</v>
      </c>
      <c r="I927" s="35">
        <v>44629</v>
      </c>
      <c r="J927" s="38">
        <v>36</v>
      </c>
      <c r="K927" s="39">
        <v>6.19</v>
      </c>
    </row>
    <row r="928" spans="2:11">
      <c r="B928" s="2">
        <v>4500459364</v>
      </c>
      <c r="C928" s="2">
        <v>507209</v>
      </c>
      <c r="D928" s="2" t="s">
        <v>4385</v>
      </c>
      <c r="F928" s="2" t="s">
        <v>2361</v>
      </c>
      <c r="G928" s="2" t="s">
        <v>3256</v>
      </c>
      <c r="H928" s="2" t="s">
        <v>4393</v>
      </c>
      <c r="I928" s="35">
        <v>44629</v>
      </c>
      <c r="J928" s="38">
        <v>90</v>
      </c>
      <c r="K928" s="39">
        <v>6.19</v>
      </c>
    </row>
    <row r="929" spans="2:11">
      <c r="B929" s="2">
        <v>4500459364</v>
      </c>
      <c r="C929" s="2">
        <v>507209</v>
      </c>
      <c r="D929" s="2" t="s">
        <v>4385</v>
      </c>
      <c r="F929" s="2" t="s">
        <v>2361</v>
      </c>
      <c r="G929" s="2" t="s">
        <v>3256</v>
      </c>
      <c r="H929" s="2" t="s">
        <v>4392</v>
      </c>
      <c r="I929" s="35">
        <v>44629</v>
      </c>
      <c r="J929" s="38">
        <v>144</v>
      </c>
      <c r="K929" s="39">
        <v>6.19</v>
      </c>
    </row>
    <row r="930" spans="2:11">
      <c r="B930" s="2">
        <v>4500459364</v>
      </c>
      <c r="C930" s="2">
        <v>507209</v>
      </c>
      <c r="D930" s="2" t="s">
        <v>4385</v>
      </c>
      <c r="F930" s="2" t="s">
        <v>2361</v>
      </c>
      <c r="G930" s="2" t="s">
        <v>3256</v>
      </c>
      <c r="H930" s="2" t="s">
        <v>4395</v>
      </c>
      <c r="I930" s="35">
        <v>44629</v>
      </c>
      <c r="J930" s="38">
        <v>108</v>
      </c>
      <c r="K930" s="39">
        <v>6.19</v>
      </c>
    </row>
    <row r="931" spans="2:11">
      <c r="B931" s="2">
        <v>4500459364</v>
      </c>
      <c r="C931" s="2">
        <v>507209</v>
      </c>
      <c r="D931" s="2" t="s">
        <v>4385</v>
      </c>
      <c r="F931" s="2" t="s">
        <v>2361</v>
      </c>
      <c r="G931" s="2" t="s">
        <v>3256</v>
      </c>
      <c r="H931" s="2" t="s">
        <v>3224</v>
      </c>
      <c r="I931" s="35">
        <v>44629</v>
      </c>
      <c r="J931" s="38">
        <v>72</v>
      </c>
      <c r="K931" s="39">
        <v>6.19</v>
      </c>
    </row>
  </sheetData>
  <autoFilter ref="A4:M931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3</xdr:col>
                <xdr:colOff>584200</xdr:colOff>
                <xdr:row>1</xdr:row>
                <xdr:rowOff>215900</xdr:rowOff>
              </from>
              <to>
                <xdr:col>4</xdr:col>
                <xdr:colOff>1079500</xdr:colOff>
                <xdr:row>2</xdr:row>
                <xdr:rowOff>101600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6350</xdr:colOff>
                <xdr:row>1</xdr:row>
                <xdr:rowOff>215900</xdr:rowOff>
              </from>
              <to>
                <xdr:col>2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8</xdr:col>
                <xdr:colOff>488950</xdr:colOff>
                <xdr:row>0</xdr:row>
                <xdr:rowOff>0</xdr:rowOff>
              </from>
              <to>
                <xdr:col>11</xdr:col>
                <xdr:colOff>304800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82550</xdr:colOff>
                <xdr:row>0</xdr:row>
                <xdr:rowOff>0</xdr:rowOff>
              </from>
              <to>
                <xdr:col>12</xdr:col>
                <xdr:colOff>660400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5</xdr:col>
                <xdr:colOff>158750</xdr:colOff>
                <xdr:row>2</xdr:row>
                <xdr:rowOff>177800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D5:D9197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E5:E9197</xm:sqref>
        </x14:dataValidation>
        <x14:dataValidation type="list" errorStyle="warning" allowBlank="1" showInputMessage="1" showErrorMessage="1" errorTitle="신규 Market명 입니다. 자동 저장 됩니다.^^" xr:uid="{EBB10424-446D-4167-B4A9-4A6F66F3025D}">
          <x14:formula1>
            <xm:f>validation!$M$2:$M$22</xm:f>
          </x14:formula1>
          <xm:sqref>F5:F9197</xm:sqref>
        </x14:dataValidation>
        <x14:dataValidation type="list" errorStyle="warning" allowBlank="1" showInputMessage="1" showErrorMessage="1" error="신규 Color명 입니다. 자동 저장 됩니다.^^" xr:uid="{39613D22-FE09-468E-8916-BEA434F2B827}">
          <x14:formula1>
            <xm:f>validation!$N$2:$N$288</xm:f>
          </x14:formula1>
          <xm:sqref>G5:G9197</xm:sqref>
        </x14:dataValidation>
        <x14:dataValidation type="list" errorStyle="warning" allowBlank="1" showInputMessage="1" showErrorMessage="1" error="신규 Size명 입니다. 자동 저장 됩니다.^^" xr:uid="{1B22E2F0-313F-4479-8703-F424ABAEC5EA}">
          <x14:formula1>
            <xm:f>validation!$O$2:$O$529</xm:f>
          </x14:formula1>
          <xm:sqref>H5:H9197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314"/>
  <sheetViews>
    <sheetView showGridLines="0" zoomScale="85" zoomScaleNormal="85" workbookViewId="0">
      <pane ySplit="6" topLeftCell="A7" activePane="bottomLeft" state="frozen"/>
      <selection pane="bottomLeft" activeCell="A28" sqref="A28"/>
    </sheetView>
  </sheetViews>
  <sheetFormatPr defaultColWidth="8.796875" defaultRowHeight="14"/>
  <cols>
    <col min="1" max="1" width="2.69921875" style="46" customWidth="1"/>
    <col min="2" max="3" width="20.19921875" style="88" customWidth="1"/>
    <col min="4" max="4" width="11.19921875" style="49" bestFit="1" customWidth="1"/>
    <col min="5" max="5" width="12.3984375" style="46" bestFit="1" customWidth="1"/>
    <col min="6" max="6" width="11.59765625" style="87" bestFit="1" customWidth="1"/>
    <col min="7" max="7" width="10.69921875" style="89" customWidth="1"/>
    <col min="8" max="8" width="26.8984375" style="46" customWidth="1"/>
    <col min="9" max="9" width="10.69921875" style="55" customWidth="1"/>
    <col min="10" max="18" width="9.296875" style="55" customWidth="1"/>
    <col min="19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0"/>
      <c r="I5" s="54">
        <f>SUM(I7:R999810)</f>
        <v>136931</v>
      </c>
      <c r="J5" s="86">
        <f>SUM(PO관리!J5:J1048576)</f>
        <v>136931</v>
      </c>
      <c r="K5" s="55" t="b">
        <f>I5=J5</f>
        <v>1</v>
      </c>
    </row>
    <row r="6" spans="2:18">
      <c r="B6" s="82" t="s">
        <v>3172</v>
      </c>
      <c r="C6" s="82" t="s">
        <v>4</v>
      </c>
      <c r="D6" s="50" t="s">
        <v>2348</v>
      </c>
      <c r="E6" s="50" t="s">
        <v>2356</v>
      </c>
      <c r="F6" s="80" t="s">
        <v>3166</v>
      </c>
      <c r="G6" s="91" t="s">
        <v>3173</v>
      </c>
      <c r="H6" s="53" t="s">
        <v>3165</v>
      </c>
      <c r="I6" s="84" t="s">
        <v>4394</v>
      </c>
      <c r="J6" s="84" t="s">
        <v>4393</v>
      </c>
      <c r="K6" s="84" t="s">
        <v>4392</v>
      </c>
      <c r="L6" s="84" t="s">
        <v>4395</v>
      </c>
      <c r="M6" s="84" t="s">
        <v>3224</v>
      </c>
      <c r="N6" s="84" t="s">
        <v>3261</v>
      </c>
      <c r="O6" s="84" t="s">
        <v>4390</v>
      </c>
      <c r="P6" s="84" t="s">
        <v>4391</v>
      </c>
      <c r="Q6" s="84"/>
      <c r="R6" s="84"/>
    </row>
    <row r="7" spans="2:18">
      <c r="B7" s="83">
        <v>4500458475</v>
      </c>
      <c r="C7" s="83">
        <v>506896</v>
      </c>
      <c r="D7" s="79" t="s">
        <v>2369</v>
      </c>
      <c r="E7" s="51" t="s">
        <v>4384</v>
      </c>
      <c r="F7" s="81">
        <v>44475</v>
      </c>
      <c r="G7" s="52">
        <v>5.6</v>
      </c>
      <c r="H7" s="48" t="s">
        <v>3248</v>
      </c>
      <c r="I7" s="85">
        <v>59</v>
      </c>
      <c r="J7" s="85">
        <v>44</v>
      </c>
      <c r="K7" s="85">
        <v>46</v>
      </c>
      <c r="L7" s="85">
        <v>27</v>
      </c>
      <c r="M7" s="85">
        <v>25</v>
      </c>
      <c r="N7" s="85"/>
      <c r="O7" s="85"/>
      <c r="P7" s="85"/>
      <c r="Q7" s="85"/>
      <c r="R7" s="85"/>
    </row>
    <row r="8" spans="2:18">
      <c r="B8" s="83">
        <v>4500458475</v>
      </c>
      <c r="C8" s="83">
        <v>506896</v>
      </c>
      <c r="D8" s="79" t="s">
        <v>2369</v>
      </c>
      <c r="E8" s="51" t="s">
        <v>4384</v>
      </c>
      <c r="F8" s="81">
        <v>44475</v>
      </c>
      <c r="G8" s="52">
        <v>5.84</v>
      </c>
      <c r="H8" s="48" t="s">
        <v>3249</v>
      </c>
      <c r="I8" s="85">
        <v>52</v>
      </c>
      <c r="J8" s="85">
        <v>58</v>
      </c>
      <c r="K8" s="85">
        <v>50</v>
      </c>
      <c r="L8" s="85">
        <v>40</v>
      </c>
      <c r="M8" s="85"/>
      <c r="N8" s="85"/>
      <c r="O8" s="85"/>
      <c r="P8" s="85"/>
      <c r="Q8" s="85"/>
      <c r="R8" s="85"/>
    </row>
    <row r="9" spans="2:18">
      <c r="B9" s="83">
        <v>4500458475</v>
      </c>
      <c r="C9" s="83">
        <v>506896</v>
      </c>
      <c r="D9" s="79" t="s">
        <v>2369</v>
      </c>
      <c r="E9" s="51" t="s">
        <v>4384</v>
      </c>
      <c r="F9" s="81">
        <v>44475</v>
      </c>
      <c r="G9" s="52">
        <v>6.9</v>
      </c>
      <c r="H9" s="48" t="s">
        <v>3250</v>
      </c>
      <c r="I9" s="85">
        <v>29</v>
      </c>
      <c r="J9" s="85">
        <v>87</v>
      </c>
      <c r="K9" s="85">
        <v>105</v>
      </c>
      <c r="L9" s="85">
        <v>59</v>
      </c>
      <c r="M9" s="85">
        <v>21</v>
      </c>
      <c r="N9" s="85"/>
      <c r="O9" s="85"/>
      <c r="P9" s="85"/>
      <c r="Q9" s="85"/>
      <c r="R9" s="85"/>
    </row>
    <row r="10" spans="2:18">
      <c r="B10" s="83">
        <v>4500458475</v>
      </c>
      <c r="C10" s="83">
        <v>506896</v>
      </c>
      <c r="D10" s="79" t="s">
        <v>2369</v>
      </c>
      <c r="E10" s="51" t="s">
        <v>4384</v>
      </c>
      <c r="F10" s="81">
        <v>44475</v>
      </c>
      <c r="G10" s="52">
        <v>5.6</v>
      </c>
      <c r="H10" s="48" t="s">
        <v>3252</v>
      </c>
      <c r="I10" s="85">
        <v>216</v>
      </c>
      <c r="J10" s="85">
        <v>432</v>
      </c>
      <c r="K10" s="85">
        <v>494</v>
      </c>
      <c r="L10" s="85">
        <v>357</v>
      </c>
      <c r="M10" s="85">
        <v>160</v>
      </c>
      <c r="N10" s="85"/>
      <c r="O10" s="85"/>
      <c r="P10" s="85"/>
      <c r="Q10" s="85"/>
      <c r="R10" s="85"/>
    </row>
    <row r="11" spans="2:18">
      <c r="B11" s="83">
        <v>4500458475</v>
      </c>
      <c r="C11" s="83">
        <v>506896</v>
      </c>
      <c r="D11" s="79" t="s">
        <v>2369</v>
      </c>
      <c r="E11" s="51" t="s">
        <v>4384</v>
      </c>
      <c r="F11" s="81">
        <v>44475</v>
      </c>
      <c r="G11" s="52">
        <v>7.15</v>
      </c>
      <c r="H11" s="48" t="s">
        <v>3253</v>
      </c>
      <c r="I11" s="85">
        <v>36</v>
      </c>
      <c r="J11" s="85">
        <v>109</v>
      </c>
      <c r="K11" s="85">
        <v>132</v>
      </c>
      <c r="L11" s="85">
        <v>74</v>
      </c>
      <c r="M11" s="85">
        <v>26</v>
      </c>
      <c r="N11" s="85"/>
      <c r="O11" s="85"/>
      <c r="P11" s="85"/>
      <c r="Q11" s="85"/>
      <c r="R11" s="85"/>
    </row>
    <row r="12" spans="2:18">
      <c r="B12" s="83">
        <v>4500458475</v>
      </c>
      <c r="C12" s="83">
        <v>506896</v>
      </c>
      <c r="D12" s="79" t="s">
        <v>2369</v>
      </c>
      <c r="E12" s="51" t="s">
        <v>4384</v>
      </c>
      <c r="F12" s="81">
        <v>44475</v>
      </c>
      <c r="G12" s="52">
        <v>5.84</v>
      </c>
      <c r="H12" s="48" t="s">
        <v>4387</v>
      </c>
      <c r="I12" s="85">
        <v>80</v>
      </c>
      <c r="J12" s="85">
        <v>122</v>
      </c>
      <c r="K12" s="85">
        <v>135</v>
      </c>
      <c r="L12" s="85">
        <v>122</v>
      </c>
      <c r="M12" s="85">
        <v>42</v>
      </c>
      <c r="N12" s="85"/>
      <c r="O12" s="85"/>
      <c r="P12" s="85"/>
      <c r="Q12" s="85"/>
      <c r="R12" s="85"/>
    </row>
    <row r="13" spans="2:18">
      <c r="B13" s="83">
        <v>4500458475</v>
      </c>
      <c r="C13" s="83">
        <v>506896</v>
      </c>
      <c r="D13" s="79" t="s">
        <v>2369</v>
      </c>
      <c r="E13" s="51" t="s">
        <v>4384</v>
      </c>
      <c r="F13" s="81">
        <v>44475</v>
      </c>
      <c r="G13" s="52">
        <v>6.9</v>
      </c>
      <c r="H13" s="48" t="s">
        <v>4389</v>
      </c>
      <c r="I13" s="85">
        <v>7</v>
      </c>
      <c r="J13" s="85">
        <v>21</v>
      </c>
      <c r="K13" s="85">
        <v>25</v>
      </c>
      <c r="L13" s="85">
        <v>14</v>
      </c>
      <c r="M13" s="85">
        <v>5</v>
      </c>
      <c r="N13" s="85"/>
      <c r="O13" s="85"/>
      <c r="P13" s="85"/>
      <c r="Q13" s="85"/>
      <c r="R13" s="85"/>
    </row>
    <row r="14" spans="2:18">
      <c r="B14" s="83">
        <v>4500458475</v>
      </c>
      <c r="C14" s="83">
        <v>507209</v>
      </c>
      <c r="D14" s="79" t="s">
        <v>2369</v>
      </c>
      <c r="E14" s="51" t="s">
        <v>4384</v>
      </c>
      <c r="F14" s="81">
        <v>44475</v>
      </c>
      <c r="G14" s="52">
        <v>5.82</v>
      </c>
      <c r="H14" s="48" t="s">
        <v>3254</v>
      </c>
      <c r="I14" s="85">
        <v>29</v>
      </c>
      <c r="J14" s="85">
        <v>87</v>
      </c>
      <c r="K14" s="85">
        <v>105</v>
      </c>
      <c r="L14" s="85">
        <v>59</v>
      </c>
      <c r="M14" s="85">
        <v>21</v>
      </c>
      <c r="N14" s="85"/>
      <c r="O14" s="85"/>
      <c r="P14" s="85"/>
      <c r="Q14" s="85"/>
      <c r="R14" s="85"/>
    </row>
    <row r="15" spans="2:18">
      <c r="B15" s="83">
        <v>4500458475</v>
      </c>
      <c r="C15" s="83">
        <v>507209</v>
      </c>
      <c r="D15" s="79" t="s">
        <v>2369</v>
      </c>
      <c r="E15" s="51" t="s">
        <v>4384</v>
      </c>
      <c r="F15" s="81">
        <v>44475</v>
      </c>
      <c r="G15" s="52">
        <v>6.45</v>
      </c>
      <c r="H15" s="48" t="s">
        <v>3265</v>
      </c>
      <c r="I15" s="85">
        <v>29</v>
      </c>
      <c r="J15" s="85">
        <v>87</v>
      </c>
      <c r="K15" s="85">
        <v>105</v>
      </c>
      <c r="L15" s="85">
        <v>59</v>
      </c>
      <c r="M15" s="85">
        <v>21</v>
      </c>
      <c r="N15" s="85"/>
      <c r="O15" s="85"/>
      <c r="P15" s="85"/>
      <c r="Q15" s="85"/>
      <c r="R15" s="85"/>
    </row>
    <row r="16" spans="2:18">
      <c r="B16" s="83">
        <v>4500458475</v>
      </c>
      <c r="C16" s="83">
        <v>507209</v>
      </c>
      <c r="D16" s="79" t="s">
        <v>2369</v>
      </c>
      <c r="E16" s="51" t="s">
        <v>4384</v>
      </c>
      <c r="F16" s="81">
        <v>44475</v>
      </c>
      <c r="G16" s="52">
        <v>5.82</v>
      </c>
      <c r="H16" s="48" t="s">
        <v>3255</v>
      </c>
      <c r="I16" s="85">
        <v>44</v>
      </c>
      <c r="J16" s="85">
        <v>134</v>
      </c>
      <c r="K16" s="85">
        <v>161</v>
      </c>
      <c r="L16" s="85">
        <v>91</v>
      </c>
      <c r="M16" s="85">
        <v>32</v>
      </c>
      <c r="N16" s="85"/>
      <c r="O16" s="85"/>
      <c r="P16" s="85"/>
      <c r="Q16" s="85"/>
      <c r="R16" s="85"/>
    </row>
    <row r="17" spans="2:18">
      <c r="B17" s="83">
        <v>4500458475</v>
      </c>
      <c r="C17" s="83">
        <v>507209</v>
      </c>
      <c r="D17" s="79" t="s">
        <v>2369</v>
      </c>
      <c r="E17" s="51" t="s">
        <v>4384</v>
      </c>
      <c r="F17" s="81">
        <v>44475</v>
      </c>
      <c r="G17" s="52">
        <v>5.9</v>
      </c>
      <c r="H17" s="48" t="s">
        <v>3257</v>
      </c>
      <c r="I17" s="85">
        <v>76</v>
      </c>
      <c r="J17" s="85">
        <v>229</v>
      </c>
      <c r="K17" s="85">
        <v>277</v>
      </c>
      <c r="L17" s="85">
        <v>157</v>
      </c>
      <c r="M17" s="85">
        <v>55</v>
      </c>
      <c r="N17" s="85"/>
      <c r="O17" s="85"/>
      <c r="P17" s="85"/>
      <c r="Q17" s="85"/>
      <c r="R17" s="85"/>
    </row>
    <row r="18" spans="2:18">
      <c r="B18" s="83">
        <v>4500458475</v>
      </c>
      <c r="C18" s="83">
        <v>507209</v>
      </c>
      <c r="D18" s="79" t="s">
        <v>2369</v>
      </c>
      <c r="E18" s="51" t="s">
        <v>4384</v>
      </c>
      <c r="F18" s="81">
        <v>44475</v>
      </c>
      <c r="G18" s="52">
        <v>5.95</v>
      </c>
      <c r="H18" s="48" t="s">
        <v>4396</v>
      </c>
      <c r="I18" s="85">
        <v>28</v>
      </c>
      <c r="J18" s="85">
        <v>85</v>
      </c>
      <c r="K18" s="85">
        <v>102</v>
      </c>
      <c r="L18" s="85">
        <v>58</v>
      </c>
      <c r="M18" s="85">
        <v>20</v>
      </c>
      <c r="N18" s="85"/>
      <c r="O18" s="85"/>
      <c r="P18" s="85"/>
      <c r="Q18" s="85"/>
      <c r="R18" s="85"/>
    </row>
    <row r="19" spans="2:18">
      <c r="B19" s="83">
        <v>4500458475</v>
      </c>
      <c r="C19" s="83">
        <v>507209</v>
      </c>
      <c r="D19" s="79" t="s">
        <v>2369</v>
      </c>
      <c r="E19" s="51" t="s">
        <v>4384</v>
      </c>
      <c r="F19" s="81">
        <v>44475</v>
      </c>
      <c r="G19" s="52">
        <v>5.82</v>
      </c>
      <c r="H19" s="48" t="s">
        <v>3258</v>
      </c>
      <c r="I19" s="85">
        <v>21</v>
      </c>
      <c r="J19" s="85">
        <v>64</v>
      </c>
      <c r="K19" s="85">
        <v>77</v>
      </c>
      <c r="L19" s="85">
        <v>43</v>
      </c>
      <c r="M19" s="85">
        <v>15</v>
      </c>
      <c r="N19" s="85"/>
      <c r="O19" s="85"/>
      <c r="P19" s="85"/>
      <c r="Q19" s="85"/>
      <c r="R19" s="85"/>
    </row>
    <row r="20" spans="2:18">
      <c r="B20" s="83">
        <v>4500458475</v>
      </c>
      <c r="C20" s="83">
        <v>507209</v>
      </c>
      <c r="D20" s="79" t="s">
        <v>2369</v>
      </c>
      <c r="E20" s="51" t="s">
        <v>4384</v>
      </c>
      <c r="F20" s="81">
        <v>44475</v>
      </c>
      <c r="G20" s="52">
        <v>5.82</v>
      </c>
      <c r="H20" s="48" t="s">
        <v>4397</v>
      </c>
      <c r="I20" s="85">
        <v>9</v>
      </c>
      <c r="J20" s="85">
        <v>28</v>
      </c>
      <c r="K20" s="85">
        <v>34</v>
      </c>
      <c r="L20" s="85">
        <v>19</v>
      </c>
      <c r="M20" s="85">
        <v>7</v>
      </c>
      <c r="N20" s="85"/>
      <c r="O20" s="85"/>
      <c r="P20" s="85"/>
      <c r="Q20" s="85"/>
      <c r="R20" s="85"/>
    </row>
    <row r="21" spans="2:18">
      <c r="B21" s="83">
        <v>4500458475</v>
      </c>
      <c r="C21" s="83">
        <v>507209</v>
      </c>
      <c r="D21" s="79" t="s">
        <v>2369</v>
      </c>
      <c r="E21" s="51" t="s">
        <v>4384</v>
      </c>
      <c r="F21" s="81">
        <v>44475</v>
      </c>
      <c r="G21" s="52">
        <v>5.95</v>
      </c>
      <c r="H21" s="48" t="s">
        <v>4386</v>
      </c>
      <c r="I21" s="85">
        <v>10</v>
      </c>
      <c r="J21" s="85">
        <v>29</v>
      </c>
      <c r="K21" s="85">
        <v>35</v>
      </c>
      <c r="L21" s="85">
        <v>20</v>
      </c>
      <c r="M21" s="85">
        <v>7</v>
      </c>
      <c r="N21" s="85"/>
      <c r="O21" s="85"/>
      <c r="P21" s="85"/>
      <c r="Q21" s="85"/>
      <c r="R21" s="85"/>
    </row>
    <row r="22" spans="2:18">
      <c r="B22" s="83">
        <v>4500458475</v>
      </c>
      <c r="C22" s="83">
        <v>507209</v>
      </c>
      <c r="D22" s="79" t="s">
        <v>2369</v>
      </c>
      <c r="E22" s="51" t="s">
        <v>4384</v>
      </c>
      <c r="F22" s="81">
        <v>44475</v>
      </c>
      <c r="G22" s="52">
        <v>5.82</v>
      </c>
      <c r="H22" s="48" t="s">
        <v>4388</v>
      </c>
      <c r="I22" s="85">
        <v>19</v>
      </c>
      <c r="J22" s="85">
        <v>57</v>
      </c>
      <c r="K22" s="85">
        <v>69</v>
      </c>
      <c r="L22" s="85">
        <v>39</v>
      </c>
      <c r="M22" s="85">
        <v>14</v>
      </c>
      <c r="N22" s="85"/>
      <c r="O22" s="85"/>
      <c r="P22" s="85"/>
      <c r="Q22" s="85"/>
      <c r="R22" s="85"/>
    </row>
    <row r="23" spans="2:18">
      <c r="B23" s="83">
        <v>4500458475</v>
      </c>
      <c r="C23" s="83">
        <v>507209</v>
      </c>
      <c r="D23" s="79" t="s">
        <v>2369</v>
      </c>
      <c r="E23" s="51" t="s">
        <v>4384</v>
      </c>
      <c r="F23" s="81">
        <v>44475</v>
      </c>
      <c r="G23" s="52">
        <v>5.9</v>
      </c>
      <c r="H23" s="48" t="s">
        <v>3256</v>
      </c>
      <c r="I23" s="85">
        <v>38</v>
      </c>
      <c r="J23" s="85">
        <v>115</v>
      </c>
      <c r="K23" s="85">
        <v>140</v>
      </c>
      <c r="L23" s="85">
        <v>79</v>
      </c>
      <c r="M23" s="85">
        <v>28</v>
      </c>
      <c r="N23" s="85"/>
      <c r="O23" s="85"/>
      <c r="P23" s="85"/>
      <c r="Q23" s="85"/>
      <c r="R23" s="85"/>
    </row>
    <row r="24" spans="2:18">
      <c r="B24" s="83">
        <v>4500458475</v>
      </c>
      <c r="C24" s="83">
        <v>529692</v>
      </c>
      <c r="D24" s="79" t="s">
        <v>2369</v>
      </c>
      <c r="E24" s="51" t="s">
        <v>4384</v>
      </c>
      <c r="F24" s="81">
        <v>44475</v>
      </c>
      <c r="G24" s="52">
        <v>6.03</v>
      </c>
      <c r="H24" s="48" t="s">
        <v>3248</v>
      </c>
      <c r="I24" s="85"/>
      <c r="J24" s="85"/>
      <c r="K24" s="85"/>
      <c r="L24" s="85"/>
      <c r="M24" s="85"/>
      <c r="N24" s="85">
        <v>137</v>
      </c>
      <c r="O24" s="85">
        <v>113</v>
      </c>
      <c r="P24" s="85">
        <v>34</v>
      </c>
      <c r="Q24" s="85"/>
      <c r="R24" s="85"/>
    </row>
    <row r="25" spans="2:18">
      <c r="B25" s="83">
        <v>4500458475</v>
      </c>
      <c r="C25" s="83">
        <v>529692</v>
      </c>
      <c r="D25" s="79" t="s">
        <v>2369</v>
      </c>
      <c r="E25" s="51" t="s">
        <v>4384</v>
      </c>
      <c r="F25" s="81">
        <v>44475</v>
      </c>
      <c r="G25" s="52">
        <v>6.29</v>
      </c>
      <c r="H25" s="48" t="s">
        <v>3249</v>
      </c>
      <c r="I25" s="85"/>
      <c r="J25" s="85"/>
      <c r="K25" s="85"/>
      <c r="L25" s="85"/>
      <c r="M25" s="85"/>
      <c r="N25" s="85">
        <v>137</v>
      </c>
      <c r="O25" s="85">
        <v>113</v>
      </c>
      <c r="P25" s="85">
        <v>34</v>
      </c>
      <c r="Q25" s="85"/>
      <c r="R25" s="85"/>
    </row>
    <row r="26" spans="2:18">
      <c r="B26" s="83">
        <v>4500458475</v>
      </c>
      <c r="C26" s="83">
        <v>529692</v>
      </c>
      <c r="D26" s="79" t="s">
        <v>2369</v>
      </c>
      <c r="E26" s="51" t="s">
        <v>4384</v>
      </c>
      <c r="F26" s="81">
        <v>44475</v>
      </c>
      <c r="G26" s="52">
        <v>7.42</v>
      </c>
      <c r="H26" s="48" t="s">
        <v>3250</v>
      </c>
      <c r="I26" s="85"/>
      <c r="J26" s="85"/>
      <c r="K26" s="85"/>
      <c r="L26" s="85"/>
      <c r="M26" s="85"/>
      <c r="N26" s="85">
        <v>137</v>
      </c>
      <c r="O26" s="85">
        <v>113</v>
      </c>
      <c r="P26" s="85">
        <v>34</v>
      </c>
      <c r="Q26" s="85"/>
      <c r="R26" s="85"/>
    </row>
    <row r="27" spans="2:18">
      <c r="B27" s="83">
        <v>4500458475</v>
      </c>
      <c r="C27" s="83">
        <v>529692</v>
      </c>
      <c r="D27" s="79" t="s">
        <v>2369</v>
      </c>
      <c r="E27" s="51" t="s">
        <v>4384</v>
      </c>
      <c r="F27" s="81">
        <v>44475</v>
      </c>
      <c r="G27" s="52">
        <v>6.03</v>
      </c>
      <c r="H27" s="48" t="s">
        <v>3252</v>
      </c>
      <c r="I27" s="85"/>
      <c r="J27" s="85"/>
      <c r="K27" s="85"/>
      <c r="L27" s="85"/>
      <c r="M27" s="85"/>
      <c r="N27" s="85">
        <v>36</v>
      </c>
      <c r="O27" s="85">
        <v>29</v>
      </c>
      <c r="P27" s="85">
        <v>9</v>
      </c>
      <c r="Q27" s="85"/>
      <c r="R27" s="85"/>
    </row>
    <row r="28" spans="2:18">
      <c r="B28" s="83">
        <v>4500458475</v>
      </c>
      <c r="C28" s="83">
        <v>529692</v>
      </c>
      <c r="D28" s="79" t="s">
        <v>2369</v>
      </c>
      <c r="E28" s="51" t="s">
        <v>4384</v>
      </c>
      <c r="F28" s="81">
        <v>44475</v>
      </c>
      <c r="G28" s="52">
        <v>7.63</v>
      </c>
      <c r="H28" s="48" t="s">
        <v>3253</v>
      </c>
      <c r="I28" s="85"/>
      <c r="J28" s="85"/>
      <c r="K28" s="85"/>
      <c r="L28" s="85"/>
      <c r="M28" s="85"/>
      <c r="N28" s="85">
        <v>45</v>
      </c>
      <c r="O28" s="85">
        <v>38</v>
      </c>
      <c r="P28" s="85">
        <v>11</v>
      </c>
      <c r="Q28" s="85"/>
      <c r="R28" s="85"/>
    </row>
    <row r="29" spans="2:18">
      <c r="B29" s="83">
        <v>4500458475</v>
      </c>
      <c r="C29" s="83">
        <v>529692</v>
      </c>
      <c r="D29" s="79" t="s">
        <v>2369</v>
      </c>
      <c r="E29" s="51" t="s">
        <v>4384</v>
      </c>
      <c r="F29" s="81">
        <v>44475</v>
      </c>
      <c r="G29" s="52">
        <v>6.29</v>
      </c>
      <c r="H29" s="48" t="s">
        <v>4387</v>
      </c>
      <c r="I29" s="85"/>
      <c r="J29" s="85"/>
      <c r="K29" s="85"/>
      <c r="L29" s="85"/>
      <c r="M29" s="85"/>
      <c r="N29" s="85">
        <v>120</v>
      </c>
      <c r="O29" s="85">
        <v>100</v>
      </c>
      <c r="P29" s="85">
        <v>30</v>
      </c>
      <c r="Q29" s="85"/>
      <c r="R29" s="85"/>
    </row>
    <row r="30" spans="2:18">
      <c r="B30" s="83">
        <v>4500458475</v>
      </c>
      <c r="C30" s="83">
        <v>529692</v>
      </c>
      <c r="D30" s="79" t="s">
        <v>2369</v>
      </c>
      <c r="E30" s="51" t="s">
        <v>4384</v>
      </c>
      <c r="F30" s="81">
        <v>44475</v>
      </c>
      <c r="G30" s="52">
        <v>7.4</v>
      </c>
      <c r="H30" s="48" t="s">
        <v>4389</v>
      </c>
      <c r="I30" s="85"/>
      <c r="J30" s="85"/>
      <c r="K30" s="85"/>
      <c r="L30" s="85"/>
      <c r="M30" s="85"/>
      <c r="N30" s="85">
        <v>96</v>
      </c>
      <c r="O30" s="85">
        <v>80</v>
      </c>
      <c r="P30" s="85">
        <v>24</v>
      </c>
      <c r="Q30" s="85"/>
      <c r="R30" s="85"/>
    </row>
    <row r="31" spans="2:18">
      <c r="B31" s="83">
        <v>4500458475</v>
      </c>
      <c r="C31" s="83">
        <v>529688</v>
      </c>
      <c r="D31" s="79" t="s">
        <v>2369</v>
      </c>
      <c r="E31" s="51" t="s">
        <v>4384</v>
      </c>
      <c r="F31" s="81">
        <v>44475</v>
      </c>
      <c r="G31" s="52">
        <v>6.27</v>
      </c>
      <c r="H31" s="48" t="s">
        <v>3254</v>
      </c>
      <c r="I31" s="85"/>
      <c r="J31" s="85"/>
      <c r="K31" s="85"/>
      <c r="L31" s="85"/>
      <c r="M31" s="85"/>
      <c r="N31" s="85">
        <v>132</v>
      </c>
      <c r="O31" s="85">
        <v>109</v>
      </c>
      <c r="P31" s="85">
        <v>33</v>
      </c>
      <c r="Q31" s="85"/>
      <c r="R31" s="85"/>
    </row>
    <row r="32" spans="2:18">
      <c r="B32" s="83">
        <v>4500458475</v>
      </c>
      <c r="C32" s="83">
        <v>529688</v>
      </c>
      <c r="D32" s="79" t="s">
        <v>2369</v>
      </c>
      <c r="E32" s="51" t="s">
        <v>4384</v>
      </c>
      <c r="F32" s="81">
        <v>44475</v>
      </c>
      <c r="G32" s="52">
        <v>6.95</v>
      </c>
      <c r="H32" s="48" t="s">
        <v>3265</v>
      </c>
      <c r="I32" s="85"/>
      <c r="J32" s="85"/>
      <c r="K32" s="85"/>
      <c r="L32" s="85"/>
      <c r="M32" s="85"/>
      <c r="N32" s="85">
        <v>135</v>
      </c>
      <c r="O32" s="85">
        <v>112</v>
      </c>
      <c r="P32" s="85">
        <v>34</v>
      </c>
      <c r="Q32" s="85"/>
      <c r="R32" s="85"/>
    </row>
    <row r="33" spans="2:18">
      <c r="B33" s="83">
        <v>4500458475</v>
      </c>
      <c r="C33" s="83">
        <v>529688</v>
      </c>
      <c r="D33" s="79" t="s">
        <v>2369</v>
      </c>
      <c r="E33" s="51" t="s">
        <v>4384</v>
      </c>
      <c r="F33" s="81">
        <v>44475</v>
      </c>
      <c r="G33" s="52">
        <v>6.27</v>
      </c>
      <c r="H33" s="48" t="s">
        <v>3255</v>
      </c>
      <c r="I33" s="85"/>
      <c r="J33" s="85"/>
      <c r="K33" s="85"/>
      <c r="L33" s="85"/>
      <c r="M33" s="85"/>
      <c r="N33" s="85">
        <v>201</v>
      </c>
      <c r="O33" s="85">
        <v>166</v>
      </c>
      <c r="P33" s="85">
        <v>50</v>
      </c>
      <c r="Q33" s="85"/>
      <c r="R33" s="85"/>
    </row>
    <row r="34" spans="2:18">
      <c r="B34" s="83">
        <v>4500458475</v>
      </c>
      <c r="C34" s="83">
        <v>529688</v>
      </c>
      <c r="D34" s="79" t="s">
        <v>2369</v>
      </c>
      <c r="E34" s="51" t="s">
        <v>4384</v>
      </c>
      <c r="F34" s="81">
        <v>44475</v>
      </c>
      <c r="G34" s="52">
        <v>6.35</v>
      </c>
      <c r="H34" s="48" t="s">
        <v>3257</v>
      </c>
      <c r="I34" s="85"/>
      <c r="J34" s="85"/>
      <c r="K34" s="85"/>
      <c r="L34" s="85"/>
      <c r="M34" s="85"/>
      <c r="N34" s="85">
        <v>77</v>
      </c>
      <c r="O34" s="85">
        <v>63</v>
      </c>
      <c r="P34" s="85">
        <v>19</v>
      </c>
      <c r="Q34" s="85"/>
      <c r="R34" s="85"/>
    </row>
    <row r="35" spans="2:18">
      <c r="B35" s="83">
        <v>4500458475</v>
      </c>
      <c r="C35" s="83">
        <v>529688</v>
      </c>
      <c r="D35" s="79" t="s">
        <v>2369</v>
      </c>
      <c r="E35" s="51" t="s">
        <v>4384</v>
      </c>
      <c r="F35" s="81">
        <v>44475</v>
      </c>
      <c r="G35" s="52">
        <v>6.27</v>
      </c>
      <c r="H35" s="48" t="s">
        <v>3258</v>
      </c>
      <c r="I35" s="85"/>
      <c r="J35" s="85"/>
      <c r="K35" s="85"/>
      <c r="L35" s="85"/>
      <c r="M35" s="85"/>
      <c r="N35" s="85">
        <v>127</v>
      </c>
      <c r="O35" s="85">
        <v>105</v>
      </c>
      <c r="P35" s="85">
        <v>32</v>
      </c>
      <c r="Q35" s="85"/>
      <c r="R35" s="85"/>
    </row>
    <row r="36" spans="2:18">
      <c r="B36" s="83">
        <v>4500458476</v>
      </c>
      <c r="C36" s="83">
        <v>506896</v>
      </c>
      <c r="D36" s="79" t="s">
        <v>2369</v>
      </c>
      <c r="E36" s="51" t="s">
        <v>4384</v>
      </c>
      <c r="F36" s="81">
        <v>44503</v>
      </c>
      <c r="G36" s="52">
        <v>5.6</v>
      </c>
      <c r="H36" s="48" t="s">
        <v>3248</v>
      </c>
      <c r="I36" s="85">
        <v>60</v>
      </c>
      <c r="J36" s="85">
        <v>44</v>
      </c>
      <c r="K36" s="85">
        <v>46</v>
      </c>
      <c r="L36" s="85">
        <v>27</v>
      </c>
      <c r="M36" s="85">
        <v>25</v>
      </c>
      <c r="N36" s="85"/>
      <c r="O36" s="85"/>
      <c r="P36" s="85"/>
      <c r="Q36" s="85"/>
      <c r="R36" s="85"/>
    </row>
    <row r="37" spans="2:18">
      <c r="B37" s="83">
        <v>4500458476</v>
      </c>
      <c r="C37" s="83">
        <v>506896</v>
      </c>
      <c r="D37" s="79" t="s">
        <v>2369</v>
      </c>
      <c r="E37" s="51" t="s">
        <v>4384</v>
      </c>
      <c r="F37" s="81">
        <v>44503</v>
      </c>
      <c r="G37" s="52">
        <v>5.84</v>
      </c>
      <c r="H37" s="48" t="s">
        <v>3249</v>
      </c>
      <c r="I37" s="85">
        <v>67</v>
      </c>
      <c r="J37" s="85">
        <v>58</v>
      </c>
      <c r="K37" s="85">
        <v>50</v>
      </c>
      <c r="L37" s="85">
        <v>0</v>
      </c>
      <c r="M37" s="85">
        <v>27</v>
      </c>
      <c r="N37" s="85"/>
      <c r="O37" s="85"/>
      <c r="P37" s="85"/>
      <c r="Q37" s="85"/>
      <c r="R37" s="85"/>
    </row>
    <row r="38" spans="2:18">
      <c r="B38" s="83">
        <v>4500458476</v>
      </c>
      <c r="C38" s="83">
        <v>506896</v>
      </c>
      <c r="D38" s="79" t="s">
        <v>2369</v>
      </c>
      <c r="E38" s="51" t="s">
        <v>4384</v>
      </c>
      <c r="F38" s="81">
        <v>44503</v>
      </c>
      <c r="G38" s="52">
        <v>6.9</v>
      </c>
      <c r="H38" s="48" t="s">
        <v>3250</v>
      </c>
      <c r="I38" s="85">
        <v>29</v>
      </c>
      <c r="J38" s="85">
        <v>87</v>
      </c>
      <c r="K38" s="85">
        <v>105</v>
      </c>
      <c r="L38" s="85">
        <v>59</v>
      </c>
      <c r="M38" s="85">
        <v>21</v>
      </c>
      <c r="N38" s="85"/>
      <c r="O38" s="85"/>
      <c r="P38" s="85"/>
      <c r="Q38" s="85"/>
      <c r="R38" s="85"/>
    </row>
    <row r="39" spans="2:18">
      <c r="B39" s="83">
        <v>4500458476</v>
      </c>
      <c r="C39" s="83">
        <v>506896</v>
      </c>
      <c r="D39" s="79" t="s">
        <v>2369</v>
      </c>
      <c r="E39" s="51" t="s">
        <v>4384</v>
      </c>
      <c r="F39" s="81">
        <v>44503</v>
      </c>
      <c r="G39" s="52">
        <v>5.6</v>
      </c>
      <c r="H39" s="48" t="s">
        <v>3252</v>
      </c>
      <c r="I39" s="85">
        <v>145</v>
      </c>
      <c r="J39" s="85">
        <v>236</v>
      </c>
      <c r="K39" s="85">
        <v>260</v>
      </c>
      <c r="L39" s="85">
        <v>216</v>
      </c>
      <c r="M39" s="85">
        <v>103</v>
      </c>
      <c r="N39" s="85"/>
      <c r="O39" s="85"/>
      <c r="P39" s="85"/>
      <c r="Q39" s="85"/>
      <c r="R39" s="85"/>
    </row>
    <row r="40" spans="2:18">
      <c r="B40" s="83">
        <v>4500458476</v>
      </c>
      <c r="C40" s="83">
        <v>506896</v>
      </c>
      <c r="D40" s="79" t="s">
        <v>2369</v>
      </c>
      <c r="E40" s="51" t="s">
        <v>4384</v>
      </c>
      <c r="F40" s="81">
        <v>44503</v>
      </c>
      <c r="G40" s="52">
        <v>7.15</v>
      </c>
      <c r="H40" s="48" t="s">
        <v>3253</v>
      </c>
      <c r="I40" s="85">
        <v>45</v>
      </c>
      <c r="J40" s="85">
        <v>136</v>
      </c>
      <c r="K40" s="85">
        <v>164</v>
      </c>
      <c r="L40" s="85">
        <v>93</v>
      </c>
      <c r="M40" s="85">
        <v>33</v>
      </c>
      <c r="N40" s="85"/>
      <c r="O40" s="85"/>
      <c r="P40" s="85"/>
      <c r="Q40" s="85"/>
      <c r="R40" s="85"/>
    </row>
    <row r="41" spans="2:18">
      <c r="B41" s="83">
        <v>4500458476</v>
      </c>
      <c r="C41" s="83">
        <v>506896</v>
      </c>
      <c r="D41" s="79" t="s">
        <v>2369</v>
      </c>
      <c r="E41" s="51" t="s">
        <v>4384</v>
      </c>
      <c r="F41" s="81">
        <v>44503</v>
      </c>
      <c r="G41" s="52">
        <v>5.84</v>
      </c>
      <c r="H41" s="48" t="s">
        <v>4387</v>
      </c>
      <c r="I41" s="85">
        <v>89</v>
      </c>
      <c r="J41" s="85">
        <v>152</v>
      </c>
      <c r="K41" s="85">
        <v>169</v>
      </c>
      <c r="L41" s="85">
        <v>141</v>
      </c>
      <c r="M41" s="85">
        <v>49</v>
      </c>
      <c r="N41" s="85"/>
      <c r="O41" s="85"/>
      <c r="P41" s="85"/>
      <c r="Q41" s="85"/>
      <c r="R41" s="85"/>
    </row>
    <row r="42" spans="2:18">
      <c r="B42" s="83">
        <v>4500458476</v>
      </c>
      <c r="C42" s="83">
        <v>506896</v>
      </c>
      <c r="D42" s="79" t="s">
        <v>2369</v>
      </c>
      <c r="E42" s="51" t="s">
        <v>4384</v>
      </c>
      <c r="F42" s="81">
        <v>44503</v>
      </c>
      <c r="G42" s="52">
        <v>6.9</v>
      </c>
      <c r="H42" s="48" t="s">
        <v>4389</v>
      </c>
      <c r="I42" s="85">
        <v>7</v>
      </c>
      <c r="J42" s="85">
        <v>21</v>
      </c>
      <c r="K42" s="85">
        <v>25</v>
      </c>
      <c r="L42" s="85">
        <v>14</v>
      </c>
      <c r="M42" s="85">
        <v>5</v>
      </c>
      <c r="N42" s="85"/>
      <c r="O42" s="85"/>
      <c r="P42" s="85"/>
      <c r="Q42" s="85"/>
      <c r="R42" s="85"/>
    </row>
    <row r="43" spans="2:18">
      <c r="B43" s="83">
        <v>4500458476</v>
      </c>
      <c r="C43" s="83">
        <v>507209</v>
      </c>
      <c r="D43" s="79" t="s">
        <v>2369</v>
      </c>
      <c r="E43" s="51" t="s">
        <v>4384</v>
      </c>
      <c r="F43" s="81">
        <v>44503</v>
      </c>
      <c r="G43" s="52">
        <v>5.82</v>
      </c>
      <c r="H43" s="48" t="s">
        <v>3254</v>
      </c>
      <c r="I43" s="85">
        <v>29</v>
      </c>
      <c r="J43" s="85">
        <v>87</v>
      </c>
      <c r="K43" s="85">
        <v>105</v>
      </c>
      <c r="L43" s="85">
        <v>59</v>
      </c>
      <c r="M43" s="85">
        <v>21</v>
      </c>
      <c r="N43" s="85"/>
      <c r="O43" s="85"/>
      <c r="P43" s="85"/>
      <c r="Q43" s="85"/>
      <c r="R43" s="85"/>
    </row>
    <row r="44" spans="2:18">
      <c r="B44" s="83">
        <v>4500458476</v>
      </c>
      <c r="C44" s="83">
        <v>507209</v>
      </c>
      <c r="D44" s="79" t="s">
        <v>2369</v>
      </c>
      <c r="E44" s="51" t="s">
        <v>4384</v>
      </c>
      <c r="F44" s="81">
        <v>44503</v>
      </c>
      <c r="G44" s="52">
        <v>6.45</v>
      </c>
      <c r="H44" s="48" t="s">
        <v>3265</v>
      </c>
      <c r="I44" s="85">
        <v>29</v>
      </c>
      <c r="J44" s="85">
        <v>87</v>
      </c>
      <c r="K44" s="85">
        <v>105</v>
      </c>
      <c r="L44" s="85">
        <v>59</v>
      </c>
      <c r="M44" s="85">
        <v>21</v>
      </c>
      <c r="N44" s="85"/>
      <c r="O44" s="85"/>
      <c r="P44" s="85"/>
      <c r="Q44" s="85"/>
      <c r="R44" s="85"/>
    </row>
    <row r="45" spans="2:18">
      <c r="B45" s="83">
        <v>4500458476</v>
      </c>
      <c r="C45" s="83">
        <v>507209</v>
      </c>
      <c r="D45" s="79" t="s">
        <v>2369</v>
      </c>
      <c r="E45" s="51" t="s">
        <v>4384</v>
      </c>
      <c r="F45" s="81">
        <v>44503</v>
      </c>
      <c r="G45" s="52">
        <v>5.82</v>
      </c>
      <c r="H45" s="48" t="s">
        <v>3255</v>
      </c>
      <c r="I45" s="85">
        <v>33</v>
      </c>
      <c r="J45" s="85">
        <v>100</v>
      </c>
      <c r="K45" s="85">
        <v>121</v>
      </c>
      <c r="L45" s="85">
        <v>69</v>
      </c>
      <c r="M45" s="85">
        <v>24</v>
      </c>
      <c r="N45" s="85"/>
      <c r="O45" s="85"/>
      <c r="P45" s="85"/>
      <c r="Q45" s="85"/>
      <c r="R45" s="85"/>
    </row>
    <row r="46" spans="2:18">
      <c r="B46" s="83">
        <v>4500458476</v>
      </c>
      <c r="C46" s="83">
        <v>507209</v>
      </c>
      <c r="D46" s="79" t="s">
        <v>2369</v>
      </c>
      <c r="E46" s="51" t="s">
        <v>4384</v>
      </c>
      <c r="F46" s="81">
        <v>44503</v>
      </c>
      <c r="G46" s="52">
        <v>5.9</v>
      </c>
      <c r="H46" s="48" t="s">
        <v>3257</v>
      </c>
      <c r="I46" s="85">
        <v>182</v>
      </c>
      <c r="J46" s="85">
        <v>551</v>
      </c>
      <c r="K46" s="85">
        <v>666</v>
      </c>
      <c r="L46" s="85">
        <v>377</v>
      </c>
      <c r="M46" s="85">
        <v>133</v>
      </c>
      <c r="N46" s="85"/>
      <c r="O46" s="85"/>
      <c r="P46" s="85"/>
      <c r="Q46" s="85"/>
      <c r="R46" s="85"/>
    </row>
    <row r="47" spans="2:18">
      <c r="B47" s="83">
        <v>4500458476</v>
      </c>
      <c r="C47" s="83">
        <v>507209</v>
      </c>
      <c r="D47" s="79" t="s">
        <v>2369</v>
      </c>
      <c r="E47" s="51" t="s">
        <v>4384</v>
      </c>
      <c r="F47" s="81">
        <v>44503</v>
      </c>
      <c r="G47" s="52">
        <v>5.95</v>
      </c>
      <c r="H47" s="48" t="s">
        <v>4396</v>
      </c>
      <c r="I47" s="85">
        <v>28</v>
      </c>
      <c r="J47" s="85">
        <v>85</v>
      </c>
      <c r="K47" s="85">
        <v>102</v>
      </c>
      <c r="L47" s="85">
        <v>58</v>
      </c>
      <c r="M47" s="85">
        <v>20</v>
      </c>
      <c r="N47" s="85"/>
      <c r="O47" s="85"/>
      <c r="P47" s="85"/>
      <c r="Q47" s="85"/>
      <c r="R47" s="85"/>
    </row>
    <row r="48" spans="2:18">
      <c r="B48" s="83">
        <v>4500458476</v>
      </c>
      <c r="C48" s="83">
        <v>507209</v>
      </c>
      <c r="D48" s="79" t="s">
        <v>2369</v>
      </c>
      <c r="E48" s="51" t="s">
        <v>4384</v>
      </c>
      <c r="F48" s="81">
        <v>44503</v>
      </c>
      <c r="G48" s="52">
        <v>5.82</v>
      </c>
      <c r="H48" s="48" t="s">
        <v>3258</v>
      </c>
      <c r="I48" s="85">
        <v>28</v>
      </c>
      <c r="J48" s="85">
        <v>85</v>
      </c>
      <c r="K48" s="85">
        <v>102</v>
      </c>
      <c r="L48" s="85">
        <v>58</v>
      </c>
      <c r="M48" s="85">
        <v>20</v>
      </c>
      <c r="N48" s="85"/>
      <c r="O48" s="85"/>
      <c r="P48" s="85"/>
      <c r="Q48" s="85"/>
      <c r="R48" s="85"/>
    </row>
    <row r="49" spans="2:18">
      <c r="B49" s="83">
        <v>4500458476</v>
      </c>
      <c r="C49" s="83">
        <v>507209</v>
      </c>
      <c r="D49" s="79" t="s">
        <v>2369</v>
      </c>
      <c r="E49" s="51" t="s">
        <v>4384</v>
      </c>
      <c r="F49" s="81">
        <v>44503</v>
      </c>
      <c r="G49" s="52">
        <v>5.82</v>
      </c>
      <c r="H49" s="48" t="s">
        <v>4397</v>
      </c>
      <c r="I49" s="85">
        <v>9</v>
      </c>
      <c r="J49" s="85">
        <v>28</v>
      </c>
      <c r="K49" s="85">
        <v>34</v>
      </c>
      <c r="L49" s="85">
        <v>19</v>
      </c>
      <c r="M49" s="85">
        <v>7</v>
      </c>
      <c r="N49" s="85"/>
      <c r="O49" s="85"/>
      <c r="P49" s="85"/>
      <c r="Q49" s="85"/>
      <c r="R49" s="85"/>
    </row>
    <row r="50" spans="2:18">
      <c r="B50" s="83">
        <v>4500458476</v>
      </c>
      <c r="C50" s="83">
        <v>507209</v>
      </c>
      <c r="D50" s="79" t="s">
        <v>2369</v>
      </c>
      <c r="E50" s="51" t="s">
        <v>4384</v>
      </c>
      <c r="F50" s="81">
        <v>44503</v>
      </c>
      <c r="G50" s="52">
        <v>5.95</v>
      </c>
      <c r="H50" s="48" t="s">
        <v>4386</v>
      </c>
      <c r="I50" s="85">
        <v>10</v>
      </c>
      <c r="J50" s="85">
        <v>29</v>
      </c>
      <c r="K50" s="85">
        <v>35</v>
      </c>
      <c r="L50" s="85">
        <v>20</v>
      </c>
      <c r="M50" s="85">
        <v>7</v>
      </c>
      <c r="N50" s="85"/>
      <c r="O50" s="85"/>
      <c r="P50" s="85"/>
      <c r="Q50" s="85"/>
      <c r="R50" s="85"/>
    </row>
    <row r="51" spans="2:18">
      <c r="B51" s="83">
        <v>4500458476</v>
      </c>
      <c r="C51" s="83">
        <v>507209</v>
      </c>
      <c r="D51" s="79" t="s">
        <v>2369</v>
      </c>
      <c r="E51" s="51" t="s">
        <v>4384</v>
      </c>
      <c r="F51" s="81">
        <v>44503</v>
      </c>
      <c r="G51" s="52">
        <v>5.82</v>
      </c>
      <c r="H51" s="48" t="s">
        <v>4388</v>
      </c>
      <c r="I51" s="85">
        <v>13</v>
      </c>
      <c r="J51" s="85">
        <v>38</v>
      </c>
      <c r="K51" s="85">
        <v>46</v>
      </c>
      <c r="L51" s="85">
        <v>26</v>
      </c>
      <c r="M51" s="85">
        <v>9</v>
      </c>
      <c r="N51" s="85"/>
      <c r="O51" s="85"/>
      <c r="P51" s="85"/>
      <c r="Q51" s="85"/>
      <c r="R51" s="85"/>
    </row>
    <row r="52" spans="2:18">
      <c r="B52" s="83">
        <v>4500458476</v>
      </c>
      <c r="C52" s="83">
        <v>507209</v>
      </c>
      <c r="D52" s="79" t="s">
        <v>2369</v>
      </c>
      <c r="E52" s="51" t="s">
        <v>4384</v>
      </c>
      <c r="F52" s="81">
        <v>44503</v>
      </c>
      <c r="G52" s="52">
        <v>5.9</v>
      </c>
      <c r="H52" s="48" t="s">
        <v>3256</v>
      </c>
      <c r="I52" s="85">
        <v>38</v>
      </c>
      <c r="J52" s="85">
        <v>115</v>
      </c>
      <c r="K52" s="85">
        <v>140</v>
      </c>
      <c r="L52" s="85">
        <v>79</v>
      </c>
      <c r="M52" s="85">
        <v>28</v>
      </c>
      <c r="N52" s="85"/>
      <c r="O52" s="85"/>
      <c r="P52" s="85"/>
      <c r="Q52" s="85"/>
      <c r="R52" s="85"/>
    </row>
    <row r="53" spans="2:18">
      <c r="B53" s="83">
        <v>4500458476</v>
      </c>
      <c r="C53" s="83">
        <v>529692</v>
      </c>
      <c r="D53" s="79" t="s">
        <v>2369</v>
      </c>
      <c r="E53" s="51" t="s">
        <v>4384</v>
      </c>
      <c r="F53" s="81">
        <v>44503</v>
      </c>
      <c r="G53" s="52">
        <v>6.03</v>
      </c>
      <c r="H53" s="48" t="s">
        <v>3252</v>
      </c>
      <c r="I53" s="85"/>
      <c r="J53" s="85"/>
      <c r="K53" s="85"/>
      <c r="L53" s="85"/>
      <c r="M53" s="85"/>
      <c r="N53" s="85">
        <v>36</v>
      </c>
      <c r="O53" s="85">
        <v>29</v>
      </c>
      <c r="P53" s="85">
        <v>9</v>
      </c>
      <c r="Q53" s="85"/>
      <c r="R53" s="85"/>
    </row>
    <row r="54" spans="2:18">
      <c r="B54" s="83">
        <v>4500458476</v>
      </c>
      <c r="C54" s="83">
        <v>529692</v>
      </c>
      <c r="D54" s="79" t="s">
        <v>2369</v>
      </c>
      <c r="E54" s="51" t="s">
        <v>4384</v>
      </c>
      <c r="F54" s="81">
        <v>44503</v>
      </c>
      <c r="G54" s="52">
        <v>7.63</v>
      </c>
      <c r="H54" s="48" t="s">
        <v>3253</v>
      </c>
      <c r="I54" s="85"/>
      <c r="J54" s="85"/>
      <c r="K54" s="85"/>
      <c r="L54" s="85"/>
      <c r="M54" s="85"/>
      <c r="N54" s="85">
        <v>45</v>
      </c>
      <c r="O54" s="85">
        <v>38</v>
      </c>
      <c r="P54" s="85">
        <v>11</v>
      </c>
      <c r="Q54" s="85"/>
      <c r="R54" s="85"/>
    </row>
    <row r="55" spans="2:18">
      <c r="B55" s="83">
        <v>4500458476</v>
      </c>
      <c r="C55" s="83">
        <v>529692</v>
      </c>
      <c r="D55" s="79" t="s">
        <v>2369</v>
      </c>
      <c r="E55" s="51" t="s">
        <v>4384</v>
      </c>
      <c r="F55" s="81">
        <v>44503</v>
      </c>
      <c r="G55" s="52">
        <v>6.29</v>
      </c>
      <c r="H55" s="48" t="s">
        <v>4387</v>
      </c>
      <c r="I55" s="85"/>
      <c r="J55" s="85"/>
      <c r="K55" s="85"/>
      <c r="L55" s="85"/>
      <c r="M55" s="85"/>
      <c r="N55" s="85">
        <v>128</v>
      </c>
      <c r="O55" s="85">
        <v>106</v>
      </c>
      <c r="P55" s="85">
        <v>32</v>
      </c>
      <c r="Q55" s="85"/>
      <c r="R55" s="85"/>
    </row>
    <row r="56" spans="2:18">
      <c r="B56" s="83">
        <v>4500458476</v>
      </c>
      <c r="C56" s="83">
        <v>529688</v>
      </c>
      <c r="D56" s="79" t="s">
        <v>2369</v>
      </c>
      <c r="E56" s="51" t="s">
        <v>4384</v>
      </c>
      <c r="F56" s="81">
        <v>44503</v>
      </c>
      <c r="G56" s="52">
        <v>6.35</v>
      </c>
      <c r="H56" s="48" t="s">
        <v>3257</v>
      </c>
      <c r="I56" s="85"/>
      <c r="J56" s="85"/>
      <c r="K56" s="85"/>
      <c r="L56" s="85"/>
      <c r="M56" s="85"/>
      <c r="N56" s="85">
        <v>77</v>
      </c>
      <c r="O56" s="85">
        <v>63</v>
      </c>
      <c r="P56" s="85">
        <v>19</v>
      </c>
      <c r="Q56" s="85"/>
      <c r="R56" s="85"/>
    </row>
    <row r="57" spans="2:18">
      <c r="B57" s="83">
        <v>4500458477</v>
      </c>
      <c r="C57" s="83">
        <v>506896</v>
      </c>
      <c r="D57" s="79" t="s">
        <v>2369</v>
      </c>
      <c r="E57" s="51" t="s">
        <v>4384</v>
      </c>
      <c r="F57" s="81">
        <v>44524</v>
      </c>
      <c r="G57" s="52">
        <v>5.6</v>
      </c>
      <c r="H57" s="48" t="s">
        <v>3248</v>
      </c>
      <c r="I57" s="85">
        <v>114</v>
      </c>
      <c r="J57" s="85">
        <v>209</v>
      </c>
      <c r="K57" s="85">
        <v>152</v>
      </c>
      <c r="L57" s="85">
        <v>143</v>
      </c>
      <c r="M57" s="85">
        <v>59</v>
      </c>
      <c r="N57" s="85"/>
      <c r="O57" s="85"/>
      <c r="P57" s="85"/>
      <c r="Q57" s="85"/>
      <c r="R57" s="85"/>
    </row>
    <row r="58" spans="2:18">
      <c r="B58" s="83">
        <v>4500458477</v>
      </c>
      <c r="C58" s="83">
        <v>506896</v>
      </c>
      <c r="D58" s="79" t="s">
        <v>2369</v>
      </c>
      <c r="E58" s="51" t="s">
        <v>4384</v>
      </c>
      <c r="F58" s="81">
        <v>44524</v>
      </c>
      <c r="G58" s="52">
        <v>5.84</v>
      </c>
      <c r="H58" s="48" t="s">
        <v>3249</v>
      </c>
      <c r="I58" s="85">
        <v>110</v>
      </c>
      <c r="J58" s="85">
        <v>278</v>
      </c>
      <c r="K58" s="85">
        <v>152</v>
      </c>
      <c r="L58" s="85">
        <v>176</v>
      </c>
      <c r="M58" s="85">
        <v>81</v>
      </c>
      <c r="N58" s="85"/>
      <c r="O58" s="85"/>
      <c r="P58" s="85"/>
      <c r="Q58" s="85"/>
      <c r="R58" s="85"/>
    </row>
    <row r="59" spans="2:18">
      <c r="B59" s="83">
        <v>4500458477</v>
      </c>
      <c r="C59" s="83">
        <v>506896</v>
      </c>
      <c r="D59" s="79" t="s">
        <v>2369</v>
      </c>
      <c r="E59" s="51" t="s">
        <v>4384</v>
      </c>
      <c r="F59" s="81">
        <v>44524</v>
      </c>
      <c r="G59" s="52">
        <v>6.9</v>
      </c>
      <c r="H59" s="48" t="s">
        <v>3250</v>
      </c>
      <c r="I59" s="85">
        <v>117</v>
      </c>
      <c r="J59" s="85">
        <v>355</v>
      </c>
      <c r="K59" s="85">
        <v>429</v>
      </c>
      <c r="L59" s="85">
        <v>243</v>
      </c>
      <c r="M59" s="85">
        <v>86</v>
      </c>
      <c r="N59" s="85"/>
      <c r="O59" s="85"/>
      <c r="P59" s="85"/>
      <c r="Q59" s="85"/>
      <c r="R59" s="85"/>
    </row>
    <row r="60" spans="2:18">
      <c r="B60" s="83">
        <v>4500458477</v>
      </c>
      <c r="C60" s="83">
        <v>506896</v>
      </c>
      <c r="D60" s="79" t="s">
        <v>2369</v>
      </c>
      <c r="E60" s="51" t="s">
        <v>4384</v>
      </c>
      <c r="F60" s="81">
        <v>44524</v>
      </c>
      <c r="G60" s="52">
        <v>5.6</v>
      </c>
      <c r="H60" s="48" t="s">
        <v>3252</v>
      </c>
      <c r="I60" s="85">
        <v>313</v>
      </c>
      <c r="J60" s="85">
        <v>829</v>
      </c>
      <c r="K60" s="85">
        <v>970</v>
      </c>
      <c r="L60" s="85">
        <v>627</v>
      </c>
      <c r="M60" s="85">
        <v>301</v>
      </c>
      <c r="N60" s="85"/>
      <c r="O60" s="85"/>
      <c r="P60" s="85"/>
      <c r="Q60" s="85"/>
      <c r="R60" s="85"/>
    </row>
    <row r="61" spans="2:18">
      <c r="B61" s="83">
        <v>4500458477</v>
      </c>
      <c r="C61" s="83">
        <v>506896</v>
      </c>
      <c r="D61" s="79" t="s">
        <v>2369</v>
      </c>
      <c r="E61" s="51" t="s">
        <v>4384</v>
      </c>
      <c r="F61" s="81">
        <v>44524</v>
      </c>
      <c r="G61" s="52">
        <v>7.15</v>
      </c>
      <c r="H61" s="48" t="s">
        <v>3253</v>
      </c>
      <c r="I61" s="85">
        <v>205</v>
      </c>
      <c r="J61" s="85">
        <v>620</v>
      </c>
      <c r="K61" s="85">
        <v>750</v>
      </c>
      <c r="L61" s="85">
        <v>424</v>
      </c>
      <c r="M61" s="85">
        <v>150</v>
      </c>
      <c r="N61" s="85"/>
      <c r="O61" s="85"/>
      <c r="P61" s="85"/>
      <c r="Q61" s="85"/>
      <c r="R61" s="85"/>
    </row>
    <row r="62" spans="2:18">
      <c r="B62" s="83">
        <v>4500458477</v>
      </c>
      <c r="C62" s="83">
        <v>506896</v>
      </c>
      <c r="D62" s="79" t="s">
        <v>2369</v>
      </c>
      <c r="E62" s="51" t="s">
        <v>4384</v>
      </c>
      <c r="F62" s="81">
        <v>44524</v>
      </c>
      <c r="G62" s="52">
        <v>5.84</v>
      </c>
      <c r="H62" s="48" t="s">
        <v>4387</v>
      </c>
      <c r="I62" s="85">
        <v>258</v>
      </c>
      <c r="J62" s="85">
        <v>645</v>
      </c>
      <c r="K62" s="85">
        <v>763</v>
      </c>
      <c r="L62" s="85">
        <v>492</v>
      </c>
      <c r="M62" s="85">
        <v>161</v>
      </c>
      <c r="N62" s="85"/>
      <c r="O62" s="85"/>
      <c r="P62" s="85"/>
      <c r="Q62" s="85"/>
      <c r="R62" s="85"/>
    </row>
    <row r="63" spans="2:18">
      <c r="B63" s="83">
        <v>4500458477</v>
      </c>
      <c r="C63" s="83">
        <v>506896</v>
      </c>
      <c r="D63" s="79" t="s">
        <v>2369</v>
      </c>
      <c r="E63" s="51" t="s">
        <v>4384</v>
      </c>
      <c r="F63" s="81">
        <v>44524</v>
      </c>
      <c r="G63" s="52">
        <v>6.9</v>
      </c>
      <c r="H63" s="48" t="s">
        <v>4389</v>
      </c>
      <c r="I63" s="85">
        <v>95</v>
      </c>
      <c r="J63" s="85">
        <v>287</v>
      </c>
      <c r="K63" s="85">
        <v>348</v>
      </c>
      <c r="L63" s="85">
        <v>197</v>
      </c>
      <c r="M63" s="85">
        <v>70</v>
      </c>
      <c r="N63" s="85"/>
      <c r="O63" s="85"/>
      <c r="P63" s="85"/>
      <c r="Q63" s="85"/>
      <c r="R63" s="85"/>
    </row>
    <row r="64" spans="2:18">
      <c r="B64" s="83">
        <v>4500458477</v>
      </c>
      <c r="C64" s="83">
        <v>507209</v>
      </c>
      <c r="D64" s="79" t="s">
        <v>2369</v>
      </c>
      <c r="E64" s="51" t="s">
        <v>4384</v>
      </c>
      <c r="F64" s="81">
        <v>44524</v>
      </c>
      <c r="G64" s="52">
        <v>5.82</v>
      </c>
      <c r="H64" s="48" t="s">
        <v>3254</v>
      </c>
      <c r="I64" s="85">
        <v>112</v>
      </c>
      <c r="J64" s="85">
        <v>340</v>
      </c>
      <c r="K64" s="85">
        <v>411</v>
      </c>
      <c r="L64" s="85">
        <v>232</v>
      </c>
      <c r="M64" s="85">
        <v>82</v>
      </c>
      <c r="N64" s="85"/>
      <c r="O64" s="85"/>
      <c r="P64" s="85"/>
      <c r="Q64" s="85"/>
      <c r="R64" s="85"/>
    </row>
    <row r="65" spans="2:18">
      <c r="B65" s="83">
        <v>4500458477</v>
      </c>
      <c r="C65" s="83">
        <v>507209</v>
      </c>
      <c r="D65" s="79" t="s">
        <v>2369</v>
      </c>
      <c r="E65" s="51" t="s">
        <v>4384</v>
      </c>
      <c r="F65" s="81">
        <v>44524</v>
      </c>
      <c r="G65" s="52">
        <v>6.45</v>
      </c>
      <c r="H65" s="48" t="s">
        <v>3265</v>
      </c>
      <c r="I65" s="85">
        <v>125</v>
      </c>
      <c r="J65" s="85">
        <v>380</v>
      </c>
      <c r="K65" s="85">
        <v>459</v>
      </c>
      <c r="L65" s="85">
        <v>260</v>
      </c>
      <c r="M65" s="85">
        <v>92</v>
      </c>
      <c r="N65" s="85"/>
      <c r="O65" s="85"/>
      <c r="P65" s="85"/>
      <c r="Q65" s="85"/>
      <c r="R65" s="85"/>
    </row>
    <row r="66" spans="2:18">
      <c r="B66" s="83">
        <v>4500458477</v>
      </c>
      <c r="C66" s="83">
        <v>507209</v>
      </c>
      <c r="D66" s="79" t="s">
        <v>2369</v>
      </c>
      <c r="E66" s="51" t="s">
        <v>4384</v>
      </c>
      <c r="F66" s="81">
        <v>44524</v>
      </c>
      <c r="G66" s="52">
        <v>5.82</v>
      </c>
      <c r="H66" s="48" t="s">
        <v>3255</v>
      </c>
      <c r="I66" s="85">
        <v>189</v>
      </c>
      <c r="J66" s="85">
        <v>573</v>
      </c>
      <c r="K66" s="85">
        <v>693</v>
      </c>
      <c r="L66" s="85">
        <v>392</v>
      </c>
      <c r="M66" s="85">
        <v>139</v>
      </c>
      <c r="N66" s="85"/>
      <c r="O66" s="85"/>
      <c r="P66" s="85"/>
      <c r="Q66" s="85"/>
      <c r="R66" s="85"/>
    </row>
    <row r="67" spans="2:18">
      <c r="B67" s="83">
        <v>4500458477</v>
      </c>
      <c r="C67" s="83">
        <v>507209</v>
      </c>
      <c r="D67" s="79" t="s">
        <v>2369</v>
      </c>
      <c r="E67" s="51" t="s">
        <v>4384</v>
      </c>
      <c r="F67" s="81">
        <v>44524</v>
      </c>
      <c r="G67" s="52">
        <v>5.9</v>
      </c>
      <c r="H67" s="48" t="s">
        <v>3257</v>
      </c>
      <c r="I67" s="85">
        <v>606</v>
      </c>
      <c r="J67" s="85">
        <v>1835</v>
      </c>
      <c r="K67" s="85">
        <v>2219</v>
      </c>
      <c r="L67" s="85">
        <v>1256</v>
      </c>
      <c r="M67" s="85">
        <v>444</v>
      </c>
      <c r="N67" s="85"/>
      <c r="O67" s="85"/>
      <c r="P67" s="85"/>
      <c r="Q67" s="85"/>
      <c r="R67" s="85"/>
    </row>
    <row r="68" spans="2:18">
      <c r="B68" s="83">
        <v>4500458477</v>
      </c>
      <c r="C68" s="83">
        <v>507209</v>
      </c>
      <c r="D68" s="79" t="s">
        <v>2369</v>
      </c>
      <c r="E68" s="51" t="s">
        <v>4384</v>
      </c>
      <c r="F68" s="81">
        <v>44524</v>
      </c>
      <c r="G68" s="52">
        <v>5.95</v>
      </c>
      <c r="H68" s="48" t="s">
        <v>4396</v>
      </c>
      <c r="I68" s="85">
        <v>119</v>
      </c>
      <c r="J68" s="85">
        <v>360</v>
      </c>
      <c r="K68" s="85">
        <v>435</v>
      </c>
      <c r="L68" s="85">
        <v>246</v>
      </c>
      <c r="M68" s="85">
        <v>87</v>
      </c>
      <c r="N68" s="85"/>
      <c r="O68" s="85"/>
      <c r="P68" s="85"/>
      <c r="Q68" s="85"/>
      <c r="R68" s="85"/>
    </row>
    <row r="69" spans="2:18">
      <c r="B69" s="83">
        <v>4500458477</v>
      </c>
      <c r="C69" s="83">
        <v>507209</v>
      </c>
      <c r="D69" s="79" t="s">
        <v>2369</v>
      </c>
      <c r="E69" s="51" t="s">
        <v>4384</v>
      </c>
      <c r="F69" s="81">
        <v>44524</v>
      </c>
      <c r="G69" s="52">
        <v>5.82</v>
      </c>
      <c r="H69" s="48" t="s">
        <v>3258</v>
      </c>
      <c r="I69" s="85">
        <v>111</v>
      </c>
      <c r="J69" s="85">
        <v>335</v>
      </c>
      <c r="K69" s="85">
        <v>405</v>
      </c>
      <c r="L69" s="85">
        <v>229</v>
      </c>
      <c r="M69" s="85">
        <v>81</v>
      </c>
      <c r="N69" s="85"/>
      <c r="O69" s="85"/>
      <c r="P69" s="85"/>
      <c r="Q69" s="85"/>
      <c r="R69" s="85"/>
    </row>
    <row r="70" spans="2:18">
      <c r="B70" s="83">
        <v>4500458477</v>
      </c>
      <c r="C70" s="83">
        <v>507209</v>
      </c>
      <c r="D70" s="79" t="s">
        <v>2369</v>
      </c>
      <c r="E70" s="51" t="s">
        <v>4384</v>
      </c>
      <c r="F70" s="81">
        <v>44524</v>
      </c>
      <c r="G70" s="52">
        <v>5.82</v>
      </c>
      <c r="H70" s="48" t="s">
        <v>4397</v>
      </c>
      <c r="I70" s="85">
        <v>28</v>
      </c>
      <c r="J70" s="85">
        <v>85</v>
      </c>
      <c r="K70" s="85">
        <v>102</v>
      </c>
      <c r="L70" s="85">
        <v>58</v>
      </c>
      <c r="M70" s="85">
        <v>20</v>
      </c>
      <c r="N70" s="85"/>
      <c r="O70" s="85"/>
      <c r="P70" s="85"/>
      <c r="Q70" s="85"/>
      <c r="R70" s="85"/>
    </row>
    <row r="71" spans="2:18">
      <c r="B71" s="83">
        <v>4500458477</v>
      </c>
      <c r="C71" s="83">
        <v>507209</v>
      </c>
      <c r="D71" s="79" t="s">
        <v>2369</v>
      </c>
      <c r="E71" s="51" t="s">
        <v>4384</v>
      </c>
      <c r="F71" s="81">
        <v>44524</v>
      </c>
      <c r="G71" s="52">
        <v>5.95</v>
      </c>
      <c r="H71" s="48" t="s">
        <v>4386</v>
      </c>
      <c r="I71" s="85">
        <v>28</v>
      </c>
      <c r="J71" s="85">
        <v>85</v>
      </c>
      <c r="K71" s="85">
        <v>103</v>
      </c>
      <c r="L71" s="85">
        <v>58</v>
      </c>
      <c r="M71" s="85">
        <v>21</v>
      </c>
      <c r="N71" s="85"/>
      <c r="O71" s="85"/>
      <c r="P71" s="85"/>
      <c r="Q71" s="85"/>
      <c r="R71" s="85"/>
    </row>
    <row r="72" spans="2:18">
      <c r="B72" s="83">
        <v>4500458477</v>
      </c>
      <c r="C72" s="83">
        <v>507209</v>
      </c>
      <c r="D72" s="79" t="s">
        <v>2369</v>
      </c>
      <c r="E72" s="51" t="s">
        <v>4384</v>
      </c>
      <c r="F72" s="81">
        <v>44524</v>
      </c>
      <c r="G72" s="52">
        <v>5.82</v>
      </c>
      <c r="H72" s="48" t="s">
        <v>4388</v>
      </c>
      <c r="I72" s="85">
        <v>60</v>
      </c>
      <c r="J72" s="85">
        <v>181</v>
      </c>
      <c r="K72" s="85">
        <v>219</v>
      </c>
      <c r="L72" s="85">
        <v>124</v>
      </c>
      <c r="M72" s="85">
        <v>44</v>
      </c>
      <c r="N72" s="85"/>
      <c r="O72" s="85"/>
      <c r="P72" s="85"/>
      <c r="Q72" s="85"/>
      <c r="R72" s="85"/>
    </row>
    <row r="73" spans="2:18">
      <c r="B73" s="83">
        <v>4500458477</v>
      </c>
      <c r="C73" s="83">
        <v>507209</v>
      </c>
      <c r="D73" s="79" t="s">
        <v>2369</v>
      </c>
      <c r="E73" s="51" t="s">
        <v>4384</v>
      </c>
      <c r="F73" s="81">
        <v>44524</v>
      </c>
      <c r="G73" s="52">
        <v>5.9</v>
      </c>
      <c r="H73" s="48" t="s">
        <v>3256</v>
      </c>
      <c r="I73" s="85">
        <v>162</v>
      </c>
      <c r="J73" s="85">
        <v>491</v>
      </c>
      <c r="K73" s="85">
        <v>593</v>
      </c>
      <c r="L73" s="85">
        <v>336</v>
      </c>
      <c r="M73" s="85">
        <v>119</v>
      </c>
      <c r="N73" s="85"/>
      <c r="O73" s="85"/>
      <c r="P73" s="85"/>
      <c r="Q73" s="85"/>
      <c r="R73" s="85"/>
    </row>
    <row r="74" spans="2:18">
      <c r="B74" s="83">
        <v>4500458477</v>
      </c>
      <c r="C74" s="83">
        <v>529692</v>
      </c>
      <c r="D74" s="79" t="s">
        <v>2369</v>
      </c>
      <c r="E74" s="51" t="s">
        <v>4384</v>
      </c>
      <c r="F74" s="81">
        <v>44524</v>
      </c>
      <c r="G74" s="52">
        <v>6.03</v>
      </c>
      <c r="H74" s="48" t="s">
        <v>3252</v>
      </c>
      <c r="I74" s="85"/>
      <c r="J74" s="85"/>
      <c r="K74" s="85"/>
      <c r="L74" s="85"/>
      <c r="M74" s="85"/>
      <c r="N74" s="85">
        <v>136</v>
      </c>
      <c r="O74" s="85">
        <v>112</v>
      </c>
      <c r="P74" s="85">
        <v>34</v>
      </c>
      <c r="Q74" s="85"/>
      <c r="R74" s="85"/>
    </row>
    <row r="75" spans="2:18">
      <c r="B75" s="83">
        <v>4500458531</v>
      </c>
      <c r="C75" s="83">
        <v>506896</v>
      </c>
      <c r="D75" s="79" t="s">
        <v>2369</v>
      </c>
      <c r="E75" s="51" t="s">
        <v>4384</v>
      </c>
      <c r="F75" s="81">
        <v>44549</v>
      </c>
      <c r="G75" s="52">
        <v>5.84</v>
      </c>
      <c r="H75" s="48" t="s">
        <v>3249</v>
      </c>
      <c r="I75" s="85">
        <v>28</v>
      </c>
      <c r="J75" s="85">
        <v>104</v>
      </c>
      <c r="K75" s="85">
        <v>132</v>
      </c>
      <c r="L75" s="85">
        <v>89</v>
      </c>
      <c r="M75" s="85">
        <v>42</v>
      </c>
      <c r="N75" s="85"/>
      <c r="O75" s="85"/>
      <c r="P75" s="85"/>
      <c r="Q75" s="85"/>
      <c r="R75" s="85"/>
    </row>
    <row r="76" spans="2:18">
      <c r="B76" s="83">
        <v>4500458531</v>
      </c>
      <c r="C76" s="83">
        <v>506896</v>
      </c>
      <c r="D76" s="79" t="s">
        <v>2369</v>
      </c>
      <c r="E76" s="51" t="s">
        <v>4384</v>
      </c>
      <c r="F76" s="81">
        <v>44549</v>
      </c>
      <c r="G76" s="52">
        <v>6.9</v>
      </c>
      <c r="H76" s="48" t="s">
        <v>3250</v>
      </c>
      <c r="I76" s="85">
        <v>32</v>
      </c>
      <c r="J76" s="85">
        <v>118</v>
      </c>
      <c r="K76" s="85">
        <v>150</v>
      </c>
      <c r="L76" s="85">
        <v>101</v>
      </c>
      <c r="M76" s="85">
        <v>48</v>
      </c>
      <c r="N76" s="85"/>
      <c r="O76" s="85"/>
      <c r="P76" s="85"/>
      <c r="Q76" s="85"/>
      <c r="R76" s="85"/>
    </row>
    <row r="77" spans="2:18">
      <c r="B77" s="83">
        <v>4500458531</v>
      </c>
      <c r="C77" s="83">
        <v>506896</v>
      </c>
      <c r="D77" s="79" t="s">
        <v>2369</v>
      </c>
      <c r="E77" s="51" t="s">
        <v>4384</v>
      </c>
      <c r="F77" s="81">
        <v>44549</v>
      </c>
      <c r="G77" s="52">
        <v>5.6</v>
      </c>
      <c r="H77" s="48" t="s">
        <v>3252</v>
      </c>
      <c r="I77" s="85">
        <v>40</v>
      </c>
      <c r="J77" s="85">
        <v>147</v>
      </c>
      <c r="K77" s="85">
        <v>186</v>
      </c>
      <c r="L77" s="85">
        <v>125</v>
      </c>
      <c r="M77" s="85">
        <v>60</v>
      </c>
      <c r="N77" s="85"/>
      <c r="O77" s="85"/>
      <c r="P77" s="85"/>
      <c r="Q77" s="85"/>
      <c r="R77" s="85"/>
    </row>
    <row r="78" spans="2:18">
      <c r="B78" s="83">
        <v>4500458531</v>
      </c>
      <c r="C78" s="83">
        <v>506896</v>
      </c>
      <c r="D78" s="79" t="s">
        <v>2369</v>
      </c>
      <c r="E78" s="51" t="s">
        <v>4384</v>
      </c>
      <c r="F78" s="81">
        <v>44549</v>
      </c>
      <c r="G78" s="52">
        <v>5.84</v>
      </c>
      <c r="H78" s="48" t="s">
        <v>4387</v>
      </c>
      <c r="I78" s="85">
        <v>28</v>
      </c>
      <c r="J78" s="85">
        <v>104</v>
      </c>
      <c r="K78" s="85">
        <v>132</v>
      </c>
      <c r="L78" s="85">
        <v>89</v>
      </c>
      <c r="M78" s="85">
        <v>42</v>
      </c>
      <c r="N78" s="85"/>
      <c r="O78" s="85"/>
      <c r="P78" s="85"/>
      <c r="Q78" s="85"/>
      <c r="R78" s="85"/>
    </row>
    <row r="79" spans="2:18">
      <c r="B79" s="83">
        <v>4500458531</v>
      </c>
      <c r="C79" s="83">
        <v>507209</v>
      </c>
      <c r="D79" s="79" t="s">
        <v>2369</v>
      </c>
      <c r="E79" s="51" t="s">
        <v>4384</v>
      </c>
      <c r="F79" s="81">
        <v>44549</v>
      </c>
      <c r="G79" s="52">
        <v>6.45</v>
      </c>
      <c r="H79" s="48" t="s">
        <v>3265</v>
      </c>
      <c r="I79" s="85">
        <v>16</v>
      </c>
      <c r="J79" s="85">
        <v>60</v>
      </c>
      <c r="K79" s="85">
        <v>77</v>
      </c>
      <c r="L79" s="85">
        <v>52</v>
      </c>
      <c r="M79" s="85">
        <v>25</v>
      </c>
      <c r="N79" s="85"/>
      <c r="O79" s="85"/>
      <c r="P79" s="85"/>
      <c r="Q79" s="85"/>
      <c r="R79" s="85"/>
    </row>
    <row r="80" spans="2:18">
      <c r="B80" s="83">
        <v>4500458531</v>
      </c>
      <c r="C80" s="83">
        <v>507209</v>
      </c>
      <c r="D80" s="79" t="s">
        <v>2369</v>
      </c>
      <c r="E80" s="51" t="s">
        <v>4384</v>
      </c>
      <c r="F80" s="81">
        <v>44549</v>
      </c>
      <c r="G80" s="52">
        <v>5.82</v>
      </c>
      <c r="H80" s="48" t="s">
        <v>3255</v>
      </c>
      <c r="I80" s="85">
        <v>16</v>
      </c>
      <c r="J80" s="85">
        <v>57</v>
      </c>
      <c r="K80" s="85">
        <v>73</v>
      </c>
      <c r="L80" s="85">
        <v>49</v>
      </c>
      <c r="M80" s="85">
        <v>23</v>
      </c>
      <c r="N80" s="85"/>
      <c r="O80" s="85"/>
      <c r="P80" s="85"/>
      <c r="Q80" s="85"/>
      <c r="R80" s="85"/>
    </row>
    <row r="81" spans="2:18">
      <c r="B81" s="83">
        <v>4500458531</v>
      </c>
      <c r="C81" s="83">
        <v>507209</v>
      </c>
      <c r="D81" s="79" t="s">
        <v>2369</v>
      </c>
      <c r="E81" s="51" t="s">
        <v>4384</v>
      </c>
      <c r="F81" s="81">
        <v>44549</v>
      </c>
      <c r="G81" s="52">
        <v>5.9</v>
      </c>
      <c r="H81" s="48" t="s">
        <v>3257</v>
      </c>
      <c r="I81" s="85">
        <v>10</v>
      </c>
      <c r="J81" s="85">
        <v>36</v>
      </c>
      <c r="K81" s="85">
        <v>46</v>
      </c>
      <c r="L81" s="85">
        <v>31</v>
      </c>
      <c r="M81" s="85">
        <v>15</v>
      </c>
      <c r="N81" s="85"/>
      <c r="O81" s="85"/>
      <c r="P81" s="85"/>
      <c r="Q81" s="85"/>
      <c r="R81" s="85"/>
    </row>
    <row r="82" spans="2:18">
      <c r="B82" s="83">
        <v>4500458531</v>
      </c>
      <c r="C82" s="83">
        <v>507209</v>
      </c>
      <c r="D82" s="79" t="s">
        <v>2369</v>
      </c>
      <c r="E82" s="51" t="s">
        <v>4384</v>
      </c>
      <c r="F82" s="81">
        <v>44549</v>
      </c>
      <c r="G82" s="52">
        <v>5.95</v>
      </c>
      <c r="H82" s="48" t="s">
        <v>4396</v>
      </c>
      <c r="I82" s="85">
        <v>14</v>
      </c>
      <c r="J82" s="85">
        <v>51</v>
      </c>
      <c r="K82" s="85">
        <v>65</v>
      </c>
      <c r="L82" s="85">
        <v>44</v>
      </c>
      <c r="M82" s="85">
        <v>21</v>
      </c>
      <c r="N82" s="85"/>
      <c r="O82" s="85"/>
      <c r="P82" s="85"/>
      <c r="Q82" s="85"/>
      <c r="R82" s="85"/>
    </row>
    <row r="83" spans="2:18">
      <c r="B83" s="83">
        <v>4500458531</v>
      </c>
      <c r="C83" s="83">
        <v>507209</v>
      </c>
      <c r="D83" s="79" t="s">
        <v>2369</v>
      </c>
      <c r="E83" s="51" t="s">
        <v>4384</v>
      </c>
      <c r="F83" s="81">
        <v>44549</v>
      </c>
      <c r="G83" s="52">
        <v>5.82</v>
      </c>
      <c r="H83" s="48" t="s">
        <v>4397</v>
      </c>
      <c r="I83" s="85">
        <v>11</v>
      </c>
      <c r="J83" s="85">
        <v>39</v>
      </c>
      <c r="K83" s="85">
        <v>50</v>
      </c>
      <c r="L83" s="85">
        <v>34</v>
      </c>
      <c r="M83" s="85">
        <v>16</v>
      </c>
      <c r="N83" s="85"/>
      <c r="O83" s="85"/>
      <c r="P83" s="85"/>
      <c r="Q83" s="85"/>
      <c r="R83" s="85"/>
    </row>
    <row r="84" spans="2:18">
      <c r="B84" s="83">
        <v>4500458531</v>
      </c>
      <c r="C84" s="83">
        <v>507209</v>
      </c>
      <c r="D84" s="79" t="s">
        <v>2369</v>
      </c>
      <c r="E84" s="51" t="s">
        <v>4384</v>
      </c>
      <c r="F84" s="81">
        <v>44549</v>
      </c>
      <c r="G84" s="52">
        <v>5.9</v>
      </c>
      <c r="H84" s="48" t="s">
        <v>3256</v>
      </c>
      <c r="I84" s="85">
        <v>16</v>
      </c>
      <c r="J84" s="85">
        <v>57</v>
      </c>
      <c r="K84" s="85">
        <v>73</v>
      </c>
      <c r="L84" s="85">
        <v>49</v>
      </c>
      <c r="M84" s="85">
        <v>23</v>
      </c>
      <c r="N84" s="85"/>
      <c r="O84" s="85"/>
      <c r="P84" s="85"/>
      <c r="Q84" s="85"/>
      <c r="R84" s="85"/>
    </row>
    <row r="85" spans="2:18">
      <c r="B85" s="83">
        <v>4500458532</v>
      </c>
      <c r="C85" s="83">
        <v>506896</v>
      </c>
      <c r="D85" s="79" t="s">
        <v>2369</v>
      </c>
      <c r="E85" s="51" t="s">
        <v>4384</v>
      </c>
      <c r="F85" s="81">
        <v>44585</v>
      </c>
      <c r="G85" s="52">
        <v>5.84</v>
      </c>
      <c r="H85" s="48" t="s">
        <v>3249</v>
      </c>
      <c r="I85" s="85">
        <v>28</v>
      </c>
      <c r="J85" s="85">
        <v>104</v>
      </c>
      <c r="K85" s="85">
        <v>132</v>
      </c>
      <c r="L85" s="85">
        <v>89</v>
      </c>
      <c r="M85" s="85">
        <v>42</v>
      </c>
      <c r="N85" s="85"/>
      <c r="O85" s="85"/>
      <c r="P85" s="85"/>
      <c r="Q85" s="85"/>
      <c r="R85" s="85"/>
    </row>
    <row r="86" spans="2:18">
      <c r="B86" s="83">
        <v>4500458532</v>
      </c>
      <c r="C86" s="83">
        <v>506896</v>
      </c>
      <c r="D86" s="79" t="s">
        <v>2369</v>
      </c>
      <c r="E86" s="51" t="s">
        <v>4384</v>
      </c>
      <c r="F86" s="81">
        <v>44585</v>
      </c>
      <c r="G86" s="52">
        <v>6.9</v>
      </c>
      <c r="H86" s="48" t="s">
        <v>3250</v>
      </c>
      <c r="I86" s="85">
        <v>32</v>
      </c>
      <c r="J86" s="85">
        <v>118</v>
      </c>
      <c r="K86" s="85">
        <v>150</v>
      </c>
      <c r="L86" s="85">
        <v>101</v>
      </c>
      <c r="M86" s="85">
        <v>48</v>
      </c>
      <c r="N86" s="85"/>
      <c r="O86" s="85"/>
      <c r="P86" s="85"/>
      <c r="Q86" s="85"/>
      <c r="R86" s="85"/>
    </row>
    <row r="87" spans="2:18">
      <c r="B87" s="83">
        <v>4500458532</v>
      </c>
      <c r="C87" s="83">
        <v>506896</v>
      </c>
      <c r="D87" s="79" t="s">
        <v>2369</v>
      </c>
      <c r="E87" s="51" t="s">
        <v>4384</v>
      </c>
      <c r="F87" s="81">
        <v>44585</v>
      </c>
      <c r="G87" s="52">
        <v>5.6</v>
      </c>
      <c r="H87" s="48" t="s">
        <v>3252</v>
      </c>
      <c r="I87" s="85">
        <v>40</v>
      </c>
      <c r="J87" s="85">
        <v>147</v>
      </c>
      <c r="K87" s="85">
        <v>186</v>
      </c>
      <c r="L87" s="85">
        <v>125</v>
      </c>
      <c r="M87" s="85">
        <v>60</v>
      </c>
      <c r="N87" s="85"/>
      <c r="O87" s="85"/>
      <c r="P87" s="85"/>
      <c r="Q87" s="85"/>
      <c r="R87" s="85"/>
    </row>
    <row r="88" spans="2:18">
      <c r="B88" s="83">
        <v>4500458532</v>
      </c>
      <c r="C88" s="83">
        <v>506896</v>
      </c>
      <c r="D88" s="79" t="s">
        <v>2369</v>
      </c>
      <c r="E88" s="51" t="s">
        <v>4384</v>
      </c>
      <c r="F88" s="81">
        <v>44585</v>
      </c>
      <c r="G88" s="52">
        <v>5.84</v>
      </c>
      <c r="H88" s="48" t="s">
        <v>4387</v>
      </c>
      <c r="I88" s="85">
        <v>28</v>
      </c>
      <c r="J88" s="85">
        <v>104</v>
      </c>
      <c r="K88" s="85">
        <v>132</v>
      </c>
      <c r="L88" s="85">
        <v>89</v>
      </c>
      <c r="M88" s="85">
        <v>42</v>
      </c>
      <c r="N88" s="85"/>
      <c r="O88" s="85"/>
      <c r="P88" s="85"/>
      <c r="Q88" s="85"/>
      <c r="R88" s="85"/>
    </row>
    <row r="89" spans="2:18">
      <c r="B89" s="83">
        <v>4500458532</v>
      </c>
      <c r="C89" s="83">
        <v>507209</v>
      </c>
      <c r="D89" s="79" t="s">
        <v>2369</v>
      </c>
      <c r="E89" s="51" t="s">
        <v>4384</v>
      </c>
      <c r="F89" s="81">
        <v>44585</v>
      </c>
      <c r="G89" s="52">
        <v>6.45</v>
      </c>
      <c r="H89" s="48" t="s">
        <v>3265</v>
      </c>
      <c r="I89" s="85">
        <v>16</v>
      </c>
      <c r="J89" s="85">
        <v>60</v>
      </c>
      <c r="K89" s="85">
        <v>77</v>
      </c>
      <c r="L89" s="85">
        <v>52</v>
      </c>
      <c r="M89" s="85">
        <v>25</v>
      </c>
      <c r="N89" s="85"/>
      <c r="O89" s="85"/>
      <c r="P89" s="85"/>
      <c r="Q89" s="85"/>
      <c r="R89" s="85"/>
    </row>
    <row r="90" spans="2:18">
      <c r="B90" s="83">
        <v>4500458532</v>
      </c>
      <c r="C90" s="83">
        <v>507209</v>
      </c>
      <c r="D90" s="79" t="s">
        <v>2369</v>
      </c>
      <c r="E90" s="51" t="s">
        <v>4384</v>
      </c>
      <c r="F90" s="81">
        <v>44585</v>
      </c>
      <c r="G90" s="52">
        <v>5.82</v>
      </c>
      <c r="H90" s="48" t="s">
        <v>3255</v>
      </c>
      <c r="I90" s="85">
        <v>16</v>
      </c>
      <c r="J90" s="85">
        <v>57</v>
      </c>
      <c r="K90" s="85">
        <v>73</v>
      </c>
      <c r="L90" s="85">
        <v>49</v>
      </c>
      <c r="M90" s="85">
        <v>23</v>
      </c>
      <c r="N90" s="85"/>
      <c r="O90" s="85"/>
      <c r="P90" s="85"/>
      <c r="Q90" s="85"/>
      <c r="R90" s="85"/>
    </row>
    <row r="91" spans="2:18">
      <c r="B91" s="83">
        <v>4500458532</v>
      </c>
      <c r="C91" s="83">
        <v>507209</v>
      </c>
      <c r="D91" s="79" t="s">
        <v>2369</v>
      </c>
      <c r="E91" s="51" t="s">
        <v>4384</v>
      </c>
      <c r="F91" s="81">
        <v>44585</v>
      </c>
      <c r="G91" s="52">
        <v>5.9</v>
      </c>
      <c r="H91" s="48" t="s">
        <v>3257</v>
      </c>
      <c r="I91" s="85">
        <v>10</v>
      </c>
      <c r="J91" s="85">
        <v>36</v>
      </c>
      <c r="K91" s="85">
        <v>46</v>
      </c>
      <c r="L91" s="85">
        <v>31</v>
      </c>
      <c r="M91" s="85">
        <v>15</v>
      </c>
      <c r="N91" s="85"/>
      <c r="O91" s="85"/>
      <c r="P91" s="85"/>
      <c r="Q91" s="85"/>
      <c r="R91" s="85"/>
    </row>
    <row r="92" spans="2:18">
      <c r="B92" s="83">
        <v>4500458532</v>
      </c>
      <c r="C92" s="83">
        <v>507209</v>
      </c>
      <c r="D92" s="79" t="s">
        <v>2369</v>
      </c>
      <c r="E92" s="51" t="s">
        <v>4384</v>
      </c>
      <c r="F92" s="81">
        <v>44585</v>
      </c>
      <c r="G92" s="52">
        <v>5.95</v>
      </c>
      <c r="H92" s="48" t="s">
        <v>4396</v>
      </c>
      <c r="I92" s="85">
        <v>14</v>
      </c>
      <c r="J92" s="85">
        <v>51</v>
      </c>
      <c r="K92" s="85">
        <v>65</v>
      </c>
      <c r="L92" s="85">
        <v>44</v>
      </c>
      <c r="M92" s="85">
        <v>21</v>
      </c>
      <c r="N92" s="85"/>
      <c r="O92" s="85"/>
      <c r="P92" s="85"/>
      <c r="Q92" s="85"/>
      <c r="R92" s="85"/>
    </row>
    <row r="93" spans="2:18">
      <c r="B93" s="83">
        <v>4500458532</v>
      </c>
      <c r="C93" s="83">
        <v>507209</v>
      </c>
      <c r="D93" s="79" t="s">
        <v>2369</v>
      </c>
      <c r="E93" s="51" t="s">
        <v>4384</v>
      </c>
      <c r="F93" s="81">
        <v>44585</v>
      </c>
      <c r="G93" s="52">
        <v>5.82</v>
      </c>
      <c r="H93" s="48" t="s">
        <v>4397</v>
      </c>
      <c r="I93" s="85">
        <v>11</v>
      </c>
      <c r="J93" s="85">
        <v>39</v>
      </c>
      <c r="K93" s="85">
        <v>50</v>
      </c>
      <c r="L93" s="85">
        <v>34</v>
      </c>
      <c r="M93" s="85">
        <v>16</v>
      </c>
      <c r="N93" s="85"/>
      <c r="O93" s="85"/>
      <c r="P93" s="85"/>
      <c r="Q93" s="85"/>
      <c r="R93" s="85"/>
    </row>
    <row r="94" spans="2:18">
      <c r="B94" s="83">
        <v>4500458532</v>
      </c>
      <c r="C94" s="83">
        <v>507209</v>
      </c>
      <c r="D94" s="79" t="s">
        <v>2369</v>
      </c>
      <c r="E94" s="51" t="s">
        <v>4384</v>
      </c>
      <c r="F94" s="81">
        <v>44585</v>
      </c>
      <c r="G94" s="52">
        <v>5.9</v>
      </c>
      <c r="H94" s="48" t="s">
        <v>3256</v>
      </c>
      <c r="I94" s="85">
        <v>16</v>
      </c>
      <c r="J94" s="85">
        <v>57</v>
      </c>
      <c r="K94" s="85">
        <v>73</v>
      </c>
      <c r="L94" s="85">
        <v>49</v>
      </c>
      <c r="M94" s="85">
        <v>23</v>
      </c>
      <c r="N94" s="85"/>
      <c r="O94" s="85"/>
      <c r="P94" s="85"/>
      <c r="Q94" s="85"/>
      <c r="R94" s="85"/>
    </row>
    <row r="95" spans="2:18">
      <c r="B95" s="83">
        <v>4500458812</v>
      </c>
      <c r="C95" s="83">
        <v>506896</v>
      </c>
      <c r="D95" s="79" t="s">
        <v>2369</v>
      </c>
      <c r="E95" s="51" t="s">
        <v>4384</v>
      </c>
      <c r="F95" s="81">
        <v>44518</v>
      </c>
      <c r="G95" s="52">
        <v>5.89</v>
      </c>
      <c r="H95" s="48" t="s">
        <v>3248</v>
      </c>
      <c r="I95" s="85">
        <v>8</v>
      </c>
      <c r="J95" s="85">
        <v>16</v>
      </c>
      <c r="K95" s="85">
        <v>24</v>
      </c>
      <c r="L95" s="85">
        <v>20</v>
      </c>
      <c r="M95" s="85">
        <v>12</v>
      </c>
      <c r="N95" s="85"/>
      <c r="O95" s="85"/>
      <c r="P95" s="85"/>
      <c r="Q95" s="85"/>
      <c r="R95" s="85"/>
    </row>
    <row r="96" spans="2:18">
      <c r="B96" s="83">
        <v>4500458812</v>
      </c>
      <c r="C96" s="83">
        <v>506896</v>
      </c>
      <c r="D96" s="79" t="s">
        <v>2369</v>
      </c>
      <c r="E96" s="51" t="s">
        <v>4384</v>
      </c>
      <c r="F96" s="81">
        <v>44518</v>
      </c>
      <c r="G96" s="52">
        <v>5.89</v>
      </c>
      <c r="H96" s="48" t="s">
        <v>3252</v>
      </c>
      <c r="I96" s="85">
        <v>12</v>
      </c>
      <c r="J96" s="85">
        <v>28</v>
      </c>
      <c r="K96" s="85">
        <v>44</v>
      </c>
      <c r="L96" s="85">
        <v>32</v>
      </c>
      <c r="M96" s="85">
        <v>20</v>
      </c>
      <c r="N96" s="85"/>
      <c r="O96" s="85"/>
      <c r="P96" s="85"/>
      <c r="Q96" s="85"/>
      <c r="R96" s="85"/>
    </row>
    <row r="97" spans="2:18">
      <c r="B97" s="83">
        <v>4500458812</v>
      </c>
      <c r="C97" s="83">
        <v>507209</v>
      </c>
      <c r="D97" s="79" t="s">
        <v>2369</v>
      </c>
      <c r="E97" s="51" t="s">
        <v>4384</v>
      </c>
      <c r="F97" s="81">
        <v>44518</v>
      </c>
      <c r="G97" s="52">
        <v>6.11</v>
      </c>
      <c r="H97" s="48" t="s">
        <v>3255</v>
      </c>
      <c r="I97" s="85">
        <v>4</v>
      </c>
      <c r="J97" s="85">
        <v>12</v>
      </c>
      <c r="K97" s="85">
        <v>20</v>
      </c>
      <c r="L97" s="85">
        <v>16</v>
      </c>
      <c r="M97" s="85">
        <v>8</v>
      </c>
      <c r="N97" s="85"/>
      <c r="O97" s="85"/>
      <c r="P97" s="85"/>
      <c r="Q97" s="85"/>
      <c r="R97" s="85"/>
    </row>
    <row r="98" spans="2:18">
      <c r="B98" s="83">
        <v>4500458812</v>
      </c>
      <c r="C98" s="83">
        <v>507209</v>
      </c>
      <c r="D98" s="79" t="s">
        <v>2369</v>
      </c>
      <c r="E98" s="51" t="s">
        <v>4384</v>
      </c>
      <c r="F98" s="81">
        <v>44518</v>
      </c>
      <c r="G98" s="52">
        <v>6.19</v>
      </c>
      <c r="H98" s="48" t="s">
        <v>3257</v>
      </c>
      <c r="I98" s="85">
        <v>8</v>
      </c>
      <c r="J98" s="85">
        <v>20</v>
      </c>
      <c r="K98" s="85">
        <v>36</v>
      </c>
      <c r="L98" s="85">
        <v>24</v>
      </c>
      <c r="M98" s="85">
        <v>16</v>
      </c>
      <c r="N98" s="85"/>
      <c r="O98" s="85"/>
      <c r="P98" s="85"/>
      <c r="Q98" s="85"/>
      <c r="R98" s="85"/>
    </row>
    <row r="99" spans="2:18">
      <c r="B99" s="83">
        <v>4500458812</v>
      </c>
      <c r="C99" s="83">
        <v>507209</v>
      </c>
      <c r="D99" s="79" t="s">
        <v>2369</v>
      </c>
      <c r="E99" s="51" t="s">
        <v>4384</v>
      </c>
      <c r="F99" s="81">
        <v>44518</v>
      </c>
      <c r="G99" s="52">
        <v>6.11</v>
      </c>
      <c r="H99" s="48" t="s">
        <v>3258</v>
      </c>
      <c r="I99" s="85">
        <v>8</v>
      </c>
      <c r="J99" s="85">
        <v>24</v>
      </c>
      <c r="K99" s="85">
        <v>48</v>
      </c>
      <c r="L99" s="85">
        <v>28</v>
      </c>
      <c r="M99" s="85">
        <v>20</v>
      </c>
      <c r="N99" s="85"/>
      <c r="O99" s="85"/>
      <c r="P99" s="85"/>
      <c r="Q99" s="85"/>
      <c r="R99" s="85"/>
    </row>
    <row r="100" spans="2:18">
      <c r="B100" s="83">
        <v>4500458812</v>
      </c>
      <c r="C100" s="83">
        <v>507209</v>
      </c>
      <c r="D100" s="79" t="s">
        <v>2369</v>
      </c>
      <c r="E100" s="51" t="s">
        <v>4384</v>
      </c>
      <c r="F100" s="81">
        <v>44518</v>
      </c>
      <c r="G100" s="52">
        <v>6.19</v>
      </c>
      <c r="H100" s="48" t="s">
        <v>3256</v>
      </c>
      <c r="I100" s="85">
        <v>8</v>
      </c>
      <c r="J100" s="85">
        <v>20</v>
      </c>
      <c r="K100" s="85">
        <v>28</v>
      </c>
      <c r="L100" s="85">
        <v>24</v>
      </c>
      <c r="M100" s="85">
        <v>16</v>
      </c>
      <c r="N100" s="85"/>
      <c r="O100" s="85"/>
      <c r="P100" s="85"/>
      <c r="Q100" s="85"/>
      <c r="R100" s="85"/>
    </row>
    <row r="101" spans="2:18">
      <c r="B101" s="83">
        <v>4500458813</v>
      </c>
      <c r="C101" s="83">
        <v>506896</v>
      </c>
      <c r="D101" s="79" t="s">
        <v>2369</v>
      </c>
      <c r="E101" s="51" t="s">
        <v>4384</v>
      </c>
      <c r="F101" s="81">
        <v>44554</v>
      </c>
      <c r="G101" s="52">
        <v>5.89</v>
      </c>
      <c r="H101" s="48" t="s">
        <v>3248</v>
      </c>
      <c r="I101" s="85">
        <v>230</v>
      </c>
      <c r="J101" s="85">
        <v>460</v>
      </c>
      <c r="K101" s="85">
        <v>690</v>
      </c>
      <c r="L101" s="85">
        <v>690</v>
      </c>
      <c r="M101" s="85">
        <v>230</v>
      </c>
      <c r="N101" s="85"/>
      <c r="O101" s="85"/>
      <c r="P101" s="85"/>
      <c r="Q101" s="85"/>
      <c r="R101" s="85"/>
    </row>
    <row r="102" spans="2:18">
      <c r="B102" s="83">
        <v>4500458813</v>
      </c>
      <c r="C102" s="83">
        <v>506896</v>
      </c>
      <c r="D102" s="79" t="s">
        <v>2369</v>
      </c>
      <c r="E102" s="51" t="s">
        <v>4384</v>
      </c>
      <c r="F102" s="81">
        <v>44554</v>
      </c>
      <c r="G102" s="52">
        <v>5.89</v>
      </c>
      <c r="H102" s="48" t="s">
        <v>3252</v>
      </c>
      <c r="I102" s="85">
        <v>230</v>
      </c>
      <c r="J102" s="85">
        <v>460</v>
      </c>
      <c r="K102" s="85">
        <v>690</v>
      </c>
      <c r="L102" s="85">
        <v>690</v>
      </c>
      <c r="M102" s="85">
        <v>230</v>
      </c>
      <c r="N102" s="85"/>
      <c r="O102" s="85"/>
      <c r="P102" s="85"/>
      <c r="Q102" s="85"/>
      <c r="R102" s="85"/>
    </row>
    <row r="103" spans="2:18">
      <c r="B103" s="83">
        <v>4500458813</v>
      </c>
      <c r="C103" s="83">
        <v>507209</v>
      </c>
      <c r="D103" s="79" t="s">
        <v>2369</v>
      </c>
      <c r="E103" s="51" t="s">
        <v>4384</v>
      </c>
      <c r="F103" s="81">
        <v>44554</v>
      </c>
      <c r="G103" s="52">
        <v>6.11</v>
      </c>
      <c r="H103" s="48" t="s">
        <v>3255</v>
      </c>
      <c r="I103" s="85">
        <v>230</v>
      </c>
      <c r="J103" s="85">
        <v>460</v>
      </c>
      <c r="K103" s="85">
        <v>690</v>
      </c>
      <c r="L103" s="85">
        <v>690</v>
      </c>
      <c r="M103" s="85">
        <v>230</v>
      </c>
      <c r="N103" s="85"/>
      <c r="O103" s="85"/>
      <c r="P103" s="85"/>
      <c r="Q103" s="85"/>
      <c r="R103" s="85"/>
    </row>
    <row r="104" spans="2:18">
      <c r="B104" s="83">
        <v>4500458813</v>
      </c>
      <c r="C104" s="83">
        <v>507209</v>
      </c>
      <c r="D104" s="79" t="s">
        <v>2369</v>
      </c>
      <c r="E104" s="51" t="s">
        <v>4384</v>
      </c>
      <c r="F104" s="81">
        <v>44554</v>
      </c>
      <c r="G104" s="52">
        <v>6.19</v>
      </c>
      <c r="H104" s="48" t="s">
        <v>3257</v>
      </c>
      <c r="I104" s="85">
        <v>230</v>
      </c>
      <c r="J104" s="85">
        <v>460</v>
      </c>
      <c r="K104" s="85">
        <v>690</v>
      </c>
      <c r="L104" s="85">
        <v>690</v>
      </c>
      <c r="M104" s="85">
        <v>230</v>
      </c>
      <c r="N104" s="85"/>
      <c r="O104" s="85"/>
      <c r="P104" s="85"/>
      <c r="Q104" s="85"/>
      <c r="R104" s="85"/>
    </row>
    <row r="105" spans="2:18">
      <c r="B105" s="83">
        <v>4500458813</v>
      </c>
      <c r="C105" s="83">
        <v>507209</v>
      </c>
      <c r="D105" s="79" t="s">
        <v>2369</v>
      </c>
      <c r="E105" s="51" t="s">
        <v>4384</v>
      </c>
      <c r="F105" s="81">
        <v>44554</v>
      </c>
      <c r="G105" s="52">
        <v>6.11</v>
      </c>
      <c r="H105" s="48" t="s">
        <v>3258</v>
      </c>
      <c r="I105" s="85">
        <v>230</v>
      </c>
      <c r="J105" s="85">
        <v>460</v>
      </c>
      <c r="K105" s="85">
        <v>690</v>
      </c>
      <c r="L105" s="85">
        <v>690</v>
      </c>
      <c r="M105" s="85">
        <v>230</v>
      </c>
      <c r="N105" s="85"/>
      <c r="O105" s="85"/>
      <c r="P105" s="85"/>
      <c r="Q105" s="85"/>
      <c r="R105" s="85"/>
    </row>
    <row r="106" spans="2:18">
      <c r="B106" s="83">
        <v>4500458813</v>
      </c>
      <c r="C106" s="83">
        <v>507209</v>
      </c>
      <c r="D106" s="79" t="s">
        <v>2369</v>
      </c>
      <c r="E106" s="51" t="s">
        <v>4384</v>
      </c>
      <c r="F106" s="81">
        <v>44554</v>
      </c>
      <c r="G106" s="52">
        <v>6.19</v>
      </c>
      <c r="H106" s="48" t="s">
        <v>3256</v>
      </c>
      <c r="I106" s="85">
        <v>230</v>
      </c>
      <c r="J106" s="85">
        <v>460</v>
      </c>
      <c r="K106" s="85">
        <v>690</v>
      </c>
      <c r="L106" s="85">
        <v>690</v>
      </c>
      <c r="M106" s="85">
        <v>230</v>
      </c>
      <c r="N106" s="85"/>
      <c r="O106" s="85"/>
      <c r="P106" s="85"/>
      <c r="Q106" s="85"/>
      <c r="R106" s="85"/>
    </row>
    <row r="107" spans="2:18">
      <c r="B107" s="83">
        <v>4500458811</v>
      </c>
      <c r="C107" s="83">
        <v>506896</v>
      </c>
      <c r="D107" s="79" t="s">
        <v>2369</v>
      </c>
      <c r="E107" s="51" t="s">
        <v>4384</v>
      </c>
      <c r="F107" s="81">
        <v>44504</v>
      </c>
      <c r="G107" s="52">
        <v>5.89</v>
      </c>
      <c r="H107" s="48" t="s">
        <v>3248</v>
      </c>
      <c r="I107" s="85">
        <v>10</v>
      </c>
      <c r="J107" s="85">
        <v>20</v>
      </c>
      <c r="K107" s="85">
        <v>30</v>
      </c>
      <c r="L107" s="85">
        <v>30</v>
      </c>
      <c r="M107" s="85">
        <v>10</v>
      </c>
      <c r="N107" s="85"/>
      <c r="O107" s="85"/>
      <c r="P107" s="85"/>
      <c r="Q107" s="85"/>
      <c r="R107" s="85"/>
    </row>
    <row r="108" spans="2:18">
      <c r="B108" s="83">
        <v>4500458811</v>
      </c>
      <c r="C108" s="83">
        <v>506896</v>
      </c>
      <c r="D108" s="79" t="s">
        <v>2369</v>
      </c>
      <c r="E108" s="51" t="s">
        <v>4384</v>
      </c>
      <c r="F108" s="81">
        <v>44504</v>
      </c>
      <c r="G108" s="52">
        <v>5.89</v>
      </c>
      <c r="H108" s="48" t="s">
        <v>3252</v>
      </c>
      <c r="I108" s="85">
        <v>10</v>
      </c>
      <c r="J108" s="85">
        <v>20</v>
      </c>
      <c r="K108" s="85">
        <v>30</v>
      </c>
      <c r="L108" s="85">
        <v>30</v>
      </c>
      <c r="M108" s="85">
        <v>10</v>
      </c>
      <c r="N108" s="85"/>
      <c r="O108" s="85"/>
      <c r="P108" s="85"/>
      <c r="Q108" s="85"/>
      <c r="R108" s="85"/>
    </row>
    <row r="109" spans="2:18">
      <c r="B109" s="83">
        <v>4500458811</v>
      </c>
      <c r="C109" s="83">
        <v>507209</v>
      </c>
      <c r="D109" s="79" t="s">
        <v>2369</v>
      </c>
      <c r="E109" s="51" t="s">
        <v>4384</v>
      </c>
      <c r="F109" s="81">
        <v>44504</v>
      </c>
      <c r="G109" s="52">
        <v>6.11</v>
      </c>
      <c r="H109" s="48" t="s">
        <v>3255</v>
      </c>
      <c r="I109" s="85">
        <v>10</v>
      </c>
      <c r="J109" s="85">
        <v>20</v>
      </c>
      <c r="K109" s="85">
        <v>30</v>
      </c>
      <c r="L109" s="85">
        <v>30</v>
      </c>
      <c r="M109" s="85">
        <v>10</v>
      </c>
      <c r="N109" s="85"/>
      <c r="O109" s="85"/>
      <c r="P109" s="85"/>
      <c r="Q109" s="85"/>
      <c r="R109" s="85"/>
    </row>
    <row r="110" spans="2:18">
      <c r="B110" s="83">
        <v>4500458811</v>
      </c>
      <c r="C110" s="83">
        <v>507209</v>
      </c>
      <c r="D110" s="79" t="s">
        <v>2369</v>
      </c>
      <c r="E110" s="51" t="s">
        <v>4384</v>
      </c>
      <c r="F110" s="81">
        <v>44504</v>
      </c>
      <c r="G110" s="52">
        <v>6.19</v>
      </c>
      <c r="H110" s="48" t="s">
        <v>3257</v>
      </c>
      <c r="I110" s="85">
        <v>10</v>
      </c>
      <c r="J110" s="85">
        <v>20</v>
      </c>
      <c r="K110" s="85">
        <v>30</v>
      </c>
      <c r="L110" s="85">
        <v>30</v>
      </c>
      <c r="M110" s="85">
        <v>10</v>
      </c>
      <c r="N110" s="85"/>
      <c r="O110" s="85"/>
      <c r="P110" s="85"/>
      <c r="Q110" s="85"/>
      <c r="R110" s="85"/>
    </row>
    <row r="111" spans="2:18">
      <c r="B111" s="83">
        <v>4500458811</v>
      </c>
      <c r="C111" s="83">
        <v>507209</v>
      </c>
      <c r="D111" s="79" t="s">
        <v>2369</v>
      </c>
      <c r="E111" s="51" t="s">
        <v>4384</v>
      </c>
      <c r="F111" s="81">
        <v>44504</v>
      </c>
      <c r="G111" s="52">
        <v>6.11</v>
      </c>
      <c r="H111" s="48" t="s">
        <v>3258</v>
      </c>
      <c r="I111" s="85">
        <v>10</v>
      </c>
      <c r="J111" s="85">
        <v>20</v>
      </c>
      <c r="K111" s="85">
        <v>30</v>
      </c>
      <c r="L111" s="85">
        <v>30</v>
      </c>
      <c r="M111" s="85">
        <v>10</v>
      </c>
      <c r="N111" s="85"/>
      <c r="O111" s="85"/>
      <c r="P111" s="85"/>
      <c r="Q111" s="85"/>
      <c r="R111" s="85"/>
    </row>
    <row r="112" spans="2:18">
      <c r="B112" s="83">
        <v>4500458811</v>
      </c>
      <c r="C112" s="83">
        <v>507209</v>
      </c>
      <c r="D112" s="79" t="s">
        <v>2369</v>
      </c>
      <c r="E112" s="51" t="s">
        <v>4384</v>
      </c>
      <c r="F112" s="81">
        <v>44504</v>
      </c>
      <c r="G112" s="52">
        <v>6.19</v>
      </c>
      <c r="H112" s="48" t="s">
        <v>3256</v>
      </c>
      <c r="I112" s="85">
        <v>10</v>
      </c>
      <c r="J112" s="85">
        <v>20</v>
      </c>
      <c r="K112" s="85">
        <v>30</v>
      </c>
      <c r="L112" s="85">
        <v>30</v>
      </c>
      <c r="M112" s="85">
        <v>10</v>
      </c>
      <c r="N112" s="85"/>
      <c r="O112" s="85"/>
      <c r="P112" s="85"/>
      <c r="Q112" s="85"/>
      <c r="R112" s="85"/>
    </row>
    <row r="113" spans="2:18">
      <c r="B113" s="83">
        <v>4500458747</v>
      </c>
      <c r="C113" s="83">
        <v>506896</v>
      </c>
      <c r="D113" s="79" t="s">
        <v>2369</v>
      </c>
      <c r="E113" s="51" t="s">
        <v>4384</v>
      </c>
      <c r="F113" s="81">
        <v>44475</v>
      </c>
      <c r="G113" s="52">
        <v>5.6</v>
      </c>
      <c r="H113" s="48" t="s">
        <v>3248</v>
      </c>
      <c r="I113" s="85">
        <v>31</v>
      </c>
      <c r="J113" s="85">
        <v>151</v>
      </c>
      <c r="K113" s="85">
        <v>153</v>
      </c>
      <c r="L113" s="85">
        <v>112</v>
      </c>
      <c r="M113" s="85">
        <v>50</v>
      </c>
      <c r="N113" s="85"/>
      <c r="O113" s="85"/>
      <c r="P113" s="85"/>
      <c r="Q113" s="85"/>
      <c r="R113" s="85"/>
    </row>
    <row r="114" spans="2:18">
      <c r="B114" s="83">
        <v>4500458747</v>
      </c>
      <c r="C114" s="83">
        <v>506896</v>
      </c>
      <c r="D114" s="79" t="s">
        <v>2369</v>
      </c>
      <c r="E114" s="51" t="s">
        <v>4384</v>
      </c>
      <c r="F114" s="81">
        <v>44475</v>
      </c>
      <c r="G114" s="52">
        <v>5.6</v>
      </c>
      <c r="H114" s="48" t="s">
        <v>3252</v>
      </c>
      <c r="I114" s="85">
        <v>66</v>
      </c>
      <c r="J114" s="85">
        <v>314</v>
      </c>
      <c r="K114" s="85">
        <v>320</v>
      </c>
      <c r="L114" s="85">
        <v>234</v>
      </c>
      <c r="M114" s="85">
        <v>104</v>
      </c>
      <c r="N114" s="85"/>
      <c r="O114" s="85"/>
      <c r="P114" s="85"/>
      <c r="Q114" s="85"/>
      <c r="R114" s="85"/>
    </row>
    <row r="115" spans="2:18">
      <c r="B115" s="83">
        <v>4500458747</v>
      </c>
      <c r="C115" s="83">
        <v>506896</v>
      </c>
      <c r="D115" s="79" t="s">
        <v>2369</v>
      </c>
      <c r="E115" s="51" t="s">
        <v>4384</v>
      </c>
      <c r="F115" s="81">
        <v>44475</v>
      </c>
      <c r="G115" s="52">
        <v>7.15</v>
      </c>
      <c r="H115" s="48" t="s">
        <v>3253</v>
      </c>
      <c r="I115" s="85">
        <v>21</v>
      </c>
      <c r="J115" s="85">
        <v>100</v>
      </c>
      <c r="K115" s="85">
        <v>102</v>
      </c>
      <c r="L115" s="85">
        <v>74</v>
      </c>
      <c r="M115" s="85">
        <v>33</v>
      </c>
      <c r="N115" s="85"/>
      <c r="O115" s="85"/>
      <c r="P115" s="85"/>
      <c r="Q115" s="85"/>
      <c r="R115" s="85"/>
    </row>
    <row r="116" spans="2:18">
      <c r="B116" s="83">
        <v>4500458747</v>
      </c>
      <c r="C116" s="83">
        <v>507209</v>
      </c>
      <c r="D116" s="79" t="s">
        <v>2369</v>
      </c>
      <c r="E116" s="51" t="s">
        <v>4384</v>
      </c>
      <c r="F116" s="81">
        <v>44475</v>
      </c>
      <c r="G116" s="52">
        <v>6.45</v>
      </c>
      <c r="H116" s="48" t="s">
        <v>3265</v>
      </c>
      <c r="I116" s="85">
        <v>17</v>
      </c>
      <c r="J116" s="85">
        <v>82</v>
      </c>
      <c r="K116" s="85">
        <v>84</v>
      </c>
      <c r="L116" s="85">
        <v>61</v>
      </c>
      <c r="M116" s="85">
        <v>27</v>
      </c>
      <c r="N116" s="85"/>
      <c r="O116" s="85"/>
      <c r="P116" s="85"/>
      <c r="Q116" s="85"/>
      <c r="R116" s="85"/>
    </row>
    <row r="117" spans="2:18">
      <c r="B117" s="83">
        <v>4500458747</v>
      </c>
      <c r="C117" s="83">
        <v>507209</v>
      </c>
      <c r="D117" s="79" t="s">
        <v>2369</v>
      </c>
      <c r="E117" s="51" t="s">
        <v>4384</v>
      </c>
      <c r="F117" s="81">
        <v>44475</v>
      </c>
      <c r="G117" s="52">
        <v>5.9</v>
      </c>
      <c r="H117" s="48" t="s">
        <v>3257</v>
      </c>
      <c r="I117" s="85">
        <v>18</v>
      </c>
      <c r="J117" s="85">
        <v>85</v>
      </c>
      <c r="K117" s="85">
        <v>86</v>
      </c>
      <c r="L117" s="85">
        <v>63</v>
      </c>
      <c r="M117" s="85">
        <v>28</v>
      </c>
      <c r="N117" s="85"/>
      <c r="O117" s="85"/>
      <c r="P117" s="85"/>
      <c r="Q117" s="85"/>
      <c r="R117" s="85"/>
    </row>
    <row r="118" spans="2:18">
      <c r="B118" s="83">
        <v>4500459355</v>
      </c>
      <c r="C118" s="83">
        <v>506896</v>
      </c>
      <c r="D118" s="79" t="s">
        <v>2369</v>
      </c>
      <c r="E118" s="51" t="s">
        <v>4384</v>
      </c>
      <c r="F118" s="81">
        <v>44552</v>
      </c>
      <c r="G118" s="52">
        <v>5.6</v>
      </c>
      <c r="H118" s="48" t="s">
        <v>3248</v>
      </c>
      <c r="I118" s="85">
        <v>78</v>
      </c>
      <c r="J118" s="85">
        <v>203</v>
      </c>
      <c r="K118" s="85">
        <v>252</v>
      </c>
      <c r="L118" s="85">
        <v>190</v>
      </c>
      <c r="M118" s="85">
        <v>63</v>
      </c>
      <c r="N118" s="85"/>
      <c r="O118" s="85"/>
      <c r="P118" s="85"/>
      <c r="Q118" s="85"/>
      <c r="R118" s="85"/>
    </row>
    <row r="119" spans="2:18">
      <c r="B119" s="83">
        <v>4500459355</v>
      </c>
      <c r="C119" s="83">
        <v>506896</v>
      </c>
      <c r="D119" s="79" t="s">
        <v>2369</v>
      </c>
      <c r="E119" s="51" t="s">
        <v>4384</v>
      </c>
      <c r="F119" s="81">
        <v>44552</v>
      </c>
      <c r="G119" s="52">
        <v>5.84</v>
      </c>
      <c r="H119" s="48" t="s">
        <v>3249</v>
      </c>
      <c r="I119" s="85">
        <v>167</v>
      </c>
      <c r="J119" s="85">
        <v>162</v>
      </c>
      <c r="K119" s="85">
        <v>122</v>
      </c>
      <c r="L119" s="85">
        <v>125</v>
      </c>
      <c r="M119" s="85">
        <v>94</v>
      </c>
      <c r="N119" s="85"/>
      <c r="O119" s="85"/>
      <c r="P119" s="85"/>
      <c r="Q119" s="85"/>
      <c r="R119" s="85"/>
    </row>
    <row r="120" spans="2:18">
      <c r="B120" s="83">
        <v>4500459355</v>
      </c>
      <c r="C120" s="83">
        <v>506896</v>
      </c>
      <c r="D120" s="79" t="s">
        <v>2369</v>
      </c>
      <c r="E120" s="51" t="s">
        <v>4384</v>
      </c>
      <c r="F120" s="81">
        <v>44552</v>
      </c>
      <c r="G120" s="52">
        <v>6.9</v>
      </c>
      <c r="H120" s="48" t="s">
        <v>3250</v>
      </c>
      <c r="I120" s="85">
        <v>75</v>
      </c>
      <c r="J120" s="85">
        <v>228</v>
      </c>
      <c r="K120" s="85">
        <v>276</v>
      </c>
      <c r="L120" s="85">
        <v>157</v>
      </c>
      <c r="M120" s="85">
        <v>55</v>
      </c>
      <c r="N120" s="85"/>
      <c r="O120" s="85"/>
      <c r="P120" s="85"/>
      <c r="Q120" s="85"/>
      <c r="R120" s="85"/>
    </row>
    <row r="121" spans="2:18">
      <c r="B121" s="83">
        <v>4500459355</v>
      </c>
      <c r="C121" s="83">
        <v>506896</v>
      </c>
      <c r="D121" s="79" t="s">
        <v>2369</v>
      </c>
      <c r="E121" s="51" t="s">
        <v>4384</v>
      </c>
      <c r="F121" s="81">
        <v>44552</v>
      </c>
      <c r="G121" s="52">
        <v>5.6</v>
      </c>
      <c r="H121" s="48" t="s">
        <v>3252</v>
      </c>
      <c r="I121" s="85">
        <v>175</v>
      </c>
      <c r="J121" s="85">
        <v>637</v>
      </c>
      <c r="K121" s="85">
        <v>696</v>
      </c>
      <c r="L121" s="85">
        <v>275</v>
      </c>
      <c r="M121" s="85">
        <v>92</v>
      </c>
      <c r="N121" s="85"/>
      <c r="O121" s="85"/>
      <c r="P121" s="85"/>
      <c r="Q121" s="85"/>
      <c r="R121" s="85"/>
    </row>
    <row r="122" spans="2:18">
      <c r="B122" s="83">
        <v>4500459355</v>
      </c>
      <c r="C122" s="83">
        <v>506896</v>
      </c>
      <c r="D122" s="79" t="s">
        <v>2369</v>
      </c>
      <c r="E122" s="51" t="s">
        <v>4384</v>
      </c>
      <c r="F122" s="81">
        <v>44552</v>
      </c>
      <c r="G122" s="52">
        <v>7.15</v>
      </c>
      <c r="H122" s="48" t="s">
        <v>3253</v>
      </c>
      <c r="I122" s="85">
        <v>126</v>
      </c>
      <c r="J122" s="85">
        <v>382</v>
      </c>
      <c r="K122" s="85">
        <v>462</v>
      </c>
      <c r="L122" s="85">
        <v>262</v>
      </c>
      <c r="M122" s="85">
        <v>93</v>
      </c>
      <c r="N122" s="85"/>
      <c r="O122" s="85"/>
      <c r="P122" s="85"/>
      <c r="Q122" s="85"/>
      <c r="R122" s="85"/>
    </row>
    <row r="123" spans="2:18">
      <c r="B123" s="83">
        <v>4500459355</v>
      </c>
      <c r="C123" s="83">
        <v>506896</v>
      </c>
      <c r="D123" s="79" t="s">
        <v>2369</v>
      </c>
      <c r="E123" s="51" t="s">
        <v>4384</v>
      </c>
      <c r="F123" s="81">
        <v>44552</v>
      </c>
      <c r="G123" s="52">
        <v>5.84</v>
      </c>
      <c r="H123" s="48" t="s">
        <v>4387</v>
      </c>
      <c r="I123" s="85">
        <v>129</v>
      </c>
      <c r="J123" s="85">
        <v>485</v>
      </c>
      <c r="K123" s="85">
        <v>543</v>
      </c>
      <c r="L123" s="85">
        <v>267</v>
      </c>
      <c r="M123" s="85">
        <v>137</v>
      </c>
      <c r="N123" s="85"/>
      <c r="O123" s="85"/>
      <c r="P123" s="85"/>
      <c r="Q123" s="85"/>
      <c r="R123" s="85"/>
    </row>
    <row r="124" spans="2:18">
      <c r="B124" s="83">
        <v>4500459355</v>
      </c>
      <c r="C124" s="83">
        <v>506896</v>
      </c>
      <c r="D124" s="79" t="s">
        <v>2369</v>
      </c>
      <c r="E124" s="51" t="s">
        <v>4384</v>
      </c>
      <c r="F124" s="81">
        <v>44552</v>
      </c>
      <c r="G124" s="52">
        <v>6.9</v>
      </c>
      <c r="H124" s="48" t="s">
        <v>4389</v>
      </c>
      <c r="I124" s="85">
        <v>28</v>
      </c>
      <c r="J124" s="85">
        <v>87</v>
      </c>
      <c r="K124" s="85">
        <v>105</v>
      </c>
      <c r="L124" s="85">
        <v>59</v>
      </c>
      <c r="M124" s="85">
        <v>25</v>
      </c>
      <c r="N124" s="85"/>
      <c r="O124" s="85"/>
      <c r="P124" s="85"/>
      <c r="Q124" s="85"/>
      <c r="R124" s="85"/>
    </row>
    <row r="125" spans="2:18">
      <c r="B125" s="83">
        <v>4500459355</v>
      </c>
      <c r="C125" s="83">
        <v>507209</v>
      </c>
      <c r="D125" s="79" t="s">
        <v>2369</v>
      </c>
      <c r="E125" s="51" t="s">
        <v>4384</v>
      </c>
      <c r="F125" s="81">
        <v>44552</v>
      </c>
      <c r="G125" s="52">
        <v>5.82</v>
      </c>
      <c r="H125" s="48" t="s">
        <v>3254</v>
      </c>
      <c r="I125" s="85">
        <v>66</v>
      </c>
      <c r="J125" s="85">
        <v>201</v>
      </c>
      <c r="K125" s="85">
        <v>243</v>
      </c>
      <c r="L125" s="85">
        <v>139</v>
      </c>
      <c r="M125" s="85">
        <v>49</v>
      </c>
      <c r="N125" s="85"/>
      <c r="O125" s="85"/>
      <c r="P125" s="85"/>
      <c r="Q125" s="85"/>
      <c r="R125" s="85"/>
    </row>
    <row r="126" spans="2:18">
      <c r="B126" s="83">
        <v>4500459355</v>
      </c>
      <c r="C126" s="83">
        <v>507209</v>
      </c>
      <c r="D126" s="79" t="s">
        <v>2369</v>
      </c>
      <c r="E126" s="51" t="s">
        <v>4384</v>
      </c>
      <c r="F126" s="81">
        <v>44552</v>
      </c>
      <c r="G126" s="52">
        <v>6.45</v>
      </c>
      <c r="H126" s="48" t="s">
        <v>3265</v>
      </c>
      <c r="I126" s="85">
        <v>62</v>
      </c>
      <c r="J126" s="85">
        <v>187</v>
      </c>
      <c r="K126" s="85">
        <v>227</v>
      </c>
      <c r="L126" s="85">
        <v>129</v>
      </c>
      <c r="M126" s="85">
        <v>45</v>
      </c>
      <c r="N126" s="85"/>
      <c r="O126" s="85"/>
      <c r="P126" s="85"/>
      <c r="Q126" s="85"/>
      <c r="R126" s="85"/>
    </row>
    <row r="127" spans="2:18">
      <c r="B127" s="83">
        <v>4500459355</v>
      </c>
      <c r="C127" s="83">
        <v>507209</v>
      </c>
      <c r="D127" s="79" t="s">
        <v>2369</v>
      </c>
      <c r="E127" s="51" t="s">
        <v>4384</v>
      </c>
      <c r="F127" s="81">
        <v>44552</v>
      </c>
      <c r="G127" s="52">
        <v>5.82</v>
      </c>
      <c r="H127" s="48" t="s">
        <v>3255</v>
      </c>
      <c r="I127" s="85">
        <v>105</v>
      </c>
      <c r="J127" s="85">
        <v>317</v>
      </c>
      <c r="K127" s="85">
        <v>384</v>
      </c>
      <c r="L127" s="85">
        <v>217</v>
      </c>
      <c r="M127" s="85">
        <v>77</v>
      </c>
      <c r="N127" s="85"/>
      <c r="O127" s="85"/>
      <c r="P127" s="85"/>
      <c r="Q127" s="85"/>
      <c r="R127" s="85"/>
    </row>
    <row r="128" spans="2:18">
      <c r="B128" s="83">
        <v>4500459355</v>
      </c>
      <c r="C128" s="83">
        <v>507209</v>
      </c>
      <c r="D128" s="79" t="s">
        <v>2369</v>
      </c>
      <c r="E128" s="51" t="s">
        <v>4384</v>
      </c>
      <c r="F128" s="81">
        <v>44552</v>
      </c>
      <c r="G128" s="52">
        <v>5.9</v>
      </c>
      <c r="H128" s="48" t="s">
        <v>3257</v>
      </c>
      <c r="I128" s="85">
        <v>186</v>
      </c>
      <c r="J128" s="85">
        <v>562</v>
      </c>
      <c r="K128" s="85">
        <v>680</v>
      </c>
      <c r="L128" s="85">
        <v>385</v>
      </c>
      <c r="M128" s="85">
        <v>136</v>
      </c>
      <c r="N128" s="85"/>
      <c r="O128" s="85"/>
      <c r="P128" s="85"/>
      <c r="Q128" s="85"/>
      <c r="R128" s="85"/>
    </row>
    <row r="129" spans="2:18">
      <c r="B129" s="83">
        <v>4500459355</v>
      </c>
      <c r="C129" s="83">
        <v>507209</v>
      </c>
      <c r="D129" s="79" t="s">
        <v>2369</v>
      </c>
      <c r="E129" s="51" t="s">
        <v>4384</v>
      </c>
      <c r="F129" s="81">
        <v>44552</v>
      </c>
      <c r="G129" s="52">
        <v>5.95</v>
      </c>
      <c r="H129" s="48" t="s">
        <v>4396</v>
      </c>
      <c r="I129" s="85">
        <v>91</v>
      </c>
      <c r="J129" s="85">
        <v>275</v>
      </c>
      <c r="K129" s="85">
        <v>336</v>
      </c>
      <c r="L129" s="85">
        <v>190</v>
      </c>
      <c r="M129" s="85">
        <v>69</v>
      </c>
      <c r="N129" s="85"/>
      <c r="O129" s="85"/>
      <c r="P129" s="85"/>
      <c r="Q129" s="85"/>
      <c r="R129" s="85"/>
    </row>
    <row r="130" spans="2:18">
      <c r="B130" s="83">
        <v>4500459355</v>
      </c>
      <c r="C130" s="83">
        <v>507209</v>
      </c>
      <c r="D130" s="79" t="s">
        <v>2369</v>
      </c>
      <c r="E130" s="51" t="s">
        <v>4384</v>
      </c>
      <c r="F130" s="81">
        <v>44552</v>
      </c>
      <c r="G130" s="52">
        <v>5.82</v>
      </c>
      <c r="H130" s="48" t="s">
        <v>4388</v>
      </c>
      <c r="I130" s="85">
        <v>71</v>
      </c>
      <c r="J130" s="85">
        <v>217</v>
      </c>
      <c r="K130" s="85">
        <v>262</v>
      </c>
      <c r="L130" s="85">
        <v>148</v>
      </c>
      <c r="M130" s="85">
        <v>52</v>
      </c>
      <c r="N130" s="85"/>
      <c r="O130" s="85"/>
      <c r="P130" s="85"/>
      <c r="Q130" s="85"/>
      <c r="R130" s="85"/>
    </row>
    <row r="131" spans="2:18">
      <c r="B131" s="83">
        <v>4500459355</v>
      </c>
      <c r="C131" s="83">
        <v>507209</v>
      </c>
      <c r="D131" s="79" t="s">
        <v>2369</v>
      </c>
      <c r="E131" s="51" t="s">
        <v>4384</v>
      </c>
      <c r="F131" s="81">
        <v>44552</v>
      </c>
      <c r="G131" s="52">
        <v>5.9</v>
      </c>
      <c r="H131" s="48" t="s">
        <v>3256</v>
      </c>
      <c r="I131" s="85">
        <v>60</v>
      </c>
      <c r="J131" s="85">
        <v>183</v>
      </c>
      <c r="K131" s="85">
        <v>219</v>
      </c>
      <c r="L131" s="85">
        <v>124</v>
      </c>
      <c r="M131" s="85">
        <v>43</v>
      </c>
      <c r="N131" s="85"/>
      <c r="O131" s="85"/>
      <c r="P131" s="85"/>
      <c r="Q131" s="85"/>
      <c r="R131" s="85"/>
    </row>
    <row r="132" spans="2:18">
      <c r="B132" s="83">
        <v>4500459355</v>
      </c>
      <c r="C132" s="83">
        <v>507209</v>
      </c>
      <c r="D132" s="79" t="s">
        <v>2369</v>
      </c>
      <c r="E132" s="51" t="s">
        <v>4384</v>
      </c>
      <c r="F132" s="81">
        <v>44552</v>
      </c>
      <c r="G132" s="52">
        <v>6.05</v>
      </c>
      <c r="H132" s="48" t="s">
        <v>4398</v>
      </c>
      <c r="I132" s="85">
        <v>234</v>
      </c>
      <c r="J132" s="85">
        <v>711</v>
      </c>
      <c r="K132" s="85">
        <v>861</v>
      </c>
      <c r="L132" s="85">
        <v>485</v>
      </c>
      <c r="M132" s="85">
        <v>170</v>
      </c>
      <c r="N132" s="85"/>
      <c r="O132" s="85"/>
      <c r="P132" s="85"/>
      <c r="Q132" s="85"/>
      <c r="R132" s="85"/>
    </row>
    <row r="133" spans="2:18">
      <c r="B133" s="83">
        <v>4500459355</v>
      </c>
      <c r="C133" s="83">
        <v>507209</v>
      </c>
      <c r="D133" s="79" t="s">
        <v>2369</v>
      </c>
      <c r="E133" s="51" t="s">
        <v>4384</v>
      </c>
      <c r="F133" s="81">
        <v>44552</v>
      </c>
      <c r="G133" s="52">
        <v>6.45</v>
      </c>
      <c r="H133" s="48" t="s">
        <v>4399</v>
      </c>
      <c r="I133" s="85">
        <v>111</v>
      </c>
      <c r="J133" s="85">
        <v>336</v>
      </c>
      <c r="K133" s="85">
        <v>407</v>
      </c>
      <c r="L133" s="85">
        <v>229</v>
      </c>
      <c r="M133" s="85">
        <v>80</v>
      </c>
      <c r="N133" s="85"/>
      <c r="O133" s="85"/>
      <c r="P133" s="85"/>
      <c r="Q133" s="85"/>
      <c r="R133" s="85"/>
    </row>
    <row r="134" spans="2:18">
      <c r="B134" s="83">
        <v>4500459355</v>
      </c>
      <c r="C134" s="83">
        <v>507209</v>
      </c>
      <c r="D134" s="79" t="s">
        <v>2369</v>
      </c>
      <c r="E134" s="51" t="s">
        <v>4384</v>
      </c>
      <c r="F134" s="81">
        <v>44552</v>
      </c>
      <c r="G134" s="52">
        <v>8</v>
      </c>
      <c r="H134" s="48" t="s">
        <v>4400</v>
      </c>
      <c r="I134" s="85">
        <v>254</v>
      </c>
      <c r="J134" s="85">
        <v>774</v>
      </c>
      <c r="K134" s="85">
        <v>938</v>
      </c>
      <c r="L134" s="85">
        <v>528</v>
      </c>
      <c r="M134" s="85">
        <v>185</v>
      </c>
      <c r="N134" s="85"/>
      <c r="O134" s="85"/>
      <c r="P134" s="85"/>
      <c r="Q134" s="85"/>
      <c r="R134" s="85"/>
    </row>
    <row r="135" spans="2:18">
      <c r="B135" s="83">
        <v>4500459355</v>
      </c>
      <c r="C135" s="83">
        <v>529692</v>
      </c>
      <c r="D135" s="79" t="s">
        <v>2369</v>
      </c>
      <c r="E135" s="51" t="s">
        <v>4384</v>
      </c>
      <c r="F135" s="81">
        <v>44552</v>
      </c>
      <c r="G135" s="52">
        <v>7.63</v>
      </c>
      <c r="H135" s="48" t="s">
        <v>3253</v>
      </c>
      <c r="I135" s="85"/>
      <c r="J135" s="85"/>
      <c r="K135" s="85"/>
      <c r="L135" s="85"/>
      <c r="M135" s="85"/>
      <c r="N135" s="85">
        <v>145</v>
      </c>
      <c r="O135" s="85">
        <v>118</v>
      </c>
      <c r="P135" s="85">
        <v>37</v>
      </c>
      <c r="Q135" s="85"/>
      <c r="R135" s="85"/>
    </row>
    <row r="136" spans="2:18">
      <c r="B136" s="83">
        <v>4500459355</v>
      </c>
      <c r="C136" s="83">
        <v>529688</v>
      </c>
      <c r="D136" s="79" t="s">
        <v>2369</v>
      </c>
      <c r="E136" s="51" t="s">
        <v>4384</v>
      </c>
      <c r="F136" s="81">
        <v>44552</v>
      </c>
      <c r="G136" s="52">
        <v>6.35</v>
      </c>
      <c r="H136" s="48" t="s">
        <v>3257</v>
      </c>
      <c r="I136" s="85"/>
      <c r="J136" s="85"/>
      <c r="K136" s="85"/>
      <c r="L136" s="85"/>
      <c r="M136" s="85"/>
      <c r="N136" s="85">
        <v>235</v>
      </c>
      <c r="O136" s="85">
        <v>194</v>
      </c>
      <c r="P136" s="85">
        <v>59</v>
      </c>
      <c r="Q136" s="85"/>
      <c r="R136" s="85"/>
    </row>
    <row r="137" spans="2:18">
      <c r="B137" s="83">
        <v>4500459368</v>
      </c>
      <c r="C137" s="83">
        <v>507209</v>
      </c>
      <c r="D137" s="79" t="s">
        <v>2369</v>
      </c>
      <c r="E137" s="51" t="s">
        <v>4384</v>
      </c>
      <c r="F137" s="81">
        <v>44552</v>
      </c>
      <c r="G137" s="52">
        <v>6.05</v>
      </c>
      <c r="H137" s="48" t="s">
        <v>4401</v>
      </c>
      <c r="I137" s="85">
        <v>32</v>
      </c>
      <c r="J137" s="85">
        <v>96</v>
      </c>
      <c r="K137" s="85">
        <v>96</v>
      </c>
      <c r="L137" s="85">
        <v>64</v>
      </c>
      <c r="M137" s="85">
        <v>32</v>
      </c>
      <c r="N137" s="85"/>
      <c r="O137" s="85"/>
      <c r="P137" s="85"/>
      <c r="Q137" s="85"/>
      <c r="R137" s="85"/>
    </row>
    <row r="138" spans="2:18">
      <c r="B138" s="83">
        <v>4500459368</v>
      </c>
      <c r="C138" s="83">
        <v>507209</v>
      </c>
      <c r="D138" s="79" t="s">
        <v>2369</v>
      </c>
      <c r="E138" s="51" t="s">
        <v>4384</v>
      </c>
      <c r="F138" s="81">
        <v>44552</v>
      </c>
      <c r="G138" s="52">
        <v>8</v>
      </c>
      <c r="H138" s="48" t="s">
        <v>4402</v>
      </c>
      <c r="I138" s="85">
        <v>32</v>
      </c>
      <c r="J138" s="85">
        <v>64</v>
      </c>
      <c r="K138" s="85">
        <v>96</v>
      </c>
      <c r="L138" s="85">
        <v>96</v>
      </c>
      <c r="M138" s="85">
        <v>32</v>
      </c>
      <c r="N138" s="85"/>
      <c r="O138" s="85"/>
      <c r="P138" s="85"/>
      <c r="Q138" s="85"/>
      <c r="R138" s="85"/>
    </row>
    <row r="139" spans="2:18">
      <c r="B139" s="83">
        <v>4500459366</v>
      </c>
      <c r="C139" s="83">
        <v>506896</v>
      </c>
      <c r="D139" s="79" t="s">
        <v>2369</v>
      </c>
      <c r="E139" s="51" t="s">
        <v>4384</v>
      </c>
      <c r="F139" s="81">
        <v>44552</v>
      </c>
      <c r="G139" s="52">
        <v>6.9</v>
      </c>
      <c r="H139" s="48" t="s">
        <v>3250</v>
      </c>
      <c r="I139" s="85">
        <v>12</v>
      </c>
      <c r="J139" s="85">
        <v>36</v>
      </c>
      <c r="K139" s="85">
        <v>36</v>
      </c>
      <c r="L139" s="85">
        <v>24</v>
      </c>
      <c r="M139" s="85">
        <v>12</v>
      </c>
      <c r="N139" s="85"/>
      <c r="O139" s="85"/>
      <c r="P139" s="85"/>
      <c r="Q139" s="85"/>
      <c r="R139" s="85"/>
    </row>
    <row r="140" spans="2:18">
      <c r="B140" s="83">
        <v>4500459366</v>
      </c>
      <c r="C140" s="83">
        <v>506896</v>
      </c>
      <c r="D140" s="79" t="s">
        <v>2369</v>
      </c>
      <c r="E140" s="51" t="s">
        <v>4384</v>
      </c>
      <c r="F140" s="81">
        <v>44552</v>
      </c>
      <c r="G140" s="52">
        <v>5.6</v>
      </c>
      <c r="H140" s="48" t="s">
        <v>3252</v>
      </c>
      <c r="I140" s="85">
        <v>12</v>
      </c>
      <c r="J140" s="85">
        <v>36</v>
      </c>
      <c r="K140" s="85">
        <v>36</v>
      </c>
      <c r="L140" s="85">
        <v>24</v>
      </c>
      <c r="M140" s="85">
        <v>12</v>
      </c>
      <c r="N140" s="85"/>
      <c r="O140" s="85"/>
      <c r="P140" s="85"/>
      <c r="Q140" s="85"/>
      <c r="R140" s="85"/>
    </row>
    <row r="141" spans="2:18">
      <c r="B141" s="83">
        <v>4500459366</v>
      </c>
      <c r="C141" s="83">
        <v>506896</v>
      </c>
      <c r="D141" s="79" t="s">
        <v>2369</v>
      </c>
      <c r="E141" s="51" t="s">
        <v>4384</v>
      </c>
      <c r="F141" s="81">
        <v>44552</v>
      </c>
      <c r="G141" s="52">
        <v>6.9</v>
      </c>
      <c r="H141" s="48" t="s">
        <v>4389</v>
      </c>
      <c r="I141" s="85">
        <v>12</v>
      </c>
      <c r="J141" s="85">
        <v>24</v>
      </c>
      <c r="K141" s="85">
        <v>24</v>
      </c>
      <c r="L141" s="85">
        <v>12</v>
      </c>
      <c r="M141" s="85"/>
      <c r="N141" s="85"/>
      <c r="O141" s="85"/>
      <c r="P141" s="85"/>
      <c r="Q141" s="85"/>
      <c r="R141" s="85"/>
    </row>
    <row r="142" spans="2:18">
      <c r="B142" s="83">
        <v>4500459366</v>
      </c>
      <c r="C142" s="83">
        <v>506896</v>
      </c>
      <c r="D142" s="79" t="s">
        <v>2369</v>
      </c>
      <c r="E142" s="51" t="s">
        <v>4384</v>
      </c>
      <c r="F142" s="81">
        <v>44552</v>
      </c>
      <c r="G142" s="52">
        <v>6.96</v>
      </c>
      <c r="H142" s="48" t="s">
        <v>4403</v>
      </c>
      <c r="I142" s="85">
        <v>12</v>
      </c>
      <c r="J142" s="85">
        <v>24</v>
      </c>
      <c r="K142" s="85">
        <v>24</v>
      </c>
      <c r="L142" s="85">
        <v>12</v>
      </c>
      <c r="M142" s="85"/>
      <c r="N142" s="85"/>
      <c r="O142" s="85"/>
      <c r="P142" s="85"/>
      <c r="Q142" s="85"/>
      <c r="R142" s="85"/>
    </row>
    <row r="143" spans="2:18">
      <c r="B143" s="83">
        <v>4500459358</v>
      </c>
      <c r="C143" s="83">
        <v>506896</v>
      </c>
      <c r="D143" s="79" t="s">
        <v>2369</v>
      </c>
      <c r="E143" s="51" t="s">
        <v>4384</v>
      </c>
      <c r="F143" s="81">
        <v>44559</v>
      </c>
      <c r="G143" s="52">
        <v>5.89</v>
      </c>
      <c r="H143" s="48" t="s">
        <v>3248</v>
      </c>
      <c r="I143" s="85">
        <v>36</v>
      </c>
      <c r="J143" s="85">
        <v>96</v>
      </c>
      <c r="K143" s="85">
        <v>150</v>
      </c>
      <c r="L143" s="85">
        <v>114</v>
      </c>
      <c r="M143" s="85">
        <v>72</v>
      </c>
      <c r="N143" s="85"/>
      <c r="O143" s="85"/>
      <c r="P143" s="85"/>
      <c r="Q143" s="85"/>
      <c r="R143" s="85"/>
    </row>
    <row r="144" spans="2:18">
      <c r="B144" s="83">
        <v>4500459358</v>
      </c>
      <c r="C144" s="83">
        <v>506896</v>
      </c>
      <c r="D144" s="79" t="s">
        <v>2369</v>
      </c>
      <c r="E144" s="51" t="s">
        <v>4384</v>
      </c>
      <c r="F144" s="81">
        <v>44559</v>
      </c>
      <c r="G144" s="52">
        <v>5.89</v>
      </c>
      <c r="H144" s="48" t="s">
        <v>3252</v>
      </c>
      <c r="I144" s="85">
        <v>60</v>
      </c>
      <c r="J144" s="85">
        <v>168</v>
      </c>
      <c r="K144" s="85">
        <v>264</v>
      </c>
      <c r="L144" s="85">
        <v>198</v>
      </c>
      <c r="M144" s="85">
        <v>132</v>
      </c>
      <c r="N144" s="85"/>
      <c r="O144" s="85"/>
      <c r="P144" s="85"/>
      <c r="Q144" s="85"/>
      <c r="R144" s="85"/>
    </row>
    <row r="145" spans="2:18">
      <c r="B145" s="83">
        <v>4500459358</v>
      </c>
      <c r="C145" s="83">
        <v>507209</v>
      </c>
      <c r="D145" s="79" t="s">
        <v>2369</v>
      </c>
      <c r="E145" s="51" t="s">
        <v>4384</v>
      </c>
      <c r="F145" s="81">
        <v>44559</v>
      </c>
      <c r="G145" s="52">
        <v>6.11</v>
      </c>
      <c r="H145" s="48" t="s">
        <v>3255</v>
      </c>
      <c r="I145" s="85">
        <v>30</v>
      </c>
      <c r="J145" s="85">
        <v>72</v>
      </c>
      <c r="K145" s="85">
        <v>114</v>
      </c>
      <c r="L145" s="85">
        <v>84</v>
      </c>
      <c r="M145" s="85">
        <v>60</v>
      </c>
      <c r="N145" s="85"/>
      <c r="O145" s="85"/>
      <c r="P145" s="85"/>
      <c r="Q145" s="85"/>
      <c r="R145" s="85"/>
    </row>
    <row r="146" spans="2:18">
      <c r="B146" s="83">
        <v>4500459358</v>
      </c>
      <c r="C146" s="83">
        <v>507209</v>
      </c>
      <c r="D146" s="79" t="s">
        <v>2369</v>
      </c>
      <c r="E146" s="51" t="s">
        <v>4384</v>
      </c>
      <c r="F146" s="81">
        <v>44559</v>
      </c>
      <c r="G146" s="52">
        <v>6.19</v>
      </c>
      <c r="H146" s="48" t="s">
        <v>3257</v>
      </c>
      <c r="I146" s="85">
        <v>54</v>
      </c>
      <c r="J146" s="85">
        <v>132</v>
      </c>
      <c r="K146" s="85">
        <v>210</v>
      </c>
      <c r="L146" s="85">
        <v>156</v>
      </c>
      <c r="M146" s="85">
        <v>102</v>
      </c>
      <c r="N146" s="85"/>
      <c r="O146" s="85"/>
      <c r="P146" s="85"/>
      <c r="Q146" s="85"/>
      <c r="R146" s="85"/>
    </row>
    <row r="147" spans="2:18">
      <c r="B147" s="83">
        <v>4500459358</v>
      </c>
      <c r="C147" s="83">
        <v>507209</v>
      </c>
      <c r="D147" s="79" t="s">
        <v>2369</v>
      </c>
      <c r="E147" s="51" t="s">
        <v>4384</v>
      </c>
      <c r="F147" s="81">
        <v>44559</v>
      </c>
      <c r="G147" s="52">
        <v>6.11</v>
      </c>
      <c r="H147" s="48" t="s">
        <v>3258</v>
      </c>
      <c r="I147" s="85">
        <v>60</v>
      </c>
      <c r="J147" s="85">
        <v>150</v>
      </c>
      <c r="K147" s="85">
        <v>240</v>
      </c>
      <c r="L147" s="85">
        <v>180</v>
      </c>
      <c r="M147" s="85">
        <v>120</v>
      </c>
      <c r="N147" s="85"/>
      <c r="O147" s="85"/>
      <c r="P147" s="85"/>
      <c r="Q147" s="85"/>
      <c r="R147" s="85"/>
    </row>
    <row r="148" spans="2:18">
      <c r="B148" s="83">
        <v>4500459358</v>
      </c>
      <c r="C148" s="83">
        <v>507209</v>
      </c>
      <c r="D148" s="79" t="s">
        <v>2369</v>
      </c>
      <c r="E148" s="51" t="s">
        <v>4384</v>
      </c>
      <c r="F148" s="81">
        <v>44559</v>
      </c>
      <c r="G148" s="52">
        <v>6.19</v>
      </c>
      <c r="H148" s="48" t="s">
        <v>3256</v>
      </c>
      <c r="I148" s="85">
        <v>42</v>
      </c>
      <c r="J148" s="85">
        <v>108</v>
      </c>
      <c r="K148" s="85">
        <v>174</v>
      </c>
      <c r="L148" s="85">
        <v>132</v>
      </c>
      <c r="M148" s="85">
        <v>84</v>
      </c>
      <c r="N148" s="85"/>
      <c r="O148" s="85"/>
      <c r="P148" s="85"/>
      <c r="Q148" s="85"/>
      <c r="R148" s="85"/>
    </row>
    <row r="149" spans="2:18">
      <c r="B149" s="83">
        <v>4500459365</v>
      </c>
      <c r="C149" s="83">
        <v>506896</v>
      </c>
      <c r="D149" s="79" t="s">
        <v>2369</v>
      </c>
      <c r="E149" s="51" t="s">
        <v>4384</v>
      </c>
      <c r="F149" s="81">
        <v>44559</v>
      </c>
      <c r="G149" s="52">
        <v>5.89</v>
      </c>
      <c r="H149" s="48" t="s">
        <v>3248</v>
      </c>
      <c r="I149" s="85">
        <v>60</v>
      </c>
      <c r="J149" s="85">
        <v>120</v>
      </c>
      <c r="K149" s="85">
        <v>180</v>
      </c>
      <c r="L149" s="85">
        <v>180</v>
      </c>
      <c r="M149" s="85">
        <v>60</v>
      </c>
      <c r="N149" s="85"/>
      <c r="O149" s="85"/>
      <c r="P149" s="85"/>
      <c r="Q149" s="85"/>
      <c r="R149" s="85"/>
    </row>
    <row r="150" spans="2:18">
      <c r="B150" s="83">
        <v>4500459365</v>
      </c>
      <c r="C150" s="83">
        <v>506896</v>
      </c>
      <c r="D150" s="79" t="s">
        <v>2369</v>
      </c>
      <c r="E150" s="51" t="s">
        <v>4384</v>
      </c>
      <c r="F150" s="81">
        <v>44559</v>
      </c>
      <c r="G150" s="52">
        <v>5.89</v>
      </c>
      <c r="H150" s="48" t="s">
        <v>3252</v>
      </c>
      <c r="I150" s="85">
        <v>60</v>
      </c>
      <c r="J150" s="85">
        <v>120</v>
      </c>
      <c r="K150" s="85">
        <v>180</v>
      </c>
      <c r="L150" s="85">
        <v>180</v>
      </c>
      <c r="M150" s="85">
        <v>60</v>
      </c>
      <c r="N150" s="85"/>
      <c r="O150" s="85"/>
      <c r="P150" s="85"/>
      <c r="Q150" s="85"/>
      <c r="R150" s="85"/>
    </row>
    <row r="151" spans="2:18">
      <c r="B151" s="83">
        <v>4500459365</v>
      </c>
      <c r="C151" s="83">
        <v>507209</v>
      </c>
      <c r="D151" s="79" t="s">
        <v>2369</v>
      </c>
      <c r="E151" s="51" t="s">
        <v>4384</v>
      </c>
      <c r="F151" s="81">
        <v>44559</v>
      </c>
      <c r="G151" s="52">
        <v>6.11</v>
      </c>
      <c r="H151" s="48" t="s">
        <v>3255</v>
      </c>
      <c r="I151" s="85">
        <v>60</v>
      </c>
      <c r="J151" s="85">
        <v>120</v>
      </c>
      <c r="K151" s="85">
        <v>180</v>
      </c>
      <c r="L151" s="85">
        <v>180</v>
      </c>
      <c r="M151" s="85">
        <v>60</v>
      </c>
      <c r="N151" s="85"/>
      <c r="O151" s="85"/>
      <c r="P151" s="85"/>
      <c r="Q151" s="85"/>
      <c r="R151" s="85"/>
    </row>
    <row r="152" spans="2:18">
      <c r="B152" s="83">
        <v>4500459365</v>
      </c>
      <c r="C152" s="83">
        <v>507209</v>
      </c>
      <c r="D152" s="79" t="s">
        <v>2369</v>
      </c>
      <c r="E152" s="51" t="s">
        <v>4384</v>
      </c>
      <c r="F152" s="81">
        <v>44559</v>
      </c>
      <c r="G152" s="52">
        <v>6.19</v>
      </c>
      <c r="H152" s="48" t="s">
        <v>3257</v>
      </c>
      <c r="I152" s="85">
        <v>60</v>
      </c>
      <c r="J152" s="85">
        <v>120</v>
      </c>
      <c r="K152" s="85">
        <v>180</v>
      </c>
      <c r="L152" s="85">
        <v>180</v>
      </c>
      <c r="M152" s="85">
        <v>60</v>
      </c>
      <c r="N152" s="85"/>
      <c r="O152" s="85"/>
      <c r="P152" s="85"/>
      <c r="Q152" s="85"/>
      <c r="R152" s="85"/>
    </row>
    <row r="153" spans="2:18">
      <c r="B153" s="83">
        <v>4500459365</v>
      </c>
      <c r="C153" s="83">
        <v>507209</v>
      </c>
      <c r="D153" s="79" t="s">
        <v>2369</v>
      </c>
      <c r="E153" s="51" t="s">
        <v>4384</v>
      </c>
      <c r="F153" s="81">
        <v>44559</v>
      </c>
      <c r="G153" s="52">
        <v>6.11</v>
      </c>
      <c r="H153" s="48" t="s">
        <v>3258</v>
      </c>
      <c r="I153" s="85">
        <v>60</v>
      </c>
      <c r="J153" s="85">
        <v>120</v>
      </c>
      <c r="K153" s="85">
        <v>180</v>
      </c>
      <c r="L153" s="85">
        <v>180</v>
      </c>
      <c r="M153" s="85">
        <v>60</v>
      </c>
      <c r="N153" s="85"/>
      <c r="O153" s="85"/>
      <c r="P153" s="85"/>
      <c r="Q153" s="85"/>
      <c r="R153" s="85"/>
    </row>
    <row r="154" spans="2:18">
      <c r="B154" s="83">
        <v>4500459365</v>
      </c>
      <c r="C154" s="83">
        <v>507209</v>
      </c>
      <c r="D154" s="79" t="s">
        <v>2369</v>
      </c>
      <c r="E154" s="51" t="s">
        <v>4384</v>
      </c>
      <c r="F154" s="81">
        <v>44559</v>
      </c>
      <c r="G154" s="52">
        <v>6.19</v>
      </c>
      <c r="H154" s="48" t="s">
        <v>3256</v>
      </c>
      <c r="I154" s="85">
        <v>60</v>
      </c>
      <c r="J154" s="85">
        <v>120</v>
      </c>
      <c r="K154" s="85">
        <v>180</v>
      </c>
      <c r="L154" s="85">
        <v>180</v>
      </c>
      <c r="M154" s="85">
        <v>60</v>
      </c>
      <c r="N154" s="85"/>
      <c r="O154" s="85"/>
      <c r="P154" s="85"/>
      <c r="Q154" s="85"/>
      <c r="R154" s="85"/>
    </row>
    <row r="155" spans="2:18">
      <c r="B155" s="83">
        <v>4500459359</v>
      </c>
      <c r="C155" s="83">
        <v>506896</v>
      </c>
      <c r="D155" s="79" t="s">
        <v>2369</v>
      </c>
      <c r="E155" s="51" t="s">
        <v>4384</v>
      </c>
      <c r="F155" s="81">
        <v>44573</v>
      </c>
      <c r="G155" s="52">
        <v>5.89</v>
      </c>
      <c r="H155" s="48" t="s">
        <v>3248</v>
      </c>
      <c r="I155" s="85">
        <v>30</v>
      </c>
      <c r="J155" s="85">
        <v>78</v>
      </c>
      <c r="K155" s="85">
        <v>123</v>
      </c>
      <c r="L155" s="85">
        <v>93</v>
      </c>
      <c r="M155" s="85">
        <v>63</v>
      </c>
      <c r="N155" s="85"/>
      <c r="O155" s="85"/>
      <c r="P155" s="85"/>
      <c r="Q155" s="85"/>
      <c r="R155" s="85"/>
    </row>
    <row r="156" spans="2:18">
      <c r="B156" s="83">
        <v>4500459359</v>
      </c>
      <c r="C156" s="83">
        <v>506896</v>
      </c>
      <c r="D156" s="79" t="s">
        <v>2369</v>
      </c>
      <c r="E156" s="51" t="s">
        <v>4384</v>
      </c>
      <c r="F156" s="81">
        <v>44573</v>
      </c>
      <c r="G156" s="52">
        <v>5.89</v>
      </c>
      <c r="H156" s="48" t="s">
        <v>3252</v>
      </c>
      <c r="I156" s="85">
        <v>54</v>
      </c>
      <c r="J156" s="85">
        <v>138</v>
      </c>
      <c r="K156" s="85">
        <v>219</v>
      </c>
      <c r="L156" s="85">
        <v>165</v>
      </c>
      <c r="M156" s="85">
        <v>111</v>
      </c>
      <c r="N156" s="85"/>
      <c r="O156" s="85"/>
      <c r="P156" s="85"/>
      <c r="Q156" s="85"/>
      <c r="R156" s="85"/>
    </row>
    <row r="157" spans="2:18">
      <c r="B157" s="83">
        <v>4500459359</v>
      </c>
      <c r="C157" s="83">
        <v>507209</v>
      </c>
      <c r="D157" s="79" t="s">
        <v>2369</v>
      </c>
      <c r="E157" s="51" t="s">
        <v>4384</v>
      </c>
      <c r="F157" s="81">
        <v>44573</v>
      </c>
      <c r="G157" s="52">
        <v>6.11</v>
      </c>
      <c r="H157" s="48" t="s">
        <v>3255</v>
      </c>
      <c r="I157" s="85">
        <v>24</v>
      </c>
      <c r="J157" s="85">
        <v>60</v>
      </c>
      <c r="K157" s="85">
        <v>96</v>
      </c>
      <c r="L157" s="85">
        <v>72</v>
      </c>
      <c r="M157" s="85">
        <v>48</v>
      </c>
      <c r="N157" s="85"/>
      <c r="O157" s="85"/>
      <c r="P157" s="85"/>
      <c r="Q157" s="85"/>
      <c r="R157" s="85"/>
    </row>
    <row r="158" spans="2:18">
      <c r="B158" s="83">
        <v>4500459359</v>
      </c>
      <c r="C158" s="83">
        <v>507209</v>
      </c>
      <c r="D158" s="79" t="s">
        <v>2369</v>
      </c>
      <c r="E158" s="51" t="s">
        <v>4384</v>
      </c>
      <c r="F158" s="81">
        <v>44573</v>
      </c>
      <c r="G158" s="52">
        <v>6.19</v>
      </c>
      <c r="H158" s="48" t="s">
        <v>3257</v>
      </c>
      <c r="I158" s="85">
        <v>42</v>
      </c>
      <c r="J158" s="85">
        <v>108</v>
      </c>
      <c r="K158" s="85">
        <v>174</v>
      </c>
      <c r="L158" s="85">
        <v>129</v>
      </c>
      <c r="M158" s="85">
        <v>87</v>
      </c>
      <c r="N158" s="85"/>
      <c r="O158" s="85"/>
      <c r="P158" s="85"/>
      <c r="Q158" s="85"/>
      <c r="R158" s="85"/>
    </row>
    <row r="159" spans="2:18">
      <c r="B159" s="83">
        <v>4500459359</v>
      </c>
      <c r="C159" s="83">
        <v>507209</v>
      </c>
      <c r="D159" s="79" t="s">
        <v>2369</v>
      </c>
      <c r="E159" s="51" t="s">
        <v>4384</v>
      </c>
      <c r="F159" s="81">
        <v>44573</v>
      </c>
      <c r="G159" s="52">
        <v>6.11</v>
      </c>
      <c r="H159" s="48" t="s">
        <v>3258</v>
      </c>
      <c r="I159" s="85">
        <v>51</v>
      </c>
      <c r="J159" s="85">
        <v>126</v>
      </c>
      <c r="K159" s="85">
        <v>201</v>
      </c>
      <c r="L159" s="85">
        <v>150</v>
      </c>
      <c r="M159" s="85">
        <v>99</v>
      </c>
      <c r="N159" s="85"/>
      <c r="O159" s="85"/>
      <c r="P159" s="85"/>
      <c r="Q159" s="85"/>
      <c r="R159" s="85"/>
    </row>
    <row r="160" spans="2:18">
      <c r="B160" s="83">
        <v>4500459359</v>
      </c>
      <c r="C160" s="83">
        <v>507209</v>
      </c>
      <c r="D160" s="79" t="s">
        <v>2369</v>
      </c>
      <c r="E160" s="51" t="s">
        <v>4384</v>
      </c>
      <c r="F160" s="81">
        <v>44573</v>
      </c>
      <c r="G160" s="52">
        <v>6.19</v>
      </c>
      <c r="H160" s="48" t="s">
        <v>3256</v>
      </c>
      <c r="I160" s="85">
        <v>36</v>
      </c>
      <c r="J160" s="85">
        <v>90</v>
      </c>
      <c r="K160" s="85">
        <v>144</v>
      </c>
      <c r="L160" s="85">
        <v>108</v>
      </c>
      <c r="M160" s="85">
        <v>72</v>
      </c>
      <c r="N160" s="85"/>
      <c r="O160" s="85"/>
      <c r="P160" s="85"/>
      <c r="Q160" s="85"/>
      <c r="R160" s="85"/>
    </row>
    <row r="161" spans="2:18">
      <c r="B161" s="83">
        <v>4500459371</v>
      </c>
      <c r="C161" s="83">
        <v>507209</v>
      </c>
      <c r="D161" s="79" t="s">
        <v>2369</v>
      </c>
      <c r="E161" s="51" t="s">
        <v>4384</v>
      </c>
      <c r="F161" s="81">
        <v>44587</v>
      </c>
      <c r="G161" s="52">
        <v>5.82</v>
      </c>
      <c r="H161" s="48" t="s">
        <v>3255</v>
      </c>
      <c r="I161" s="85">
        <v>12</v>
      </c>
      <c r="J161" s="85">
        <v>24</v>
      </c>
      <c r="K161" s="85">
        <v>24</v>
      </c>
      <c r="L161" s="85">
        <v>12</v>
      </c>
      <c r="M161" s="85"/>
      <c r="N161" s="85"/>
      <c r="O161" s="85"/>
      <c r="P161" s="85"/>
      <c r="Q161" s="85"/>
      <c r="R161" s="85"/>
    </row>
    <row r="162" spans="2:18">
      <c r="B162" s="83">
        <v>4500459371</v>
      </c>
      <c r="C162" s="83">
        <v>507209</v>
      </c>
      <c r="D162" s="79" t="s">
        <v>2369</v>
      </c>
      <c r="E162" s="51" t="s">
        <v>4384</v>
      </c>
      <c r="F162" s="81">
        <v>44587</v>
      </c>
      <c r="G162" s="52">
        <v>5.82</v>
      </c>
      <c r="H162" s="48" t="s">
        <v>3258</v>
      </c>
      <c r="I162" s="85">
        <v>12</v>
      </c>
      <c r="J162" s="85">
        <v>36</v>
      </c>
      <c r="K162" s="85">
        <v>36</v>
      </c>
      <c r="L162" s="85">
        <v>24</v>
      </c>
      <c r="M162" s="85">
        <v>12</v>
      </c>
      <c r="N162" s="85"/>
      <c r="O162" s="85"/>
      <c r="P162" s="85"/>
      <c r="Q162" s="85"/>
      <c r="R162" s="85"/>
    </row>
    <row r="163" spans="2:18">
      <c r="B163" s="83">
        <v>4500459371</v>
      </c>
      <c r="C163" s="83">
        <v>507209</v>
      </c>
      <c r="D163" s="79" t="s">
        <v>2369</v>
      </c>
      <c r="E163" s="51" t="s">
        <v>4384</v>
      </c>
      <c r="F163" s="81">
        <v>44587</v>
      </c>
      <c r="G163" s="52">
        <v>5.95</v>
      </c>
      <c r="H163" s="48" t="s">
        <v>4386</v>
      </c>
      <c r="I163" s="85">
        <v>12</v>
      </c>
      <c r="J163" s="85">
        <v>24</v>
      </c>
      <c r="K163" s="85">
        <v>24</v>
      </c>
      <c r="L163" s="85">
        <v>12</v>
      </c>
      <c r="M163" s="85"/>
      <c r="N163" s="85"/>
      <c r="O163" s="85"/>
      <c r="P163" s="85"/>
      <c r="Q163" s="85"/>
      <c r="R163" s="85"/>
    </row>
    <row r="164" spans="2:18">
      <c r="B164" s="83">
        <v>4500459371</v>
      </c>
      <c r="C164" s="83">
        <v>507209</v>
      </c>
      <c r="D164" s="79" t="s">
        <v>2369</v>
      </c>
      <c r="E164" s="51" t="s">
        <v>4384</v>
      </c>
      <c r="F164" s="81">
        <v>44587</v>
      </c>
      <c r="G164" s="52">
        <v>6.05</v>
      </c>
      <c r="H164" s="48" t="s">
        <v>4398</v>
      </c>
      <c r="I164" s="85">
        <v>72</v>
      </c>
      <c r="J164" s="85">
        <v>228</v>
      </c>
      <c r="K164" s="85">
        <v>288</v>
      </c>
      <c r="L164" s="85">
        <v>96</v>
      </c>
      <c r="M164" s="85">
        <v>24</v>
      </c>
      <c r="N164" s="85"/>
      <c r="O164" s="85"/>
      <c r="P164" s="85"/>
      <c r="Q164" s="85"/>
      <c r="R164" s="85"/>
    </row>
    <row r="165" spans="2:18">
      <c r="B165" s="83">
        <v>4500459371</v>
      </c>
      <c r="C165" s="83">
        <v>507209</v>
      </c>
      <c r="D165" s="79" t="s">
        <v>2369</v>
      </c>
      <c r="E165" s="51" t="s">
        <v>4384</v>
      </c>
      <c r="F165" s="81">
        <v>44587</v>
      </c>
      <c r="G165" s="52">
        <v>8</v>
      </c>
      <c r="H165" s="48" t="s">
        <v>4400</v>
      </c>
      <c r="I165" s="85">
        <v>48</v>
      </c>
      <c r="J165" s="85">
        <v>144</v>
      </c>
      <c r="K165" s="85">
        <v>180</v>
      </c>
      <c r="L165" s="85">
        <v>48</v>
      </c>
      <c r="M165" s="85">
        <v>12</v>
      </c>
      <c r="N165" s="85"/>
      <c r="O165" s="85"/>
      <c r="P165" s="85"/>
      <c r="Q165" s="85"/>
      <c r="R165" s="85"/>
    </row>
    <row r="166" spans="2:18">
      <c r="B166" s="83">
        <v>4500459356</v>
      </c>
      <c r="C166" s="83">
        <v>506896</v>
      </c>
      <c r="D166" s="79" t="s">
        <v>2369</v>
      </c>
      <c r="E166" s="51" t="s">
        <v>4384</v>
      </c>
      <c r="F166" s="81">
        <v>44587</v>
      </c>
      <c r="G166" s="52">
        <v>5.6</v>
      </c>
      <c r="H166" s="48" t="s">
        <v>3248</v>
      </c>
      <c r="I166" s="85">
        <v>76</v>
      </c>
      <c r="J166" s="85">
        <v>197</v>
      </c>
      <c r="K166" s="85">
        <v>245</v>
      </c>
      <c r="L166" s="85">
        <v>184</v>
      </c>
      <c r="M166" s="85">
        <v>62</v>
      </c>
      <c r="N166" s="85"/>
      <c r="O166" s="85"/>
      <c r="P166" s="85"/>
      <c r="Q166" s="85"/>
      <c r="R166" s="85"/>
    </row>
    <row r="167" spans="2:18">
      <c r="B167" s="83">
        <v>4500459356</v>
      </c>
      <c r="C167" s="83">
        <v>506896</v>
      </c>
      <c r="D167" s="79" t="s">
        <v>2369</v>
      </c>
      <c r="E167" s="51" t="s">
        <v>4384</v>
      </c>
      <c r="F167" s="81">
        <v>44587</v>
      </c>
      <c r="G167" s="52">
        <v>6.9</v>
      </c>
      <c r="H167" s="48" t="s">
        <v>3250</v>
      </c>
      <c r="I167" s="85">
        <v>67</v>
      </c>
      <c r="J167" s="85">
        <v>203</v>
      </c>
      <c r="K167" s="85">
        <v>246</v>
      </c>
      <c r="L167" s="85">
        <v>140</v>
      </c>
      <c r="M167" s="85">
        <v>49</v>
      </c>
      <c r="N167" s="85"/>
      <c r="O167" s="85"/>
      <c r="P167" s="85"/>
      <c r="Q167" s="85"/>
      <c r="R167" s="85"/>
    </row>
    <row r="168" spans="2:18">
      <c r="B168" s="83">
        <v>4500459356</v>
      </c>
      <c r="C168" s="83">
        <v>506896</v>
      </c>
      <c r="D168" s="79" t="s">
        <v>2369</v>
      </c>
      <c r="E168" s="51" t="s">
        <v>4384</v>
      </c>
      <c r="F168" s="81">
        <v>44587</v>
      </c>
      <c r="G168" s="52">
        <v>5.6</v>
      </c>
      <c r="H168" s="48" t="s">
        <v>3252</v>
      </c>
      <c r="I168" s="85">
        <v>180</v>
      </c>
      <c r="J168" s="85">
        <v>653</v>
      </c>
      <c r="K168" s="85">
        <v>714</v>
      </c>
      <c r="L168" s="85">
        <v>283</v>
      </c>
      <c r="M168" s="85">
        <v>95</v>
      </c>
      <c r="N168" s="85"/>
      <c r="O168" s="85"/>
      <c r="P168" s="85"/>
      <c r="Q168" s="85"/>
      <c r="R168" s="85"/>
    </row>
    <row r="169" spans="2:18">
      <c r="B169" s="83">
        <v>4500459356</v>
      </c>
      <c r="C169" s="83">
        <v>506896</v>
      </c>
      <c r="D169" s="79" t="s">
        <v>2369</v>
      </c>
      <c r="E169" s="51" t="s">
        <v>4384</v>
      </c>
      <c r="F169" s="81">
        <v>44587</v>
      </c>
      <c r="G169" s="52">
        <v>7.15</v>
      </c>
      <c r="H169" s="48" t="s">
        <v>3253</v>
      </c>
      <c r="I169" s="85">
        <v>126</v>
      </c>
      <c r="J169" s="85">
        <v>382</v>
      </c>
      <c r="K169" s="85">
        <v>462</v>
      </c>
      <c r="L169" s="85">
        <v>262</v>
      </c>
      <c r="M169" s="85">
        <v>93</v>
      </c>
      <c r="N169" s="85"/>
      <c r="O169" s="85"/>
      <c r="P169" s="85"/>
      <c r="Q169" s="85"/>
      <c r="R169" s="85"/>
    </row>
    <row r="170" spans="2:18">
      <c r="B170" s="83">
        <v>4500459356</v>
      </c>
      <c r="C170" s="83">
        <v>506896</v>
      </c>
      <c r="D170" s="79" t="s">
        <v>2369</v>
      </c>
      <c r="E170" s="51" t="s">
        <v>4384</v>
      </c>
      <c r="F170" s="81">
        <v>44587</v>
      </c>
      <c r="G170" s="52">
        <v>5.84</v>
      </c>
      <c r="H170" s="48" t="s">
        <v>4387</v>
      </c>
      <c r="I170" s="85">
        <v>132</v>
      </c>
      <c r="J170" s="85">
        <v>494</v>
      </c>
      <c r="K170" s="85">
        <v>553</v>
      </c>
      <c r="L170" s="85">
        <v>272</v>
      </c>
      <c r="M170" s="85">
        <v>139</v>
      </c>
      <c r="N170" s="85"/>
      <c r="O170" s="85"/>
      <c r="P170" s="85"/>
      <c r="Q170" s="85"/>
      <c r="R170" s="85"/>
    </row>
    <row r="171" spans="2:18">
      <c r="B171" s="83">
        <v>4500459356</v>
      </c>
      <c r="C171" s="83">
        <v>507209</v>
      </c>
      <c r="D171" s="79" t="s">
        <v>2369</v>
      </c>
      <c r="E171" s="51" t="s">
        <v>4384</v>
      </c>
      <c r="F171" s="81">
        <v>44587</v>
      </c>
      <c r="G171" s="52">
        <v>5.82</v>
      </c>
      <c r="H171" s="48" t="s">
        <v>3254</v>
      </c>
      <c r="I171" s="85">
        <v>64</v>
      </c>
      <c r="J171" s="85">
        <v>194</v>
      </c>
      <c r="K171" s="85">
        <v>234</v>
      </c>
      <c r="L171" s="85">
        <v>134</v>
      </c>
      <c r="M171" s="85">
        <v>47</v>
      </c>
      <c r="N171" s="85"/>
      <c r="O171" s="85"/>
      <c r="P171" s="85"/>
      <c r="Q171" s="85"/>
      <c r="R171" s="85"/>
    </row>
    <row r="172" spans="2:18">
      <c r="B172" s="83">
        <v>4500459356</v>
      </c>
      <c r="C172" s="83">
        <v>507209</v>
      </c>
      <c r="D172" s="79" t="s">
        <v>2369</v>
      </c>
      <c r="E172" s="51" t="s">
        <v>4384</v>
      </c>
      <c r="F172" s="81">
        <v>44587</v>
      </c>
      <c r="G172" s="52">
        <v>6.45</v>
      </c>
      <c r="H172" s="48" t="s">
        <v>3265</v>
      </c>
      <c r="I172" s="85">
        <v>62</v>
      </c>
      <c r="J172" s="85">
        <v>187</v>
      </c>
      <c r="K172" s="85">
        <v>227</v>
      </c>
      <c r="L172" s="85">
        <v>129</v>
      </c>
      <c r="M172" s="85">
        <v>45</v>
      </c>
      <c r="N172" s="85"/>
      <c r="O172" s="85"/>
      <c r="P172" s="85"/>
      <c r="Q172" s="85"/>
      <c r="R172" s="85"/>
    </row>
    <row r="173" spans="2:18">
      <c r="B173" s="83">
        <v>4500459356</v>
      </c>
      <c r="C173" s="83">
        <v>507209</v>
      </c>
      <c r="D173" s="79" t="s">
        <v>2369</v>
      </c>
      <c r="E173" s="51" t="s">
        <v>4384</v>
      </c>
      <c r="F173" s="81">
        <v>44587</v>
      </c>
      <c r="G173" s="52">
        <v>5.82</v>
      </c>
      <c r="H173" s="48" t="s">
        <v>3255</v>
      </c>
      <c r="I173" s="85">
        <v>105</v>
      </c>
      <c r="J173" s="85">
        <v>317</v>
      </c>
      <c r="K173" s="85">
        <v>384</v>
      </c>
      <c r="L173" s="85">
        <v>217</v>
      </c>
      <c r="M173" s="85">
        <v>77</v>
      </c>
      <c r="N173" s="85"/>
      <c r="O173" s="85"/>
      <c r="P173" s="85"/>
      <c r="Q173" s="85"/>
      <c r="R173" s="85"/>
    </row>
    <row r="174" spans="2:18">
      <c r="B174" s="83">
        <v>4500459356</v>
      </c>
      <c r="C174" s="83">
        <v>507209</v>
      </c>
      <c r="D174" s="79" t="s">
        <v>2369</v>
      </c>
      <c r="E174" s="51" t="s">
        <v>4384</v>
      </c>
      <c r="F174" s="81">
        <v>44587</v>
      </c>
      <c r="G174" s="52">
        <v>5.9</v>
      </c>
      <c r="H174" s="48" t="s">
        <v>3257</v>
      </c>
      <c r="I174" s="85">
        <v>186</v>
      </c>
      <c r="J174" s="85">
        <v>562</v>
      </c>
      <c r="K174" s="85">
        <v>680</v>
      </c>
      <c r="L174" s="85">
        <v>385</v>
      </c>
      <c r="M174" s="85">
        <v>136</v>
      </c>
      <c r="N174" s="85"/>
      <c r="O174" s="85"/>
      <c r="P174" s="85"/>
      <c r="Q174" s="85"/>
      <c r="R174" s="85"/>
    </row>
    <row r="175" spans="2:18">
      <c r="B175" s="83">
        <v>4500459356</v>
      </c>
      <c r="C175" s="83">
        <v>507209</v>
      </c>
      <c r="D175" s="79" t="s">
        <v>2369</v>
      </c>
      <c r="E175" s="51" t="s">
        <v>4384</v>
      </c>
      <c r="F175" s="81">
        <v>44587</v>
      </c>
      <c r="G175" s="52">
        <v>5.9</v>
      </c>
      <c r="H175" s="48" t="s">
        <v>3256</v>
      </c>
      <c r="I175" s="85">
        <v>47</v>
      </c>
      <c r="J175" s="85">
        <v>143</v>
      </c>
      <c r="K175" s="85">
        <v>172</v>
      </c>
      <c r="L175" s="85">
        <v>98</v>
      </c>
      <c r="M175" s="85">
        <v>34</v>
      </c>
      <c r="N175" s="85"/>
      <c r="O175" s="85"/>
      <c r="P175" s="85"/>
      <c r="Q175" s="85"/>
      <c r="R175" s="85"/>
    </row>
    <row r="176" spans="2:18">
      <c r="B176" s="83">
        <v>4500459356</v>
      </c>
      <c r="C176" s="83">
        <v>507209</v>
      </c>
      <c r="D176" s="79" t="s">
        <v>2369</v>
      </c>
      <c r="E176" s="51" t="s">
        <v>4384</v>
      </c>
      <c r="F176" s="81">
        <v>44587</v>
      </c>
      <c r="G176" s="52">
        <v>6.05</v>
      </c>
      <c r="H176" s="48" t="s">
        <v>4398</v>
      </c>
      <c r="I176" s="85">
        <v>196</v>
      </c>
      <c r="J176" s="85">
        <v>597</v>
      </c>
      <c r="K176" s="85">
        <v>724</v>
      </c>
      <c r="L176" s="85">
        <v>407</v>
      </c>
      <c r="M176" s="85">
        <v>143</v>
      </c>
      <c r="N176" s="85"/>
      <c r="O176" s="85"/>
      <c r="P176" s="85"/>
      <c r="Q176" s="85"/>
      <c r="R176" s="85"/>
    </row>
    <row r="177" spans="2:18">
      <c r="B177" s="83">
        <v>4500459356</v>
      </c>
      <c r="C177" s="83">
        <v>507209</v>
      </c>
      <c r="D177" s="79" t="s">
        <v>2369</v>
      </c>
      <c r="E177" s="51" t="s">
        <v>4384</v>
      </c>
      <c r="F177" s="81">
        <v>44587</v>
      </c>
      <c r="G177" s="52">
        <v>6.45</v>
      </c>
      <c r="H177" s="48" t="s">
        <v>4399</v>
      </c>
      <c r="I177" s="85">
        <v>106</v>
      </c>
      <c r="J177" s="85">
        <v>321</v>
      </c>
      <c r="K177" s="85">
        <v>389</v>
      </c>
      <c r="L177" s="85">
        <v>219</v>
      </c>
      <c r="M177" s="85">
        <v>77</v>
      </c>
      <c r="N177" s="85"/>
      <c r="O177" s="85"/>
      <c r="P177" s="85"/>
      <c r="Q177" s="85"/>
      <c r="R177" s="85"/>
    </row>
    <row r="178" spans="2:18">
      <c r="B178" s="83">
        <v>4500459356</v>
      </c>
      <c r="C178" s="83">
        <v>507209</v>
      </c>
      <c r="D178" s="79" t="s">
        <v>2369</v>
      </c>
      <c r="E178" s="51" t="s">
        <v>4384</v>
      </c>
      <c r="F178" s="81">
        <v>44587</v>
      </c>
      <c r="G178" s="52">
        <v>8</v>
      </c>
      <c r="H178" s="48" t="s">
        <v>4400</v>
      </c>
      <c r="I178" s="85">
        <v>178</v>
      </c>
      <c r="J178" s="85">
        <v>541</v>
      </c>
      <c r="K178" s="85">
        <v>655</v>
      </c>
      <c r="L178" s="85">
        <v>369</v>
      </c>
      <c r="M178" s="85">
        <v>129</v>
      </c>
      <c r="N178" s="85"/>
      <c r="O178" s="85"/>
      <c r="P178" s="85"/>
      <c r="Q178" s="85"/>
      <c r="R178" s="85"/>
    </row>
    <row r="179" spans="2:18">
      <c r="B179" s="83">
        <v>4500459356</v>
      </c>
      <c r="C179" s="83">
        <v>529692</v>
      </c>
      <c r="D179" s="79" t="s">
        <v>2369</v>
      </c>
      <c r="E179" s="51" t="s">
        <v>4384</v>
      </c>
      <c r="F179" s="81">
        <v>44587</v>
      </c>
      <c r="G179" s="52">
        <v>6.03</v>
      </c>
      <c r="H179" s="48" t="s">
        <v>3252</v>
      </c>
      <c r="I179" s="85"/>
      <c r="J179" s="85"/>
      <c r="K179" s="85"/>
      <c r="L179" s="85"/>
      <c r="M179" s="85"/>
      <c r="N179" s="85">
        <v>107</v>
      </c>
      <c r="O179" s="85">
        <v>92</v>
      </c>
      <c r="P179" s="85">
        <v>26</v>
      </c>
      <c r="Q179" s="85"/>
      <c r="R179" s="85"/>
    </row>
    <row r="180" spans="2:18">
      <c r="B180" s="83">
        <v>4500459356</v>
      </c>
      <c r="C180" s="83">
        <v>529688</v>
      </c>
      <c r="D180" s="79" t="s">
        <v>2369</v>
      </c>
      <c r="E180" s="51" t="s">
        <v>4384</v>
      </c>
      <c r="F180" s="81">
        <v>44587</v>
      </c>
      <c r="G180" s="52">
        <v>6.35</v>
      </c>
      <c r="H180" s="48" t="s">
        <v>3257</v>
      </c>
      <c r="I180" s="85"/>
      <c r="J180" s="85"/>
      <c r="K180" s="85"/>
      <c r="L180" s="85"/>
      <c r="M180" s="85"/>
      <c r="N180" s="85">
        <v>235</v>
      </c>
      <c r="O180" s="85">
        <v>194</v>
      </c>
      <c r="P180" s="85">
        <v>59</v>
      </c>
      <c r="Q180" s="85"/>
      <c r="R180" s="85"/>
    </row>
    <row r="181" spans="2:18">
      <c r="B181" s="83">
        <v>4500459360</v>
      </c>
      <c r="C181" s="83">
        <v>506896</v>
      </c>
      <c r="D181" s="79" t="s">
        <v>2369</v>
      </c>
      <c r="E181" s="51" t="s">
        <v>4384</v>
      </c>
      <c r="F181" s="81">
        <v>44587</v>
      </c>
      <c r="G181" s="52">
        <v>5.89</v>
      </c>
      <c r="H181" s="48" t="s">
        <v>3248</v>
      </c>
      <c r="I181" s="85">
        <v>51</v>
      </c>
      <c r="J181" s="85">
        <v>129</v>
      </c>
      <c r="K181" s="85">
        <v>207</v>
      </c>
      <c r="L181" s="85">
        <v>156</v>
      </c>
      <c r="M181" s="85">
        <v>105</v>
      </c>
      <c r="N181" s="85"/>
      <c r="O181" s="85"/>
      <c r="P181" s="85"/>
      <c r="Q181" s="85"/>
      <c r="R181" s="85"/>
    </row>
    <row r="182" spans="2:18">
      <c r="B182" s="83">
        <v>4500459360</v>
      </c>
      <c r="C182" s="83">
        <v>506896</v>
      </c>
      <c r="D182" s="79" t="s">
        <v>2369</v>
      </c>
      <c r="E182" s="51" t="s">
        <v>4384</v>
      </c>
      <c r="F182" s="81">
        <v>44587</v>
      </c>
      <c r="G182" s="52">
        <v>5.89</v>
      </c>
      <c r="H182" s="48" t="s">
        <v>3252</v>
      </c>
      <c r="I182" s="85">
        <v>93</v>
      </c>
      <c r="J182" s="85">
        <v>231</v>
      </c>
      <c r="K182" s="85">
        <v>366</v>
      </c>
      <c r="L182" s="85">
        <v>276</v>
      </c>
      <c r="M182" s="85">
        <v>183</v>
      </c>
      <c r="N182" s="85"/>
      <c r="O182" s="85"/>
      <c r="P182" s="85"/>
      <c r="Q182" s="85"/>
      <c r="R182" s="85"/>
    </row>
    <row r="183" spans="2:18">
      <c r="B183" s="83">
        <v>4500459360</v>
      </c>
      <c r="C183" s="83">
        <v>507209</v>
      </c>
      <c r="D183" s="79" t="s">
        <v>2369</v>
      </c>
      <c r="E183" s="51" t="s">
        <v>4384</v>
      </c>
      <c r="F183" s="81">
        <v>44587</v>
      </c>
      <c r="G183" s="52">
        <v>6.11</v>
      </c>
      <c r="H183" s="48" t="s">
        <v>3255</v>
      </c>
      <c r="I183" s="85">
        <v>39</v>
      </c>
      <c r="J183" s="85">
        <v>99</v>
      </c>
      <c r="K183" s="85">
        <v>159</v>
      </c>
      <c r="L183" s="85">
        <v>120</v>
      </c>
      <c r="M183" s="85">
        <v>81</v>
      </c>
      <c r="N183" s="85"/>
      <c r="O183" s="85"/>
      <c r="P183" s="85"/>
      <c r="Q183" s="85"/>
      <c r="R183" s="85"/>
    </row>
    <row r="184" spans="2:18">
      <c r="B184" s="83">
        <v>4500459360</v>
      </c>
      <c r="C184" s="83">
        <v>507209</v>
      </c>
      <c r="D184" s="79" t="s">
        <v>2369</v>
      </c>
      <c r="E184" s="51" t="s">
        <v>4384</v>
      </c>
      <c r="F184" s="81">
        <v>44587</v>
      </c>
      <c r="G184" s="52">
        <v>6.19</v>
      </c>
      <c r="H184" s="48" t="s">
        <v>3257</v>
      </c>
      <c r="I184" s="85">
        <v>72</v>
      </c>
      <c r="J184" s="85">
        <v>180</v>
      </c>
      <c r="K184" s="85">
        <v>288</v>
      </c>
      <c r="L184" s="85">
        <v>216</v>
      </c>
      <c r="M184" s="85">
        <v>144</v>
      </c>
      <c r="N184" s="85"/>
      <c r="O184" s="85"/>
      <c r="P184" s="85"/>
      <c r="Q184" s="85"/>
      <c r="R184" s="85"/>
    </row>
    <row r="185" spans="2:18">
      <c r="B185" s="83">
        <v>4500459360</v>
      </c>
      <c r="C185" s="83">
        <v>507209</v>
      </c>
      <c r="D185" s="79" t="s">
        <v>2369</v>
      </c>
      <c r="E185" s="51" t="s">
        <v>4384</v>
      </c>
      <c r="F185" s="81">
        <v>44587</v>
      </c>
      <c r="G185" s="52">
        <v>6.11</v>
      </c>
      <c r="H185" s="48" t="s">
        <v>3258</v>
      </c>
      <c r="I185" s="85">
        <v>84</v>
      </c>
      <c r="J185" s="85">
        <v>210</v>
      </c>
      <c r="K185" s="85">
        <v>336</v>
      </c>
      <c r="L185" s="85">
        <v>252</v>
      </c>
      <c r="M185" s="85">
        <v>168</v>
      </c>
      <c r="N185" s="85"/>
      <c r="O185" s="85"/>
      <c r="P185" s="85"/>
      <c r="Q185" s="85"/>
      <c r="R185" s="85"/>
    </row>
    <row r="186" spans="2:18">
      <c r="B186" s="83">
        <v>4500459360</v>
      </c>
      <c r="C186" s="83">
        <v>507209</v>
      </c>
      <c r="D186" s="79" t="s">
        <v>2369</v>
      </c>
      <c r="E186" s="51" t="s">
        <v>4384</v>
      </c>
      <c r="F186" s="81">
        <v>44587</v>
      </c>
      <c r="G186" s="52">
        <v>6.19</v>
      </c>
      <c r="H186" s="48" t="s">
        <v>3256</v>
      </c>
      <c r="I186" s="85">
        <v>60</v>
      </c>
      <c r="J186" s="85">
        <v>150</v>
      </c>
      <c r="K186" s="85">
        <v>240</v>
      </c>
      <c r="L186" s="85">
        <v>180</v>
      </c>
      <c r="M186" s="85">
        <v>120</v>
      </c>
      <c r="N186" s="85"/>
      <c r="O186" s="85"/>
      <c r="P186" s="85"/>
      <c r="Q186" s="85"/>
      <c r="R186" s="85"/>
    </row>
    <row r="187" spans="2:18">
      <c r="B187" s="83">
        <v>4500459361</v>
      </c>
      <c r="C187" s="83">
        <v>506896</v>
      </c>
      <c r="D187" s="79" t="s">
        <v>2369</v>
      </c>
      <c r="E187" s="51" t="s">
        <v>4384</v>
      </c>
      <c r="F187" s="81">
        <v>44601</v>
      </c>
      <c r="G187" s="52">
        <v>5.89</v>
      </c>
      <c r="H187" s="48" t="s">
        <v>3248</v>
      </c>
      <c r="I187" s="85">
        <v>30</v>
      </c>
      <c r="J187" s="85">
        <v>102</v>
      </c>
      <c r="K187" s="85">
        <v>177</v>
      </c>
      <c r="L187" s="85">
        <v>87</v>
      </c>
      <c r="M187" s="85">
        <v>120</v>
      </c>
      <c r="N187" s="85"/>
      <c r="O187" s="85"/>
      <c r="P187" s="85"/>
      <c r="Q187" s="85"/>
      <c r="R187" s="85"/>
    </row>
    <row r="188" spans="2:18">
      <c r="B188" s="83">
        <v>4500459361</v>
      </c>
      <c r="C188" s="83">
        <v>506896</v>
      </c>
      <c r="D188" s="79" t="s">
        <v>2369</v>
      </c>
      <c r="E188" s="51" t="s">
        <v>4384</v>
      </c>
      <c r="F188" s="81">
        <v>44601</v>
      </c>
      <c r="G188" s="52">
        <v>5.89</v>
      </c>
      <c r="H188" s="48" t="s">
        <v>3252</v>
      </c>
      <c r="I188" s="85">
        <v>99</v>
      </c>
      <c r="J188" s="85">
        <v>276</v>
      </c>
      <c r="K188" s="85">
        <v>453</v>
      </c>
      <c r="L188" s="85">
        <v>294</v>
      </c>
      <c r="M188" s="85">
        <v>255</v>
      </c>
      <c r="N188" s="85"/>
      <c r="O188" s="85"/>
      <c r="P188" s="85"/>
      <c r="Q188" s="85"/>
      <c r="R188" s="85"/>
    </row>
    <row r="189" spans="2:18">
      <c r="B189" s="83">
        <v>4500459361</v>
      </c>
      <c r="C189" s="83">
        <v>507209</v>
      </c>
      <c r="D189" s="79" t="s">
        <v>2369</v>
      </c>
      <c r="E189" s="51" t="s">
        <v>4384</v>
      </c>
      <c r="F189" s="81">
        <v>44601</v>
      </c>
      <c r="G189" s="52">
        <v>6.11</v>
      </c>
      <c r="H189" s="48" t="s">
        <v>3255</v>
      </c>
      <c r="I189" s="85">
        <v>9</v>
      </c>
      <c r="J189" s="85">
        <v>51</v>
      </c>
      <c r="K189" s="85">
        <v>96</v>
      </c>
      <c r="L189" s="85">
        <v>27</v>
      </c>
      <c r="M189" s="85">
        <v>78</v>
      </c>
      <c r="N189" s="85"/>
      <c r="O189" s="85"/>
      <c r="P189" s="85"/>
      <c r="Q189" s="85"/>
      <c r="R189" s="85"/>
    </row>
    <row r="190" spans="2:18">
      <c r="B190" s="83">
        <v>4500459361</v>
      </c>
      <c r="C190" s="83">
        <v>507209</v>
      </c>
      <c r="D190" s="79" t="s">
        <v>2369</v>
      </c>
      <c r="E190" s="51" t="s">
        <v>4384</v>
      </c>
      <c r="F190" s="81">
        <v>44601</v>
      </c>
      <c r="G190" s="52">
        <v>6.19</v>
      </c>
      <c r="H190" s="48" t="s">
        <v>3257</v>
      </c>
      <c r="I190" s="85">
        <v>63</v>
      </c>
      <c r="J190" s="85">
        <v>189</v>
      </c>
      <c r="K190" s="85">
        <v>315</v>
      </c>
      <c r="L190" s="85">
        <v>192</v>
      </c>
      <c r="M190" s="85">
        <v>189</v>
      </c>
      <c r="N190" s="85"/>
      <c r="O190" s="85"/>
      <c r="P190" s="85"/>
      <c r="Q190" s="85"/>
      <c r="R190" s="85"/>
    </row>
    <row r="191" spans="2:18">
      <c r="B191" s="83">
        <v>4500459361</v>
      </c>
      <c r="C191" s="83">
        <v>507209</v>
      </c>
      <c r="D191" s="79" t="s">
        <v>2369</v>
      </c>
      <c r="E191" s="51" t="s">
        <v>4384</v>
      </c>
      <c r="F191" s="81">
        <v>44601</v>
      </c>
      <c r="G191" s="52">
        <v>6.11</v>
      </c>
      <c r="H191" s="48" t="s">
        <v>3258</v>
      </c>
      <c r="I191" s="85">
        <v>84</v>
      </c>
      <c r="J191" s="85">
        <v>240</v>
      </c>
      <c r="K191" s="85">
        <v>396</v>
      </c>
      <c r="L191" s="85">
        <v>252</v>
      </c>
      <c r="M191" s="85">
        <v>228</v>
      </c>
      <c r="N191" s="85"/>
      <c r="O191" s="85"/>
      <c r="P191" s="85"/>
      <c r="Q191" s="85"/>
      <c r="R191" s="85"/>
    </row>
    <row r="192" spans="2:18">
      <c r="B192" s="83">
        <v>4500459361</v>
      </c>
      <c r="C192" s="83">
        <v>507209</v>
      </c>
      <c r="D192" s="79" t="s">
        <v>2369</v>
      </c>
      <c r="E192" s="51" t="s">
        <v>4384</v>
      </c>
      <c r="F192" s="81">
        <v>44601</v>
      </c>
      <c r="G192" s="52">
        <v>6.19</v>
      </c>
      <c r="H192" s="48" t="s">
        <v>3256</v>
      </c>
      <c r="I192" s="85">
        <v>42</v>
      </c>
      <c r="J192" s="85">
        <v>138</v>
      </c>
      <c r="K192" s="85">
        <v>234</v>
      </c>
      <c r="L192" s="85">
        <v>129</v>
      </c>
      <c r="M192" s="85">
        <v>147</v>
      </c>
      <c r="N192" s="85"/>
      <c r="O192" s="85"/>
      <c r="P192" s="85"/>
      <c r="Q192" s="85"/>
      <c r="R192" s="85"/>
    </row>
    <row r="193" spans="2:18">
      <c r="B193" s="83">
        <v>4500459357</v>
      </c>
      <c r="C193" s="83">
        <v>507209</v>
      </c>
      <c r="D193" s="79" t="s">
        <v>2369</v>
      </c>
      <c r="E193" s="51" t="s">
        <v>4384</v>
      </c>
      <c r="F193" s="81">
        <v>44615</v>
      </c>
      <c r="G193" s="52">
        <v>5.9</v>
      </c>
      <c r="H193" s="48" t="s">
        <v>3257</v>
      </c>
      <c r="I193" s="85">
        <v>181</v>
      </c>
      <c r="J193" s="85">
        <v>549</v>
      </c>
      <c r="K193" s="85">
        <v>664</v>
      </c>
      <c r="L193" s="85">
        <v>376</v>
      </c>
      <c r="M193" s="85">
        <v>133</v>
      </c>
      <c r="N193" s="85"/>
      <c r="O193" s="85"/>
      <c r="P193" s="85"/>
      <c r="Q193" s="85"/>
      <c r="R193" s="85"/>
    </row>
    <row r="194" spans="2:18">
      <c r="B194" s="83">
        <v>4500459357</v>
      </c>
      <c r="C194" s="83">
        <v>507209</v>
      </c>
      <c r="D194" s="79" t="s">
        <v>2369</v>
      </c>
      <c r="E194" s="51" t="s">
        <v>4384</v>
      </c>
      <c r="F194" s="81">
        <v>44615</v>
      </c>
      <c r="G194" s="52">
        <v>6.05</v>
      </c>
      <c r="H194" s="48" t="s">
        <v>4398</v>
      </c>
      <c r="I194" s="85">
        <v>168</v>
      </c>
      <c r="J194" s="85">
        <v>512</v>
      </c>
      <c r="K194" s="85">
        <v>620</v>
      </c>
      <c r="L194" s="85">
        <v>349</v>
      </c>
      <c r="M194" s="85">
        <v>122</v>
      </c>
      <c r="N194" s="85"/>
      <c r="O194" s="85"/>
      <c r="P194" s="85"/>
      <c r="Q194" s="85"/>
      <c r="R194" s="85"/>
    </row>
    <row r="195" spans="2:18">
      <c r="B195" s="83">
        <v>4500459357</v>
      </c>
      <c r="C195" s="83">
        <v>507209</v>
      </c>
      <c r="D195" s="79" t="s">
        <v>2369</v>
      </c>
      <c r="E195" s="51" t="s">
        <v>4384</v>
      </c>
      <c r="F195" s="81">
        <v>44615</v>
      </c>
      <c r="G195" s="52">
        <v>8</v>
      </c>
      <c r="H195" s="48" t="s">
        <v>4400</v>
      </c>
      <c r="I195" s="85">
        <v>162</v>
      </c>
      <c r="J195" s="85">
        <v>491</v>
      </c>
      <c r="K195" s="85">
        <v>595</v>
      </c>
      <c r="L195" s="85">
        <v>335</v>
      </c>
      <c r="M195" s="85">
        <v>117</v>
      </c>
      <c r="N195" s="85"/>
      <c r="O195" s="85"/>
      <c r="P195" s="85"/>
      <c r="Q195" s="85"/>
      <c r="R195" s="85"/>
    </row>
    <row r="196" spans="2:18">
      <c r="B196" s="83">
        <v>4500459364</v>
      </c>
      <c r="C196" s="83">
        <v>506896</v>
      </c>
      <c r="D196" s="79" t="s">
        <v>2369</v>
      </c>
      <c r="E196" s="51" t="s">
        <v>4384</v>
      </c>
      <c r="F196" s="81">
        <v>44629</v>
      </c>
      <c r="G196" s="52">
        <v>5.89</v>
      </c>
      <c r="H196" s="48" t="s">
        <v>3248</v>
      </c>
      <c r="I196" s="85">
        <v>32</v>
      </c>
      <c r="J196" s="85">
        <v>78</v>
      </c>
      <c r="K196" s="85">
        <v>123</v>
      </c>
      <c r="L196" s="85">
        <v>93</v>
      </c>
      <c r="M196" s="85">
        <v>63</v>
      </c>
      <c r="N196" s="85"/>
      <c r="O196" s="85"/>
      <c r="P196" s="85"/>
      <c r="Q196" s="85"/>
      <c r="R196" s="85"/>
    </row>
    <row r="197" spans="2:18">
      <c r="B197" s="83">
        <v>4500459364</v>
      </c>
      <c r="C197" s="83">
        <v>506896</v>
      </c>
      <c r="D197" s="79" t="s">
        <v>2369</v>
      </c>
      <c r="E197" s="51" t="s">
        <v>4384</v>
      </c>
      <c r="F197" s="81">
        <v>44629</v>
      </c>
      <c r="G197" s="52">
        <v>5.89</v>
      </c>
      <c r="H197" s="48" t="s">
        <v>3252</v>
      </c>
      <c r="I197" s="85">
        <v>54</v>
      </c>
      <c r="J197" s="85">
        <v>138</v>
      </c>
      <c r="K197" s="85">
        <v>219</v>
      </c>
      <c r="L197" s="85">
        <v>165</v>
      </c>
      <c r="M197" s="85">
        <v>111</v>
      </c>
      <c r="N197" s="85"/>
      <c r="O197" s="85"/>
      <c r="P197" s="85"/>
      <c r="Q197" s="85"/>
      <c r="R197" s="85"/>
    </row>
    <row r="198" spans="2:18">
      <c r="B198" s="83">
        <v>4500459364</v>
      </c>
      <c r="C198" s="83">
        <v>507209</v>
      </c>
      <c r="D198" s="79" t="s">
        <v>2369</v>
      </c>
      <c r="E198" s="51" t="s">
        <v>4384</v>
      </c>
      <c r="F198" s="81">
        <v>44629</v>
      </c>
      <c r="G198" s="52">
        <v>6.11</v>
      </c>
      <c r="H198" s="48" t="s">
        <v>3255</v>
      </c>
      <c r="I198" s="85">
        <v>24</v>
      </c>
      <c r="J198" s="85">
        <v>60</v>
      </c>
      <c r="K198" s="85">
        <v>96</v>
      </c>
      <c r="L198" s="85">
        <v>72</v>
      </c>
      <c r="M198" s="85">
        <v>48</v>
      </c>
      <c r="N198" s="85"/>
      <c r="O198" s="85"/>
      <c r="P198" s="85"/>
      <c r="Q198" s="85"/>
      <c r="R198" s="85"/>
    </row>
    <row r="199" spans="2:18">
      <c r="B199" s="83">
        <v>4500459364</v>
      </c>
      <c r="C199" s="83">
        <v>507209</v>
      </c>
      <c r="D199" s="79" t="s">
        <v>2369</v>
      </c>
      <c r="E199" s="51" t="s">
        <v>4384</v>
      </c>
      <c r="F199" s="81">
        <v>44629</v>
      </c>
      <c r="G199" s="52">
        <v>6.19</v>
      </c>
      <c r="H199" s="48" t="s">
        <v>3257</v>
      </c>
      <c r="I199" s="85">
        <v>42</v>
      </c>
      <c r="J199" s="85">
        <v>108</v>
      </c>
      <c r="K199" s="85">
        <v>174</v>
      </c>
      <c r="L199" s="85">
        <v>129</v>
      </c>
      <c r="M199" s="85">
        <v>87</v>
      </c>
      <c r="N199" s="85"/>
      <c r="O199" s="85"/>
      <c r="P199" s="85"/>
      <c r="Q199" s="85"/>
      <c r="R199" s="85"/>
    </row>
    <row r="200" spans="2:18">
      <c r="B200" s="83">
        <v>4500459364</v>
      </c>
      <c r="C200" s="83">
        <v>507209</v>
      </c>
      <c r="D200" s="79" t="s">
        <v>2369</v>
      </c>
      <c r="E200" s="51" t="s">
        <v>4384</v>
      </c>
      <c r="F200" s="81">
        <v>44629</v>
      </c>
      <c r="G200" s="52">
        <v>6.11</v>
      </c>
      <c r="H200" s="48" t="s">
        <v>3258</v>
      </c>
      <c r="I200" s="85">
        <v>51</v>
      </c>
      <c r="J200" s="85">
        <v>126</v>
      </c>
      <c r="K200" s="85">
        <v>201</v>
      </c>
      <c r="L200" s="85">
        <v>150</v>
      </c>
      <c r="M200" s="85">
        <v>99</v>
      </c>
      <c r="N200" s="85"/>
      <c r="O200" s="85"/>
      <c r="P200" s="85"/>
      <c r="Q200" s="85"/>
      <c r="R200" s="85"/>
    </row>
    <row r="201" spans="2:18">
      <c r="B201" s="83">
        <v>4500459364</v>
      </c>
      <c r="C201" s="83">
        <v>507209</v>
      </c>
      <c r="D201" s="79" t="s">
        <v>2369</v>
      </c>
      <c r="E201" s="51" t="s">
        <v>4384</v>
      </c>
      <c r="F201" s="81">
        <v>44629</v>
      </c>
      <c r="G201" s="52">
        <v>6.19</v>
      </c>
      <c r="H201" s="48" t="s">
        <v>3256</v>
      </c>
      <c r="I201" s="85">
        <v>36</v>
      </c>
      <c r="J201" s="85">
        <v>90</v>
      </c>
      <c r="K201" s="85">
        <v>144</v>
      </c>
      <c r="L201" s="85">
        <v>108</v>
      </c>
      <c r="M201" s="85">
        <v>72</v>
      </c>
      <c r="N201" s="85"/>
      <c r="O201" s="85"/>
      <c r="P201" s="85"/>
      <c r="Q201" s="85"/>
      <c r="R201" s="85"/>
    </row>
    <row r="202" spans="2:18">
      <c r="B202" s="83"/>
      <c r="C202" s="83"/>
      <c r="D202" s="51"/>
      <c r="E202" s="48"/>
      <c r="F202" s="81"/>
      <c r="G202" s="52"/>
      <c r="H202" s="48"/>
      <c r="I202" s="85"/>
      <c r="J202" s="85"/>
      <c r="K202" s="85"/>
      <c r="L202" s="85"/>
      <c r="M202" s="85"/>
      <c r="N202" s="85"/>
      <c r="O202" s="85"/>
      <c r="P202" s="85"/>
      <c r="Q202" s="85"/>
      <c r="R202" s="85"/>
    </row>
    <row r="203" spans="2:18">
      <c r="B203" s="83"/>
      <c r="C203" s="83"/>
      <c r="D203" s="51"/>
      <c r="E203" s="48"/>
      <c r="F203" s="81"/>
      <c r="G203" s="52"/>
      <c r="H203" s="48"/>
      <c r="I203" s="85"/>
      <c r="J203" s="85"/>
      <c r="K203" s="85"/>
      <c r="L203" s="85"/>
      <c r="M203" s="85"/>
      <c r="N203" s="85"/>
      <c r="O203" s="85"/>
      <c r="P203" s="85"/>
      <c r="Q203" s="85"/>
      <c r="R203" s="85"/>
    </row>
    <row r="204" spans="2:18">
      <c r="B204" s="83"/>
      <c r="C204" s="83"/>
      <c r="D204" s="51"/>
      <c r="E204" s="48"/>
      <c r="F204" s="81"/>
      <c r="G204" s="52"/>
      <c r="H204" s="48"/>
      <c r="I204" s="85"/>
      <c r="J204" s="85"/>
      <c r="K204" s="85"/>
      <c r="L204" s="85"/>
      <c r="M204" s="85"/>
      <c r="N204" s="85"/>
      <c r="O204" s="85"/>
      <c r="P204" s="85"/>
      <c r="Q204" s="85"/>
      <c r="R204" s="85"/>
    </row>
    <row r="205" spans="2:18">
      <c r="B205" s="83"/>
      <c r="C205" s="83"/>
      <c r="D205" s="51"/>
      <c r="E205" s="48"/>
      <c r="F205" s="81"/>
      <c r="G205" s="52"/>
      <c r="H205" s="48"/>
      <c r="I205" s="85"/>
      <c r="J205" s="85"/>
      <c r="K205" s="85"/>
      <c r="L205" s="85"/>
      <c r="M205" s="85"/>
      <c r="N205" s="85"/>
      <c r="O205" s="85"/>
      <c r="P205" s="85"/>
      <c r="Q205" s="85"/>
      <c r="R205" s="85"/>
    </row>
    <row r="206" spans="2:18">
      <c r="B206" s="83"/>
      <c r="C206" s="83"/>
      <c r="D206" s="51"/>
      <c r="E206" s="48"/>
      <c r="F206" s="81"/>
      <c r="G206" s="52"/>
      <c r="H206" s="48"/>
      <c r="I206" s="85"/>
      <c r="J206" s="85"/>
      <c r="K206" s="85"/>
      <c r="L206" s="85"/>
      <c r="M206" s="85"/>
      <c r="N206" s="85"/>
      <c r="O206" s="85"/>
      <c r="P206" s="85"/>
      <c r="Q206" s="85"/>
      <c r="R206" s="85"/>
    </row>
    <row r="207" spans="2:18">
      <c r="B207" s="83"/>
      <c r="C207" s="83"/>
      <c r="D207" s="51"/>
      <c r="E207" s="48"/>
      <c r="F207" s="81"/>
      <c r="G207" s="52"/>
      <c r="H207" s="48"/>
      <c r="I207" s="85"/>
      <c r="J207" s="85"/>
      <c r="K207" s="85"/>
      <c r="L207" s="85"/>
      <c r="M207" s="85"/>
      <c r="N207" s="85"/>
      <c r="O207" s="85"/>
      <c r="P207" s="85"/>
      <c r="Q207" s="85"/>
      <c r="R207" s="85"/>
    </row>
    <row r="208" spans="2:18">
      <c r="B208" s="83"/>
      <c r="C208" s="83"/>
      <c r="D208" s="51"/>
      <c r="E208" s="48"/>
      <c r="F208" s="81"/>
      <c r="G208" s="52"/>
      <c r="H208" s="48"/>
      <c r="I208" s="85"/>
      <c r="J208" s="85"/>
      <c r="K208" s="85"/>
      <c r="L208" s="85"/>
      <c r="M208" s="85"/>
      <c r="N208" s="85"/>
      <c r="O208" s="85"/>
      <c r="P208" s="85"/>
      <c r="Q208" s="85"/>
      <c r="R208" s="85"/>
    </row>
    <row r="209" spans="2:18">
      <c r="B209" s="83"/>
      <c r="C209" s="83"/>
      <c r="D209" s="51"/>
      <c r="E209" s="48"/>
      <c r="F209" s="81"/>
      <c r="G209" s="52"/>
      <c r="H209" s="48"/>
      <c r="I209" s="85"/>
      <c r="J209" s="85"/>
      <c r="K209" s="85"/>
      <c r="L209" s="85"/>
      <c r="M209" s="85"/>
      <c r="N209" s="85"/>
      <c r="O209" s="85"/>
      <c r="P209" s="85"/>
      <c r="Q209" s="85"/>
      <c r="R209" s="85"/>
    </row>
    <row r="210" spans="2:18">
      <c r="B210" s="83"/>
      <c r="C210" s="83"/>
      <c r="D210" s="51"/>
      <c r="E210" s="48"/>
      <c r="F210" s="81"/>
      <c r="G210" s="52"/>
      <c r="H210" s="48"/>
      <c r="I210" s="85"/>
      <c r="J210" s="85"/>
      <c r="K210" s="85"/>
      <c r="L210" s="85"/>
      <c r="M210" s="85"/>
      <c r="N210" s="85"/>
      <c r="O210" s="85"/>
      <c r="P210" s="85"/>
      <c r="Q210" s="85"/>
      <c r="R210" s="85"/>
    </row>
    <row r="211" spans="2:18">
      <c r="B211" s="83"/>
      <c r="C211" s="83"/>
      <c r="D211" s="51"/>
      <c r="E211" s="48"/>
      <c r="F211" s="81"/>
      <c r="G211" s="52"/>
      <c r="H211" s="48"/>
      <c r="I211" s="85"/>
      <c r="J211" s="85"/>
      <c r="K211" s="85"/>
      <c r="L211" s="85"/>
      <c r="M211" s="85"/>
      <c r="N211" s="85"/>
      <c r="O211" s="85"/>
      <c r="P211" s="85"/>
      <c r="Q211" s="85"/>
      <c r="R211" s="85"/>
    </row>
    <row r="212" spans="2:18">
      <c r="B212" s="83"/>
      <c r="C212" s="83"/>
      <c r="D212" s="51"/>
      <c r="E212" s="48"/>
      <c r="F212" s="81"/>
      <c r="G212" s="52"/>
      <c r="H212" s="48"/>
      <c r="I212" s="85"/>
      <c r="J212" s="85"/>
      <c r="K212" s="85"/>
      <c r="L212" s="85"/>
      <c r="M212" s="85"/>
      <c r="N212" s="85"/>
      <c r="O212" s="85"/>
      <c r="P212" s="85"/>
      <c r="Q212" s="85"/>
      <c r="R212" s="85"/>
    </row>
    <row r="213" spans="2:18">
      <c r="B213" s="83"/>
      <c r="C213" s="83"/>
      <c r="D213" s="51"/>
      <c r="E213" s="48"/>
      <c r="F213" s="81"/>
      <c r="G213" s="52"/>
      <c r="H213" s="48"/>
      <c r="I213" s="85"/>
      <c r="J213" s="85"/>
      <c r="K213" s="85"/>
      <c r="L213" s="85"/>
      <c r="M213" s="85"/>
      <c r="N213" s="85"/>
      <c r="O213" s="85"/>
      <c r="P213" s="85"/>
      <c r="Q213" s="85"/>
      <c r="R213" s="85"/>
    </row>
    <row r="214" spans="2:18">
      <c r="B214" s="83"/>
      <c r="C214" s="83"/>
      <c r="D214" s="51"/>
      <c r="E214" s="48"/>
      <c r="F214" s="81"/>
      <c r="G214" s="52"/>
      <c r="H214" s="48"/>
      <c r="I214" s="85"/>
      <c r="J214" s="85"/>
      <c r="K214" s="85"/>
      <c r="L214" s="85"/>
      <c r="M214" s="85"/>
      <c r="N214" s="85"/>
      <c r="O214" s="85"/>
      <c r="P214" s="85"/>
      <c r="Q214" s="85"/>
      <c r="R214" s="85"/>
    </row>
    <row r="215" spans="2:18">
      <c r="B215" s="83"/>
      <c r="C215" s="83"/>
      <c r="D215" s="51"/>
      <c r="E215" s="48"/>
      <c r="F215" s="81"/>
      <c r="G215" s="52"/>
      <c r="H215" s="48"/>
      <c r="I215" s="85"/>
      <c r="J215" s="85"/>
      <c r="K215" s="85"/>
      <c r="L215" s="85"/>
      <c r="M215" s="85"/>
      <c r="N215" s="85"/>
      <c r="O215" s="85"/>
      <c r="P215" s="85"/>
      <c r="Q215" s="85"/>
      <c r="R215" s="85"/>
    </row>
    <row r="216" spans="2:18">
      <c r="B216" s="83"/>
      <c r="C216" s="83"/>
      <c r="D216" s="51"/>
      <c r="E216" s="48"/>
      <c r="F216" s="81"/>
      <c r="G216" s="52"/>
      <c r="H216" s="48"/>
      <c r="I216" s="85"/>
      <c r="J216" s="85"/>
      <c r="K216" s="85"/>
      <c r="L216" s="85"/>
      <c r="M216" s="85"/>
      <c r="N216" s="85"/>
      <c r="O216" s="85"/>
      <c r="P216" s="85"/>
      <c r="Q216" s="85"/>
      <c r="R216" s="85"/>
    </row>
    <row r="217" spans="2:18">
      <c r="B217" s="83"/>
      <c r="C217" s="83"/>
      <c r="D217" s="51"/>
      <c r="E217" s="48"/>
      <c r="F217" s="81"/>
      <c r="G217" s="52"/>
      <c r="H217" s="48"/>
      <c r="I217" s="85"/>
      <c r="J217" s="85"/>
      <c r="K217" s="85"/>
      <c r="L217" s="85"/>
      <c r="M217" s="85"/>
      <c r="N217" s="85"/>
      <c r="O217" s="85"/>
      <c r="P217" s="85"/>
      <c r="Q217" s="85"/>
      <c r="R217" s="85"/>
    </row>
    <row r="218" spans="2:18">
      <c r="B218" s="83"/>
      <c r="C218" s="83"/>
      <c r="D218" s="51"/>
      <c r="E218" s="48"/>
      <c r="F218" s="81"/>
      <c r="G218" s="52"/>
      <c r="H218" s="48"/>
      <c r="I218" s="85"/>
      <c r="J218" s="85"/>
      <c r="K218" s="85"/>
      <c r="L218" s="85"/>
      <c r="M218" s="85"/>
      <c r="N218" s="85"/>
      <c r="O218" s="85"/>
      <c r="P218" s="85"/>
      <c r="Q218" s="85"/>
      <c r="R218" s="85"/>
    </row>
    <row r="219" spans="2:18">
      <c r="B219" s="83"/>
      <c r="C219" s="83"/>
      <c r="D219" s="51"/>
      <c r="E219" s="48"/>
      <c r="F219" s="81"/>
      <c r="G219" s="52"/>
      <c r="H219" s="48"/>
      <c r="I219" s="85"/>
      <c r="J219" s="85"/>
      <c r="K219" s="85"/>
      <c r="L219" s="85"/>
      <c r="M219" s="85"/>
      <c r="N219" s="85"/>
      <c r="O219" s="85"/>
      <c r="P219" s="85"/>
      <c r="Q219" s="85"/>
      <c r="R219" s="85"/>
    </row>
    <row r="220" spans="2:18">
      <c r="B220" s="83"/>
      <c r="C220" s="83"/>
      <c r="D220" s="51"/>
      <c r="E220" s="48"/>
      <c r="F220" s="81"/>
      <c r="G220" s="52"/>
      <c r="H220" s="48"/>
      <c r="I220" s="85"/>
      <c r="J220" s="85"/>
      <c r="K220" s="85"/>
      <c r="L220" s="85"/>
      <c r="M220" s="85"/>
      <c r="N220" s="85"/>
      <c r="O220" s="85"/>
      <c r="P220" s="85"/>
      <c r="Q220" s="85"/>
      <c r="R220" s="85"/>
    </row>
    <row r="221" spans="2:18">
      <c r="B221" s="83"/>
      <c r="C221" s="83"/>
      <c r="D221" s="51"/>
      <c r="E221" s="48"/>
      <c r="F221" s="81"/>
      <c r="G221" s="52"/>
      <c r="H221" s="48"/>
      <c r="I221" s="85"/>
      <c r="J221" s="85"/>
      <c r="K221" s="85"/>
      <c r="L221" s="85"/>
      <c r="M221" s="85"/>
      <c r="N221" s="85"/>
      <c r="O221" s="85"/>
      <c r="P221" s="85"/>
      <c r="Q221" s="85"/>
      <c r="R221" s="85"/>
    </row>
    <row r="222" spans="2:18">
      <c r="B222" s="83"/>
      <c r="C222" s="83"/>
      <c r="D222" s="51"/>
      <c r="E222" s="48"/>
      <c r="F222" s="81"/>
      <c r="G222" s="52"/>
      <c r="H222" s="48"/>
      <c r="I222" s="85"/>
      <c r="J222" s="85"/>
      <c r="K222" s="85"/>
      <c r="L222" s="85"/>
      <c r="M222" s="85"/>
      <c r="N222" s="85"/>
      <c r="O222" s="85"/>
      <c r="P222" s="85"/>
      <c r="Q222" s="85"/>
      <c r="R222" s="85"/>
    </row>
    <row r="223" spans="2:18">
      <c r="B223" s="83"/>
      <c r="C223" s="83"/>
      <c r="D223" s="51"/>
      <c r="E223" s="48"/>
      <c r="F223" s="81"/>
      <c r="G223" s="52"/>
      <c r="H223" s="48"/>
      <c r="I223" s="85"/>
      <c r="J223" s="85"/>
      <c r="K223" s="85"/>
      <c r="L223" s="85"/>
      <c r="M223" s="85"/>
      <c r="N223" s="85"/>
      <c r="O223" s="85"/>
      <c r="P223" s="85"/>
      <c r="Q223" s="85"/>
      <c r="R223" s="85"/>
    </row>
    <row r="224" spans="2:18">
      <c r="B224" s="83"/>
      <c r="C224" s="83"/>
      <c r="D224" s="51"/>
      <c r="E224" s="48"/>
      <c r="F224" s="81"/>
      <c r="G224" s="52"/>
      <c r="H224" s="48"/>
      <c r="I224" s="85"/>
      <c r="J224" s="85"/>
      <c r="K224" s="85"/>
      <c r="L224" s="85"/>
      <c r="M224" s="85"/>
      <c r="N224" s="85"/>
      <c r="O224" s="85"/>
      <c r="P224" s="85"/>
      <c r="Q224" s="85"/>
      <c r="R224" s="85"/>
    </row>
    <row r="225" spans="2:18">
      <c r="B225" s="83"/>
      <c r="C225" s="83"/>
      <c r="D225" s="51"/>
      <c r="E225" s="48"/>
      <c r="F225" s="81"/>
      <c r="G225" s="52"/>
      <c r="H225" s="48"/>
      <c r="I225" s="85"/>
      <c r="J225" s="85"/>
      <c r="K225" s="85"/>
      <c r="L225" s="85"/>
      <c r="M225" s="85"/>
      <c r="N225" s="85"/>
      <c r="O225" s="85"/>
      <c r="P225" s="85"/>
      <c r="Q225" s="85"/>
      <c r="R225" s="85"/>
    </row>
    <row r="226" spans="2:18">
      <c r="B226" s="83"/>
      <c r="C226" s="83"/>
      <c r="D226" s="51"/>
      <c r="E226" s="48"/>
      <c r="F226" s="81"/>
      <c r="G226" s="52"/>
      <c r="H226" s="48"/>
      <c r="I226" s="85"/>
      <c r="J226" s="85"/>
      <c r="K226" s="85"/>
      <c r="L226" s="85"/>
      <c r="M226" s="85"/>
      <c r="N226" s="85"/>
      <c r="O226" s="85"/>
      <c r="P226" s="85"/>
      <c r="Q226" s="85"/>
      <c r="R226" s="85"/>
    </row>
    <row r="227" spans="2:18">
      <c r="B227" s="83"/>
      <c r="C227" s="83"/>
      <c r="D227" s="51"/>
      <c r="E227" s="48"/>
      <c r="F227" s="81"/>
      <c r="G227" s="52"/>
      <c r="H227" s="48"/>
      <c r="I227" s="85"/>
      <c r="J227" s="85"/>
      <c r="K227" s="85"/>
      <c r="L227" s="85"/>
      <c r="M227" s="85"/>
      <c r="N227" s="85"/>
      <c r="O227" s="85"/>
      <c r="P227" s="85"/>
      <c r="Q227" s="85"/>
      <c r="R227" s="85"/>
    </row>
    <row r="228" spans="2:18">
      <c r="B228" s="83"/>
      <c r="C228" s="83"/>
      <c r="D228" s="51"/>
      <c r="E228" s="48"/>
      <c r="F228" s="81"/>
      <c r="G228" s="52"/>
      <c r="H228" s="48"/>
      <c r="I228" s="85"/>
      <c r="J228" s="85"/>
      <c r="K228" s="85"/>
      <c r="L228" s="85"/>
      <c r="M228" s="85"/>
      <c r="N228" s="85"/>
      <c r="O228" s="85"/>
      <c r="P228" s="85"/>
      <c r="Q228" s="85"/>
      <c r="R228" s="85"/>
    </row>
    <row r="229" spans="2:18">
      <c r="B229" s="83"/>
      <c r="C229" s="83"/>
      <c r="D229" s="51"/>
      <c r="E229" s="48"/>
      <c r="F229" s="81"/>
      <c r="G229" s="52"/>
      <c r="H229" s="48"/>
      <c r="I229" s="85"/>
      <c r="J229" s="85"/>
      <c r="K229" s="85"/>
      <c r="L229" s="85"/>
      <c r="M229" s="85"/>
      <c r="N229" s="85"/>
      <c r="O229" s="85"/>
      <c r="P229" s="85"/>
      <c r="Q229" s="85"/>
      <c r="R229" s="85"/>
    </row>
    <row r="230" spans="2:18">
      <c r="B230" s="83"/>
      <c r="C230" s="83"/>
      <c r="D230" s="51"/>
      <c r="E230" s="48"/>
      <c r="F230" s="81"/>
      <c r="G230" s="52"/>
      <c r="H230" s="48"/>
      <c r="I230" s="85"/>
      <c r="J230" s="85"/>
      <c r="K230" s="85"/>
      <c r="L230" s="85"/>
      <c r="M230" s="85"/>
      <c r="N230" s="85"/>
      <c r="O230" s="85"/>
      <c r="P230" s="85"/>
      <c r="Q230" s="85"/>
      <c r="R230" s="85"/>
    </row>
    <row r="231" spans="2:18">
      <c r="B231" s="83"/>
      <c r="C231" s="83"/>
      <c r="D231" s="51"/>
      <c r="E231" s="48"/>
      <c r="F231" s="81"/>
      <c r="G231" s="52"/>
      <c r="H231" s="48"/>
      <c r="I231" s="85"/>
      <c r="J231" s="85"/>
      <c r="K231" s="85"/>
      <c r="L231" s="85"/>
      <c r="M231" s="85"/>
      <c r="N231" s="85"/>
      <c r="O231" s="85"/>
      <c r="P231" s="85"/>
      <c r="Q231" s="85"/>
      <c r="R231" s="85"/>
    </row>
    <row r="232" spans="2:18">
      <c r="B232" s="83"/>
      <c r="C232" s="83"/>
      <c r="D232" s="51"/>
      <c r="E232" s="48"/>
      <c r="F232" s="81"/>
      <c r="G232" s="52"/>
      <c r="H232" s="48"/>
      <c r="I232" s="85"/>
      <c r="J232" s="85"/>
      <c r="K232" s="85"/>
      <c r="L232" s="85"/>
      <c r="M232" s="85"/>
      <c r="N232" s="85"/>
      <c r="O232" s="85"/>
      <c r="P232" s="85"/>
      <c r="Q232" s="85"/>
      <c r="R232" s="85"/>
    </row>
    <row r="233" spans="2:18">
      <c r="B233" s="83"/>
      <c r="C233" s="83"/>
      <c r="D233" s="51"/>
      <c r="E233" s="48"/>
      <c r="F233" s="81"/>
      <c r="G233" s="52"/>
      <c r="H233" s="48"/>
      <c r="I233" s="85"/>
      <c r="J233" s="85"/>
      <c r="K233" s="85"/>
      <c r="L233" s="85"/>
      <c r="M233" s="85"/>
      <c r="N233" s="85"/>
      <c r="O233" s="85"/>
      <c r="P233" s="85"/>
      <c r="Q233" s="85"/>
      <c r="R233" s="85"/>
    </row>
    <row r="234" spans="2:18">
      <c r="B234" s="83"/>
      <c r="C234" s="83"/>
      <c r="D234" s="51"/>
      <c r="E234" s="48"/>
      <c r="F234" s="81"/>
      <c r="G234" s="52"/>
      <c r="H234" s="48"/>
      <c r="I234" s="85"/>
      <c r="J234" s="85"/>
      <c r="K234" s="85"/>
      <c r="L234" s="85"/>
      <c r="M234" s="85"/>
      <c r="N234" s="85"/>
      <c r="O234" s="85"/>
      <c r="P234" s="85"/>
      <c r="Q234" s="85"/>
      <c r="R234" s="85"/>
    </row>
    <row r="235" spans="2:18">
      <c r="B235" s="83"/>
      <c r="C235" s="83"/>
      <c r="D235" s="51"/>
      <c r="E235" s="48"/>
      <c r="F235" s="81"/>
      <c r="G235" s="52"/>
      <c r="H235" s="48"/>
      <c r="I235" s="85"/>
      <c r="J235" s="85"/>
      <c r="K235" s="85"/>
      <c r="L235" s="85"/>
      <c r="M235" s="85"/>
      <c r="N235" s="85"/>
      <c r="O235" s="85"/>
      <c r="P235" s="85"/>
      <c r="Q235" s="85"/>
      <c r="R235" s="85"/>
    </row>
    <row r="236" spans="2:18">
      <c r="B236" s="83"/>
      <c r="C236" s="83"/>
      <c r="D236" s="51"/>
      <c r="E236" s="48"/>
      <c r="F236" s="81"/>
      <c r="G236" s="52"/>
      <c r="H236" s="48"/>
      <c r="I236" s="85"/>
      <c r="J236" s="85"/>
      <c r="K236" s="85"/>
      <c r="L236" s="85"/>
      <c r="M236" s="85"/>
      <c r="N236" s="85"/>
      <c r="O236" s="85"/>
      <c r="P236" s="85"/>
      <c r="Q236" s="85"/>
      <c r="R236" s="85"/>
    </row>
    <row r="237" spans="2:18">
      <c r="B237" s="83"/>
      <c r="C237" s="83"/>
      <c r="D237" s="51"/>
      <c r="E237" s="48"/>
      <c r="F237" s="81"/>
      <c r="G237" s="52"/>
      <c r="H237" s="48"/>
      <c r="I237" s="85"/>
      <c r="J237" s="85"/>
      <c r="K237" s="85"/>
      <c r="L237" s="85"/>
      <c r="M237" s="85"/>
      <c r="N237" s="85"/>
      <c r="O237" s="85"/>
      <c r="P237" s="85"/>
      <c r="Q237" s="85"/>
      <c r="R237" s="85"/>
    </row>
    <row r="238" spans="2:18">
      <c r="B238" s="83"/>
      <c r="C238" s="83"/>
      <c r="D238" s="51"/>
      <c r="E238" s="48"/>
      <c r="F238" s="81"/>
      <c r="G238" s="52"/>
      <c r="H238" s="48"/>
      <c r="I238" s="85"/>
      <c r="J238" s="85"/>
      <c r="K238" s="85"/>
      <c r="L238" s="85"/>
      <c r="M238" s="85"/>
      <c r="N238" s="85"/>
      <c r="O238" s="85"/>
      <c r="P238" s="85"/>
      <c r="Q238" s="85"/>
      <c r="R238" s="85"/>
    </row>
    <row r="239" spans="2:18">
      <c r="B239" s="83"/>
      <c r="C239" s="83"/>
      <c r="D239" s="51"/>
      <c r="E239" s="48"/>
      <c r="F239" s="81"/>
      <c r="G239" s="52"/>
      <c r="H239" s="48"/>
      <c r="I239" s="85"/>
      <c r="J239" s="85"/>
      <c r="K239" s="85"/>
      <c r="L239" s="85"/>
      <c r="M239" s="85"/>
      <c r="N239" s="85"/>
      <c r="O239" s="85"/>
      <c r="P239" s="85"/>
      <c r="Q239" s="85"/>
      <c r="R239" s="85"/>
    </row>
    <row r="240" spans="2:18">
      <c r="B240" s="83"/>
      <c r="C240" s="83"/>
      <c r="D240" s="51"/>
      <c r="E240" s="48"/>
      <c r="F240" s="81"/>
      <c r="G240" s="52"/>
      <c r="H240" s="48"/>
      <c r="I240" s="85"/>
      <c r="J240" s="85"/>
      <c r="K240" s="85"/>
      <c r="L240" s="85"/>
      <c r="M240" s="85"/>
      <c r="N240" s="85"/>
      <c r="O240" s="85"/>
      <c r="P240" s="85"/>
      <c r="Q240" s="85"/>
      <c r="R240" s="85"/>
    </row>
    <row r="241" spans="2:18">
      <c r="B241" s="83"/>
      <c r="C241" s="83"/>
      <c r="D241" s="51"/>
      <c r="E241" s="48"/>
      <c r="F241" s="81"/>
      <c r="G241" s="52"/>
      <c r="H241" s="48"/>
      <c r="I241" s="85"/>
      <c r="J241" s="85"/>
      <c r="K241" s="85"/>
      <c r="L241" s="85"/>
      <c r="M241" s="85"/>
      <c r="N241" s="85"/>
      <c r="O241" s="85"/>
      <c r="P241" s="85"/>
      <c r="Q241" s="85"/>
      <c r="R241" s="85"/>
    </row>
    <row r="242" spans="2:18">
      <c r="B242" s="83"/>
      <c r="C242" s="83"/>
      <c r="D242" s="51"/>
      <c r="E242" s="48"/>
      <c r="F242" s="81"/>
      <c r="G242" s="52"/>
      <c r="H242" s="48"/>
      <c r="I242" s="85"/>
      <c r="J242" s="85"/>
      <c r="K242" s="85"/>
      <c r="L242" s="85"/>
      <c r="M242" s="85"/>
      <c r="N242" s="85"/>
      <c r="O242" s="85"/>
      <c r="P242" s="85"/>
      <c r="Q242" s="85"/>
      <c r="R242" s="85"/>
    </row>
    <row r="243" spans="2:18">
      <c r="B243" s="83"/>
      <c r="C243" s="83"/>
      <c r="D243" s="51"/>
      <c r="E243" s="48"/>
      <c r="F243" s="81"/>
      <c r="G243" s="52"/>
      <c r="H243" s="48"/>
      <c r="I243" s="85"/>
      <c r="J243" s="85"/>
      <c r="K243" s="85"/>
      <c r="L243" s="85"/>
      <c r="M243" s="85"/>
      <c r="N243" s="85"/>
      <c r="O243" s="85"/>
      <c r="P243" s="85"/>
      <c r="Q243" s="85"/>
      <c r="R243" s="85"/>
    </row>
    <row r="244" spans="2:18">
      <c r="B244" s="83"/>
      <c r="C244" s="83"/>
      <c r="D244" s="51"/>
      <c r="E244" s="48"/>
      <c r="F244" s="81"/>
      <c r="G244" s="52"/>
      <c r="H244" s="48"/>
      <c r="I244" s="85"/>
      <c r="J244" s="85"/>
      <c r="K244" s="85"/>
      <c r="L244" s="85"/>
      <c r="M244" s="85"/>
      <c r="N244" s="85"/>
      <c r="O244" s="85"/>
      <c r="P244" s="85"/>
      <c r="Q244" s="85"/>
      <c r="R244" s="85"/>
    </row>
    <row r="245" spans="2:18">
      <c r="B245" s="83"/>
      <c r="C245" s="83"/>
      <c r="D245" s="51"/>
      <c r="E245" s="48"/>
      <c r="F245" s="81"/>
      <c r="G245" s="52"/>
      <c r="H245" s="48"/>
      <c r="I245" s="85"/>
      <c r="J245" s="85"/>
      <c r="K245" s="85"/>
      <c r="L245" s="85"/>
      <c r="M245" s="85"/>
      <c r="N245" s="85"/>
      <c r="O245" s="85"/>
      <c r="P245" s="85"/>
      <c r="Q245" s="85"/>
      <c r="R245" s="85"/>
    </row>
    <row r="246" spans="2:18">
      <c r="B246" s="83"/>
      <c r="C246" s="83"/>
      <c r="D246" s="51"/>
      <c r="E246" s="48"/>
      <c r="F246" s="81"/>
      <c r="G246" s="52"/>
      <c r="H246" s="48"/>
      <c r="I246" s="85"/>
      <c r="J246" s="85"/>
      <c r="K246" s="85"/>
      <c r="L246" s="85"/>
      <c r="M246" s="85"/>
      <c r="N246" s="85"/>
      <c r="O246" s="85"/>
      <c r="P246" s="85"/>
      <c r="Q246" s="85"/>
      <c r="R246" s="85"/>
    </row>
    <row r="247" spans="2:18">
      <c r="B247" s="83"/>
      <c r="C247" s="83"/>
      <c r="D247" s="51"/>
      <c r="E247" s="48"/>
      <c r="F247" s="81"/>
      <c r="G247" s="52"/>
      <c r="H247" s="48"/>
      <c r="I247" s="85"/>
      <c r="J247" s="85"/>
      <c r="K247" s="85"/>
      <c r="L247" s="85"/>
      <c r="M247" s="85"/>
      <c r="N247" s="85"/>
      <c r="O247" s="85"/>
      <c r="P247" s="85"/>
      <c r="Q247" s="85"/>
      <c r="R247" s="85"/>
    </row>
    <row r="248" spans="2:18">
      <c r="B248" s="83"/>
      <c r="C248" s="83"/>
      <c r="D248" s="51"/>
      <c r="E248" s="48"/>
      <c r="F248" s="81"/>
      <c r="G248" s="52"/>
      <c r="H248" s="48"/>
      <c r="I248" s="85"/>
      <c r="J248" s="85"/>
      <c r="K248" s="85"/>
      <c r="L248" s="85"/>
      <c r="M248" s="85"/>
      <c r="N248" s="85"/>
      <c r="O248" s="85"/>
      <c r="P248" s="85"/>
      <c r="Q248" s="85"/>
      <c r="R248" s="85"/>
    </row>
    <row r="249" spans="2:18">
      <c r="B249" s="83"/>
      <c r="C249" s="83"/>
      <c r="D249" s="51"/>
      <c r="E249" s="48"/>
      <c r="F249" s="81"/>
      <c r="G249" s="52"/>
      <c r="H249" s="48"/>
      <c r="I249" s="85"/>
      <c r="J249" s="85"/>
      <c r="K249" s="85"/>
      <c r="L249" s="85"/>
      <c r="M249" s="85"/>
      <c r="N249" s="85"/>
      <c r="O249" s="85"/>
      <c r="P249" s="85"/>
      <c r="Q249" s="85"/>
      <c r="R249" s="85"/>
    </row>
    <row r="250" spans="2:18">
      <c r="B250" s="83"/>
      <c r="C250" s="83"/>
      <c r="D250" s="51"/>
      <c r="E250" s="48"/>
      <c r="F250" s="81"/>
      <c r="G250" s="52"/>
      <c r="H250" s="48"/>
      <c r="I250" s="85"/>
      <c r="J250" s="85"/>
      <c r="K250" s="85"/>
      <c r="L250" s="85"/>
      <c r="M250" s="85"/>
      <c r="N250" s="85"/>
      <c r="O250" s="85"/>
      <c r="P250" s="85"/>
      <c r="Q250" s="85"/>
      <c r="R250" s="85"/>
    </row>
    <row r="251" spans="2:18">
      <c r="B251" s="83"/>
      <c r="C251" s="83"/>
      <c r="D251" s="51"/>
      <c r="E251" s="48"/>
      <c r="F251" s="81"/>
      <c r="G251" s="52"/>
      <c r="H251" s="48"/>
      <c r="I251" s="85"/>
      <c r="J251" s="85"/>
      <c r="K251" s="85"/>
      <c r="L251" s="85"/>
      <c r="M251" s="85"/>
      <c r="N251" s="85"/>
      <c r="O251" s="85"/>
      <c r="P251" s="85"/>
      <c r="Q251" s="85"/>
      <c r="R251" s="85"/>
    </row>
    <row r="252" spans="2:18">
      <c r="B252" s="83"/>
      <c r="C252" s="83"/>
      <c r="D252" s="51"/>
      <c r="E252" s="48"/>
      <c r="F252" s="81"/>
      <c r="G252" s="52"/>
      <c r="H252" s="48"/>
      <c r="I252" s="85"/>
      <c r="J252" s="85"/>
      <c r="K252" s="85"/>
      <c r="L252" s="85"/>
      <c r="M252" s="85"/>
      <c r="N252" s="85"/>
      <c r="O252" s="85"/>
      <c r="P252" s="85"/>
      <c r="Q252" s="85"/>
      <c r="R252" s="85"/>
    </row>
    <row r="253" spans="2:18">
      <c r="B253" s="83"/>
      <c r="C253" s="83"/>
      <c r="D253" s="51"/>
      <c r="E253" s="48"/>
      <c r="F253" s="81"/>
      <c r="G253" s="52"/>
      <c r="H253" s="48"/>
      <c r="I253" s="85"/>
      <c r="J253" s="85"/>
      <c r="K253" s="85"/>
      <c r="L253" s="85"/>
      <c r="M253" s="85"/>
      <c r="N253" s="85"/>
      <c r="O253" s="85"/>
      <c r="P253" s="85"/>
      <c r="Q253" s="85"/>
      <c r="R253" s="85"/>
    </row>
    <row r="254" spans="2:18">
      <c r="B254" s="83"/>
      <c r="C254" s="83"/>
      <c r="D254" s="51"/>
      <c r="E254" s="48"/>
      <c r="F254" s="81"/>
      <c r="G254" s="52"/>
      <c r="H254" s="48"/>
      <c r="I254" s="85"/>
      <c r="J254" s="85"/>
      <c r="K254" s="85"/>
      <c r="L254" s="85"/>
      <c r="M254" s="85"/>
      <c r="N254" s="85"/>
      <c r="O254" s="85"/>
      <c r="P254" s="85"/>
      <c r="Q254" s="85"/>
      <c r="R254" s="85"/>
    </row>
    <row r="255" spans="2:18">
      <c r="B255" s="83"/>
      <c r="C255" s="83"/>
      <c r="D255" s="51"/>
      <c r="E255" s="48"/>
      <c r="F255" s="81"/>
      <c r="G255" s="52"/>
      <c r="H255" s="48"/>
      <c r="I255" s="85"/>
      <c r="J255" s="85"/>
      <c r="K255" s="85"/>
      <c r="L255" s="85"/>
      <c r="M255" s="85"/>
      <c r="N255" s="85"/>
      <c r="O255" s="85"/>
      <c r="P255" s="85"/>
      <c r="Q255" s="85"/>
      <c r="R255" s="85"/>
    </row>
    <row r="256" spans="2:18">
      <c r="B256" s="83"/>
      <c r="C256" s="83"/>
      <c r="D256" s="51"/>
      <c r="E256" s="48"/>
      <c r="F256" s="81"/>
      <c r="G256" s="52"/>
      <c r="H256" s="48"/>
      <c r="I256" s="85"/>
      <c r="J256" s="85"/>
      <c r="K256" s="85"/>
      <c r="L256" s="85"/>
      <c r="M256" s="85"/>
      <c r="N256" s="85"/>
      <c r="O256" s="85"/>
      <c r="P256" s="85"/>
      <c r="Q256" s="85"/>
      <c r="R256" s="85"/>
    </row>
    <row r="257" spans="2:18">
      <c r="B257" s="83"/>
      <c r="C257" s="83"/>
      <c r="D257" s="51"/>
      <c r="E257" s="48"/>
      <c r="F257" s="81"/>
      <c r="G257" s="52"/>
      <c r="H257" s="48"/>
      <c r="I257" s="85"/>
      <c r="J257" s="85"/>
      <c r="K257" s="85"/>
      <c r="L257" s="85"/>
      <c r="M257" s="85"/>
      <c r="N257" s="85"/>
      <c r="O257" s="85"/>
      <c r="P257" s="85"/>
      <c r="Q257" s="85"/>
      <c r="R257" s="85"/>
    </row>
    <row r="258" spans="2:18">
      <c r="B258" s="83"/>
      <c r="C258" s="83"/>
      <c r="D258" s="51"/>
      <c r="E258" s="48"/>
      <c r="F258" s="81"/>
      <c r="G258" s="52"/>
      <c r="H258" s="48"/>
      <c r="I258" s="85"/>
      <c r="J258" s="85"/>
      <c r="K258" s="85"/>
      <c r="L258" s="85"/>
      <c r="M258" s="85"/>
      <c r="N258" s="85"/>
      <c r="O258" s="85"/>
      <c r="P258" s="85"/>
      <c r="Q258" s="85"/>
      <c r="R258" s="85"/>
    </row>
    <row r="259" spans="2:18">
      <c r="B259" s="83"/>
      <c r="C259" s="83"/>
      <c r="D259" s="51"/>
      <c r="E259" s="48"/>
      <c r="F259" s="81"/>
      <c r="G259" s="52"/>
      <c r="H259" s="48"/>
      <c r="I259" s="85"/>
      <c r="J259" s="85"/>
      <c r="K259" s="85"/>
      <c r="L259" s="85"/>
      <c r="M259" s="85"/>
      <c r="N259" s="85"/>
      <c r="O259" s="85"/>
      <c r="P259" s="85"/>
      <c r="Q259" s="85"/>
      <c r="R259" s="85"/>
    </row>
    <row r="260" spans="2:18">
      <c r="B260" s="83"/>
      <c r="C260" s="83"/>
      <c r="D260" s="51"/>
      <c r="E260" s="48"/>
      <c r="F260" s="81"/>
      <c r="G260" s="52"/>
      <c r="H260" s="48"/>
      <c r="I260" s="85"/>
      <c r="J260" s="85"/>
      <c r="K260" s="85"/>
      <c r="L260" s="85"/>
      <c r="M260" s="85"/>
      <c r="N260" s="85"/>
      <c r="O260" s="85"/>
      <c r="P260" s="85"/>
      <c r="Q260" s="85"/>
      <c r="R260" s="85"/>
    </row>
    <row r="261" spans="2:18">
      <c r="B261" s="83"/>
      <c r="C261" s="83"/>
      <c r="D261" s="51"/>
      <c r="E261" s="48"/>
      <c r="F261" s="81"/>
      <c r="G261" s="52"/>
      <c r="H261" s="48"/>
      <c r="I261" s="85"/>
      <c r="J261" s="85"/>
      <c r="K261" s="85"/>
      <c r="L261" s="85"/>
      <c r="M261" s="85"/>
      <c r="N261" s="85"/>
      <c r="O261" s="85"/>
      <c r="P261" s="85"/>
      <c r="Q261" s="85"/>
      <c r="R261" s="85"/>
    </row>
    <row r="262" spans="2:18">
      <c r="B262" s="83"/>
      <c r="C262" s="83"/>
      <c r="D262" s="51"/>
      <c r="E262" s="48"/>
      <c r="F262" s="81"/>
      <c r="G262" s="52"/>
      <c r="H262" s="48"/>
      <c r="I262" s="85"/>
      <c r="J262" s="85"/>
      <c r="K262" s="85"/>
      <c r="L262" s="85"/>
      <c r="M262" s="85"/>
      <c r="N262" s="85"/>
      <c r="O262" s="85"/>
      <c r="P262" s="85"/>
      <c r="Q262" s="85"/>
      <c r="R262" s="85"/>
    </row>
    <row r="263" spans="2:18">
      <c r="B263" s="83"/>
      <c r="C263" s="83"/>
      <c r="D263" s="51"/>
      <c r="E263" s="48"/>
      <c r="F263" s="81"/>
      <c r="G263" s="52"/>
      <c r="H263" s="48"/>
      <c r="I263" s="85"/>
      <c r="J263" s="85"/>
      <c r="K263" s="85"/>
      <c r="L263" s="85"/>
      <c r="M263" s="85"/>
      <c r="N263" s="85"/>
      <c r="O263" s="85"/>
      <c r="P263" s="85"/>
      <c r="Q263" s="85"/>
      <c r="R263" s="85"/>
    </row>
    <row r="264" spans="2:18">
      <c r="B264" s="83"/>
      <c r="C264" s="83"/>
      <c r="D264" s="51"/>
      <c r="E264" s="48"/>
      <c r="F264" s="81"/>
      <c r="G264" s="52"/>
      <c r="H264" s="48"/>
      <c r="I264" s="85"/>
      <c r="J264" s="85"/>
      <c r="K264" s="85"/>
      <c r="L264" s="85"/>
      <c r="M264" s="85"/>
      <c r="N264" s="85"/>
      <c r="O264" s="85"/>
      <c r="P264" s="85"/>
      <c r="Q264" s="85"/>
      <c r="R264" s="85"/>
    </row>
    <row r="265" spans="2:18">
      <c r="B265" s="83"/>
      <c r="C265" s="83"/>
      <c r="D265" s="51"/>
      <c r="E265" s="48"/>
      <c r="F265" s="81"/>
      <c r="G265" s="52"/>
      <c r="H265" s="48"/>
      <c r="I265" s="85"/>
      <c r="J265" s="85"/>
      <c r="K265" s="85"/>
      <c r="L265" s="85"/>
      <c r="M265" s="85"/>
      <c r="N265" s="85"/>
      <c r="O265" s="85"/>
      <c r="P265" s="85"/>
      <c r="Q265" s="85"/>
      <c r="R265" s="85"/>
    </row>
    <row r="266" spans="2:18">
      <c r="B266" s="83"/>
      <c r="C266" s="83"/>
      <c r="D266" s="51"/>
      <c r="E266" s="48"/>
      <c r="F266" s="81"/>
      <c r="G266" s="52"/>
      <c r="H266" s="48"/>
      <c r="I266" s="85"/>
      <c r="J266" s="85"/>
      <c r="K266" s="85"/>
      <c r="L266" s="85"/>
      <c r="M266" s="85"/>
      <c r="N266" s="85"/>
      <c r="O266" s="85"/>
      <c r="P266" s="85"/>
      <c r="Q266" s="85"/>
      <c r="R266" s="85"/>
    </row>
    <row r="267" spans="2:18">
      <c r="B267" s="83"/>
      <c r="C267" s="83"/>
      <c r="D267" s="51"/>
      <c r="E267" s="48"/>
      <c r="F267" s="81"/>
      <c r="G267" s="52"/>
      <c r="H267" s="48"/>
      <c r="I267" s="85"/>
      <c r="J267" s="85"/>
      <c r="K267" s="85"/>
      <c r="L267" s="85"/>
      <c r="M267" s="85"/>
      <c r="N267" s="85"/>
      <c r="O267" s="85"/>
      <c r="P267" s="85"/>
      <c r="Q267" s="85"/>
      <c r="R267" s="85"/>
    </row>
    <row r="268" spans="2:18">
      <c r="B268" s="83"/>
      <c r="C268" s="83"/>
      <c r="D268" s="51"/>
      <c r="E268" s="48"/>
      <c r="F268" s="81"/>
      <c r="G268" s="52"/>
      <c r="H268" s="48"/>
      <c r="I268" s="85"/>
      <c r="J268" s="85"/>
      <c r="K268" s="85"/>
      <c r="L268" s="85"/>
      <c r="M268" s="85"/>
      <c r="N268" s="85"/>
      <c r="O268" s="85"/>
      <c r="P268" s="85"/>
      <c r="Q268" s="85"/>
      <c r="R268" s="85"/>
    </row>
    <row r="269" spans="2:18">
      <c r="B269" s="83"/>
      <c r="C269" s="83"/>
      <c r="D269" s="51"/>
      <c r="E269" s="48"/>
      <c r="F269" s="81"/>
      <c r="G269" s="52"/>
      <c r="H269" s="48"/>
      <c r="I269" s="85"/>
      <c r="J269" s="85"/>
      <c r="K269" s="85"/>
      <c r="L269" s="85"/>
      <c r="M269" s="85"/>
      <c r="N269" s="85"/>
      <c r="O269" s="85"/>
      <c r="P269" s="85"/>
      <c r="Q269" s="85"/>
      <c r="R269" s="85"/>
    </row>
    <row r="270" spans="2:18">
      <c r="B270" s="83"/>
      <c r="C270" s="83"/>
      <c r="D270" s="51"/>
      <c r="E270" s="48"/>
      <c r="F270" s="81"/>
      <c r="G270" s="52"/>
      <c r="H270" s="48"/>
      <c r="I270" s="85"/>
      <c r="J270" s="85"/>
      <c r="K270" s="85"/>
      <c r="L270" s="85"/>
      <c r="M270" s="85"/>
      <c r="N270" s="85"/>
      <c r="O270" s="85"/>
      <c r="P270" s="85"/>
      <c r="Q270" s="85"/>
      <c r="R270" s="85"/>
    </row>
    <row r="271" spans="2:18">
      <c r="B271" s="83"/>
      <c r="C271" s="83"/>
      <c r="D271" s="51"/>
      <c r="E271" s="48"/>
      <c r="F271" s="81"/>
      <c r="G271" s="52"/>
      <c r="H271" s="48"/>
      <c r="I271" s="85"/>
      <c r="J271" s="85"/>
      <c r="K271" s="85"/>
      <c r="L271" s="85"/>
      <c r="M271" s="85"/>
      <c r="N271" s="85"/>
      <c r="O271" s="85"/>
      <c r="P271" s="85"/>
      <c r="Q271" s="85"/>
      <c r="R271" s="85"/>
    </row>
    <row r="272" spans="2:18">
      <c r="B272" s="83"/>
      <c r="C272" s="83"/>
      <c r="D272" s="51"/>
      <c r="E272" s="48"/>
      <c r="F272" s="81"/>
      <c r="G272" s="52"/>
      <c r="H272" s="48"/>
      <c r="I272" s="85"/>
      <c r="J272" s="85"/>
      <c r="K272" s="85"/>
      <c r="L272" s="85"/>
      <c r="M272" s="85"/>
      <c r="N272" s="85"/>
      <c r="O272" s="85"/>
      <c r="P272" s="85"/>
      <c r="Q272" s="85"/>
      <c r="R272" s="85"/>
    </row>
    <row r="273" spans="2:18">
      <c r="B273" s="83"/>
      <c r="C273" s="83"/>
      <c r="D273" s="51"/>
      <c r="E273" s="48"/>
      <c r="F273" s="81"/>
      <c r="G273" s="52"/>
      <c r="H273" s="48"/>
      <c r="I273" s="85"/>
      <c r="J273" s="85"/>
      <c r="K273" s="85"/>
      <c r="L273" s="85"/>
      <c r="M273" s="85"/>
      <c r="N273" s="85"/>
      <c r="O273" s="85"/>
      <c r="P273" s="85"/>
      <c r="Q273" s="85"/>
      <c r="R273" s="85"/>
    </row>
    <row r="274" spans="2:18">
      <c r="B274" s="83"/>
      <c r="C274" s="83"/>
      <c r="D274" s="51"/>
      <c r="E274" s="48"/>
      <c r="F274" s="81"/>
      <c r="G274" s="52"/>
      <c r="H274" s="48"/>
      <c r="I274" s="85"/>
      <c r="J274" s="85"/>
      <c r="K274" s="85"/>
      <c r="L274" s="85"/>
      <c r="M274" s="85"/>
      <c r="N274" s="85"/>
      <c r="O274" s="85"/>
      <c r="P274" s="85"/>
      <c r="Q274" s="85"/>
      <c r="R274" s="85"/>
    </row>
    <row r="275" spans="2:18">
      <c r="B275" s="83"/>
      <c r="C275" s="83"/>
      <c r="D275" s="51"/>
      <c r="E275" s="48"/>
      <c r="F275" s="81"/>
      <c r="G275" s="52"/>
      <c r="H275" s="48"/>
      <c r="I275" s="85"/>
      <c r="J275" s="85"/>
      <c r="K275" s="85"/>
      <c r="L275" s="85"/>
      <c r="M275" s="85"/>
      <c r="N275" s="85"/>
      <c r="O275" s="85"/>
      <c r="P275" s="85"/>
      <c r="Q275" s="85"/>
      <c r="R275" s="85"/>
    </row>
    <row r="276" spans="2:18">
      <c r="B276" s="83"/>
      <c r="C276" s="83"/>
      <c r="D276" s="51"/>
      <c r="E276" s="48"/>
      <c r="F276" s="81"/>
      <c r="G276" s="52"/>
      <c r="H276" s="48"/>
      <c r="I276" s="85"/>
      <c r="J276" s="85"/>
      <c r="K276" s="85"/>
      <c r="L276" s="85"/>
      <c r="M276" s="85"/>
      <c r="N276" s="85"/>
      <c r="O276" s="85"/>
      <c r="P276" s="85"/>
      <c r="Q276" s="85"/>
      <c r="R276" s="85"/>
    </row>
    <row r="277" spans="2:18">
      <c r="B277" s="83"/>
      <c r="C277" s="83"/>
      <c r="D277" s="51"/>
      <c r="E277" s="48"/>
      <c r="F277" s="81"/>
      <c r="G277" s="52"/>
      <c r="H277" s="48"/>
      <c r="I277" s="85"/>
      <c r="J277" s="85"/>
      <c r="K277" s="85"/>
      <c r="L277" s="85"/>
      <c r="M277" s="85"/>
      <c r="N277" s="85"/>
      <c r="O277" s="85"/>
      <c r="P277" s="85"/>
      <c r="Q277" s="85"/>
      <c r="R277" s="85"/>
    </row>
    <row r="278" spans="2:18">
      <c r="B278" s="83"/>
      <c r="C278" s="83"/>
      <c r="D278" s="51"/>
      <c r="E278" s="48"/>
      <c r="F278" s="81"/>
      <c r="G278" s="52"/>
      <c r="H278" s="48"/>
      <c r="I278" s="85"/>
      <c r="J278" s="85"/>
      <c r="K278" s="85"/>
      <c r="L278" s="85"/>
      <c r="M278" s="85"/>
      <c r="N278" s="85"/>
      <c r="O278" s="85"/>
      <c r="P278" s="85"/>
      <c r="Q278" s="85"/>
      <c r="R278" s="85"/>
    </row>
    <row r="279" spans="2:18">
      <c r="B279" s="83"/>
      <c r="C279" s="83"/>
      <c r="D279" s="51"/>
      <c r="E279" s="48"/>
      <c r="F279" s="81"/>
      <c r="G279" s="52"/>
      <c r="H279" s="48"/>
      <c r="I279" s="85"/>
      <c r="J279" s="85"/>
      <c r="K279" s="85"/>
      <c r="L279" s="85"/>
      <c r="M279" s="85"/>
      <c r="N279" s="85"/>
      <c r="O279" s="85"/>
      <c r="P279" s="85"/>
      <c r="Q279" s="85"/>
      <c r="R279" s="85"/>
    </row>
    <row r="280" spans="2:18">
      <c r="B280" s="83"/>
      <c r="C280" s="83"/>
      <c r="D280" s="51"/>
      <c r="E280" s="48"/>
      <c r="F280" s="81"/>
      <c r="G280" s="52"/>
      <c r="H280" s="48"/>
      <c r="I280" s="85"/>
      <c r="J280" s="85"/>
      <c r="K280" s="85"/>
      <c r="L280" s="85"/>
      <c r="M280" s="85"/>
      <c r="N280" s="85"/>
      <c r="O280" s="85"/>
      <c r="P280" s="85"/>
      <c r="Q280" s="85"/>
      <c r="R280" s="85"/>
    </row>
    <row r="281" spans="2:18">
      <c r="B281" s="83"/>
      <c r="C281" s="83"/>
      <c r="D281" s="51"/>
      <c r="E281" s="48"/>
      <c r="F281" s="81"/>
      <c r="G281" s="52"/>
      <c r="H281" s="48"/>
      <c r="I281" s="85"/>
      <c r="J281" s="85"/>
      <c r="K281" s="85"/>
      <c r="L281" s="85"/>
      <c r="M281" s="85"/>
      <c r="N281" s="85"/>
      <c r="O281" s="85"/>
      <c r="P281" s="85"/>
      <c r="Q281" s="85"/>
      <c r="R281" s="85"/>
    </row>
    <row r="282" spans="2:18">
      <c r="B282" s="83"/>
      <c r="C282" s="83"/>
      <c r="D282" s="51"/>
      <c r="E282" s="48"/>
      <c r="F282" s="81"/>
      <c r="G282" s="52"/>
      <c r="H282" s="48"/>
      <c r="I282" s="85"/>
      <c r="J282" s="85"/>
      <c r="K282" s="85"/>
      <c r="L282" s="85"/>
      <c r="M282" s="85"/>
      <c r="N282" s="85"/>
      <c r="O282" s="85"/>
      <c r="P282" s="85"/>
      <c r="Q282" s="85"/>
      <c r="R282" s="85"/>
    </row>
    <row r="283" spans="2:18">
      <c r="B283" s="83"/>
      <c r="C283" s="83"/>
      <c r="D283" s="51"/>
      <c r="E283" s="48"/>
      <c r="F283" s="81"/>
      <c r="G283" s="52"/>
      <c r="H283" s="48"/>
      <c r="I283" s="85"/>
      <c r="J283" s="85"/>
      <c r="K283" s="85"/>
      <c r="L283" s="85"/>
      <c r="M283" s="85"/>
      <c r="N283" s="85"/>
      <c r="O283" s="85"/>
      <c r="P283" s="85"/>
      <c r="Q283" s="85"/>
      <c r="R283" s="85"/>
    </row>
    <row r="284" spans="2:18">
      <c r="B284" s="83"/>
      <c r="C284" s="83"/>
      <c r="D284" s="51"/>
      <c r="E284" s="48"/>
      <c r="F284" s="81"/>
      <c r="G284" s="52"/>
      <c r="H284" s="48"/>
      <c r="I284" s="85"/>
      <c r="J284" s="85"/>
      <c r="K284" s="85"/>
      <c r="L284" s="85"/>
      <c r="M284" s="85"/>
      <c r="N284" s="85"/>
      <c r="O284" s="85"/>
      <c r="P284" s="85"/>
      <c r="Q284" s="85"/>
      <c r="R284" s="85"/>
    </row>
    <row r="285" spans="2:18">
      <c r="B285" s="83"/>
      <c r="C285" s="83"/>
      <c r="D285" s="51"/>
      <c r="E285" s="48"/>
      <c r="F285" s="81"/>
      <c r="G285" s="52"/>
      <c r="H285" s="48"/>
      <c r="I285" s="85"/>
      <c r="J285" s="85"/>
      <c r="K285" s="85"/>
      <c r="L285" s="85"/>
      <c r="M285" s="85"/>
      <c r="N285" s="85"/>
      <c r="O285" s="85"/>
      <c r="P285" s="85"/>
      <c r="Q285" s="85"/>
      <c r="R285" s="85"/>
    </row>
    <row r="286" spans="2:18">
      <c r="B286" s="83"/>
      <c r="C286" s="83"/>
      <c r="D286" s="51"/>
      <c r="E286" s="48"/>
      <c r="F286" s="81"/>
      <c r="G286" s="52"/>
      <c r="H286" s="48"/>
      <c r="I286" s="85"/>
      <c r="J286" s="85"/>
      <c r="K286" s="85"/>
      <c r="L286" s="85"/>
      <c r="M286" s="85"/>
      <c r="N286" s="85"/>
      <c r="O286" s="85"/>
      <c r="P286" s="85"/>
      <c r="Q286" s="85"/>
      <c r="R286" s="85"/>
    </row>
    <row r="287" spans="2:18">
      <c r="B287" s="83"/>
      <c r="C287" s="83"/>
      <c r="D287" s="51"/>
      <c r="E287" s="48"/>
      <c r="F287" s="81"/>
      <c r="G287" s="52"/>
      <c r="H287" s="48"/>
      <c r="I287" s="85"/>
      <c r="J287" s="85"/>
      <c r="K287" s="85"/>
      <c r="L287" s="85"/>
      <c r="M287" s="85"/>
      <c r="N287" s="85"/>
      <c r="O287" s="85"/>
      <c r="P287" s="85"/>
      <c r="Q287" s="85"/>
      <c r="R287" s="85"/>
    </row>
    <row r="288" spans="2:18">
      <c r="B288" s="83"/>
      <c r="C288" s="83"/>
      <c r="D288" s="51"/>
      <c r="E288" s="48"/>
      <c r="F288" s="81"/>
      <c r="G288" s="52"/>
      <c r="H288" s="48"/>
      <c r="I288" s="85"/>
      <c r="J288" s="85"/>
      <c r="K288" s="85"/>
      <c r="L288" s="85"/>
      <c r="M288" s="85"/>
      <c r="N288" s="85"/>
      <c r="O288" s="85"/>
      <c r="P288" s="85"/>
      <c r="Q288" s="85"/>
      <c r="R288" s="85"/>
    </row>
    <row r="289" spans="2:18">
      <c r="B289" s="83"/>
      <c r="C289" s="83"/>
      <c r="D289" s="51"/>
      <c r="E289" s="48"/>
      <c r="F289" s="81"/>
      <c r="G289" s="52"/>
      <c r="H289" s="48"/>
      <c r="I289" s="85"/>
      <c r="J289" s="85"/>
      <c r="K289" s="85"/>
      <c r="L289" s="85"/>
      <c r="M289" s="85"/>
      <c r="N289" s="85"/>
      <c r="O289" s="85"/>
      <c r="P289" s="85"/>
      <c r="Q289" s="85"/>
      <c r="R289" s="85"/>
    </row>
    <row r="290" spans="2:18">
      <c r="B290" s="83"/>
      <c r="C290" s="83"/>
      <c r="D290" s="51"/>
      <c r="E290" s="48"/>
      <c r="F290" s="81"/>
      <c r="G290" s="52"/>
      <c r="H290" s="48"/>
      <c r="I290" s="85"/>
      <c r="J290" s="85"/>
      <c r="K290" s="85"/>
      <c r="L290" s="85"/>
      <c r="M290" s="85"/>
      <c r="N290" s="85"/>
      <c r="O290" s="85"/>
      <c r="P290" s="85"/>
      <c r="Q290" s="85"/>
      <c r="R290" s="85"/>
    </row>
    <row r="291" spans="2:18">
      <c r="B291" s="83"/>
      <c r="C291" s="83"/>
      <c r="D291" s="51"/>
      <c r="E291" s="48"/>
      <c r="F291" s="81"/>
      <c r="G291" s="52"/>
      <c r="H291" s="48"/>
      <c r="I291" s="85"/>
      <c r="J291" s="85"/>
      <c r="K291" s="85"/>
      <c r="L291" s="85"/>
      <c r="M291" s="85"/>
      <c r="N291" s="85"/>
      <c r="O291" s="85"/>
      <c r="P291" s="85"/>
      <c r="Q291" s="85"/>
      <c r="R291" s="85"/>
    </row>
    <row r="292" spans="2:18">
      <c r="B292" s="83"/>
      <c r="C292" s="83"/>
      <c r="D292" s="51"/>
      <c r="E292" s="48"/>
      <c r="F292" s="81"/>
      <c r="G292" s="52"/>
      <c r="H292" s="48"/>
      <c r="I292" s="85"/>
      <c r="J292" s="85"/>
      <c r="K292" s="85"/>
      <c r="L292" s="85"/>
      <c r="M292" s="85"/>
      <c r="N292" s="85"/>
      <c r="O292" s="85"/>
      <c r="P292" s="85"/>
      <c r="Q292" s="85"/>
      <c r="R292" s="85"/>
    </row>
    <row r="293" spans="2:18">
      <c r="B293" s="83"/>
      <c r="C293" s="83"/>
      <c r="D293" s="51"/>
      <c r="E293" s="48"/>
      <c r="F293" s="81"/>
      <c r="G293" s="52"/>
      <c r="H293" s="48"/>
      <c r="I293" s="85"/>
      <c r="J293" s="85"/>
      <c r="K293" s="85"/>
      <c r="L293" s="85"/>
      <c r="M293" s="85"/>
      <c r="N293" s="85"/>
      <c r="O293" s="85"/>
      <c r="P293" s="85"/>
      <c r="Q293" s="85"/>
      <c r="R293" s="85"/>
    </row>
    <row r="294" spans="2:18">
      <c r="B294" s="83"/>
      <c r="C294" s="83"/>
      <c r="D294" s="51"/>
      <c r="E294" s="48"/>
      <c r="F294" s="81"/>
      <c r="G294" s="52"/>
      <c r="H294" s="48"/>
      <c r="I294" s="85"/>
      <c r="J294" s="85"/>
      <c r="K294" s="85"/>
      <c r="L294" s="85"/>
      <c r="M294" s="85"/>
      <c r="N294" s="85"/>
      <c r="O294" s="85"/>
      <c r="P294" s="85"/>
      <c r="Q294" s="85"/>
      <c r="R294" s="85"/>
    </row>
    <row r="295" spans="2:18">
      <c r="B295" s="83"/>
      <c r="C295" s="83"/>
      <c r="D295" s="51"/>
      <c r="E295" s="48"/>
      <c r="F295" s="81"/>
      <c r="G295" s="52"/>
      <c r="H295" s="48"/>
      <c r="I295" s="85"/>
      <c r="J295" s="85"/>
      <c r="K295" s="85"/>
      <c r="L295" s="85"/>
      <c r="M295" s="85"/>
      <c r="N295" s="85"/>
      <c r="O295" s="85"/>
      <c r="P295" s="85"/>
      <c r="Q295" s="85"/>
      <c r="R295" s="85"/>
    </row>
    <row r="296" spans="2:18">
      <c r="B296" s="83"/>
      <c r="C296" s="83"/>
      <c r="D296" s="51"/>
      <c r="E296" s="48"/>
      <c r="F296" s="81"/>
      <c r="G296" s="52"/>
      <c r="H296" s="48"/>
      <c r="I296" s="85"/>
      <c r="J296" s="85"/>
      <c r="K296" s="85"/>
      <c r="L296" s="85"/>
      <c r="M296" s="85"/>
      <c r="N296" s="85"/>
      <c r="O296" s="85"/>
      <c r="P296" s="85"/>
      <c r="Q296" s="85"/>
      <c r="R296" s="85"/>
    </row>
    <row r="297" spans="2:18">
      <c r="B297" s="83"/>
      <c r="C297" s="83"/>
      <c r="D297" s="51"/>
      <c r="E297" s="48"/>
      <c r="F297" s="81"/>
      <c r="G297" s="52"/>
      <c r="H297" s="48"/>
      <c r="I297" s="85"/>
      <c r="J297" s="85"/>
      <c r="K297" s="85"/>
      <c r="L297" s="85"/>
      <c r="M297" s="85"/>
      <c r="N297" s="85"/>
      <c r="O297" s="85"/>
      <c r="P297" s="85"/>
      <c r="Q297" s="85"/>
      <c r="R297" s="85"/>
    </row>
    <row r="298" spans="2:18">
      <c r="B298" s="83"/>
      <c r="C298" s="83"/>
      <c r="D298" s="51"/>
      <c r="E298" s="48"/>
      <c r="F298" s="81"/>
      <c r="G298" s="52"/>
      <c r="H298" s="48"/>
      <c r="I298" s="85"/>
      <c r="J298" s="85"/>
      <c r="K298" s="85"/>
      <c r="L298" s="85"/>
      <c r="M298" s="85"/>
      <c r="N298" s="85"/>
      <c r="O298" s="85"/>
      <c r="P298" s="85"/>
      <c r="Q298" s="85"/>
      <c r="R298" s="85"/>
    </row>
    <row r="299" spans="2:18">
      <c r="B299" s="83"/>
      <c r="C299" s="83"/>
      <c r="D299" s="51"/>
      <c r="E299" s="48"/>
      <c r="F299" s="81"/>
      <c r="G299" s="52"/>
      <c r="H299" s="48"/>
      <c r="I299" s="85"/>
      <c r="J299" s="85"/>
      <c r="K299" s="85"/>
      <c r="L299" s="85"/>
      <c r="M299" s="85"/>
      <c r="N299" s="85"/>
      <c r="O299" s="85"/>
      <c r="P299" s="85"/>
      <c r="Q299" s="85"/>
      <c r="R299" s="85"/>
    </row>
    <row r="300" spans="2:18">
      <c r="B300" s="83"/>
      <c r="C300" s="83"/>
      <c r="D300" s="51"/>
      <c r="E300" s="48"/>
      <c r="F300" s="81"/>
      <c r="G300" s="52"/>
      <c r="H300" s="48"/>
      <c r="I300" s="85"/>
      <c r="J300" s="85"/>
      <c r="K300" s="85"/>
      <c r="L300" s="85"/>
      <c r="M300" s="85"/>
      <c r="N300" s="85"/>
      <c r="O300" s="85"/>
      <c r="P300" s="85"/>
      <c r="Q300" s="85"/>
      <c r="R300" s="85"/>
    </row>
    <row r="301" spans="2:18">
      <c r="B301" s="83"/>
      <c r="C301" s="83"/>
      <c r="D301" s="51"/>
      <c r="E301" s="48"/>
      <c r="F301" s="81"/>
      <c r="G301" s="52"/>
      <c r="H301" s="48"/>
      <c r="I301" s="85"/>
      <c r="J301" s="85"/>
      <c r="K301" s="85"/>
      <c r="L301" s="85"/>
      <c r="M301" s="85"/>
      <c r="N301" s="85"/>
      <c r="O301" s="85"/>
      <c r="P301" s="85"/>
      <c r="Q301" s="85"/>
      <c r="R301" s="85"/>
    </row>
    <row r="302" spans="2:18">
      <c r="B302" s="83"/>
      <c r="C302" s="83"/>
      <c r="D302" s="51"/>
      <c r="E302" s="48"/>
      <c r="F302" s="81"/>
      <c r="G302" s="52"/>
      <c r="H302" s="48"/>
      <c r="I302" s="85"/>
      <c r="J302" s="85"/>
      <c r="K302" s="85"/>
      <c r="L302" s="85"/>
      <c r="M302" s="85"/>
      <c r="N302" s="85"/>
      <c r="O302" s="85"/>
      <c r="P302" s="85"/>
      <c r="Q302" s="85"/>
      <c r="R302" s="85"/>
    </row>
    <row r="303" spans="2:18">
      <c r="B303" s="83"/>
      <c r="C303" s="83"/>
      <c r="D303" s="51"/>
      <c r="E303" s="48"/>
      <c r="F303" s="81"/>
      <c r="G303" s="52"/>
      <c r="H303" s="48"/>
      <c r="I303" s="85"/>
      <c r="J303" s="85"/>
      <c r="K303" s="85"/>
      <c r="L303" s="85"/>
      <c r="M303" s="85"/>
      <c r="N303" s="85"/>
      <c r="O303" s="85"/>
      <c r="P303" s="85"/>
      <c r="Q303" s="85"/>
      <c r="R303" s="85"/>
    </row>
    <row r="304" spans="2:18">
      <c r="B304" s="83"/>
      <c r="C304" s="83"/>
      <c r="D304" s="51"/>
      <c r="E304" s="48"/>
      <c r="F304" s="81"/>
      <c r="G304" s="52"/>
      <c r="H304" s="48"/>
      <c r="I304" s="85"/>
      <c r="J304" s="85"/>
      <c r="K304" s="85"/>
      <c r="L304" s="85"/>
      <c r="M304" s="85"/>
      <c r="N304" s="85"/>
      <c r="O304" s="85"/>
      <c r="P304" s="85"/>
      <c r="Q304" s="85"/>
      <c r="R304" s="85"/>
    </row>
    <row r="305" spans="2:18">
      <c r="B305" s="83"/>
      <c r="C305" s="83"/>
      <c r="D305" s="51"/>
      <c r="E305" s="48"/>
      <c r="F305" s="81"/>
      <c r="G305" s="52"/>
      <c r="H305" s="48"/>
      <c r="I305" s="85"/>
      <c r="J305" s="85"/>
      <c r="K305" s="85"/>
      <c r="L305" s="85"/>
      <c r="M305" s="85"/>
      <c r="N305" s="85"/>
      <c r="O305" s="85"/>
      <c r="P305" s="85"/>
      <c r="Q305" s="85"/>
      <c r="R305" s="85"/>
    </row>
    <row r="306" spans="2:18">
      <c r="B306" s="83"/>
      <c r="C306" s="83"/>
      <c r="D306" s="51"/>
      <c r="E306" s="48"/>
      <c r="F306" s="81"/>
      <c r="G306" s="52"/>
      <c r="H306" s="48"/>
      <c r="I306" s="85"/>
      <c r="J306" s="85"/>
      <c r="K306" s="85"/>
      <c r="L306" s="85"/>
      <c r="M306" s="85"/>
      <c r="N306" s="85"/>
      <c r="O306" s="85"/>
      <c r="P306" s="85"/>
      <c r="Q306" s="85"/>
      <c r="R306" s="85"/>
    </row>
    <row r="307" spans="2:18">
      <c r="B307" s="83"/>
      <c r="C307" s="83"/>
      <c r="D307" s="51"/>
      <c r="E307" s="48"/>
      <c r="F307" s="81"/>
      <c r="G307" s="52"/>
      <c r="H307" s="48"/>
      <c r="I307" s="85"/>
      <c r="J307" s="85"/>
      <c r="K307" s="85"/>
      <c r="L307" s="85"/>
      <c r="M307" s="85"/>
      <c r="N307" s="85"/>
      <c r="O307" s="85"/>
      <c r="P307" s="85"/>
      <c r="Q307" s="85"/>
      <c r="R307" s="85"/>
    </row>
    <row r="308" spans="2:18">
      <c r="B308" s="83"/>
      <c r="C308" s="83"/>
      <c r="D308" s="51"/>
      <c r="E308" s="48"/>
      <c r="F308" s="81"/>
      <c r="G308" s="52"/>
      <c r="H308" s="48"/>
      <c r="I308" s="85"/>
      <c r="J308" s="85"/>
      <c r="K308" s="85"/>
      <c r="L308" s="85"/>
      <c r="M308" s="85"/>
      <c r="N308" s="85"/>
      <c r="O308" s="85"/>
      <c r="P308" s="85"/>
      <c r="Q308" s="85"/>
      <c r="R308" s="85"/>
    </row>
    <row r="309" spans="2:18">
      <c r="B309" s="83"/>
      <c r="C309" s="83"/>
      <c r="D309" s="51"/>
      <c r="E309" s="48"/>
      <c r="F309" s="81"/>
      <c r="G309" s="52"/>
      <c r="H309" s="48"/>
      <c r="I309" s="85"/>
      <c r="J309" s="85"/>
      <c r="K309" s="85"/>
      <c r="L309" s="85"/>
      <c r="M309" s="85"/>
      <c r="N309" s="85"/>
      <c r="O309" s="85"/>
      <c r="P309" s="85"/>
      <c r="Q309" s="85"/>
      <c r="R309" s="85"/>
    </row>
    <row r="310" spans="2:18">
      <c r="B310" s="83"/>
      <c r="C310" s="83"/>
      <c r="D310" s="51"/>
      <c r="E310" s="48"/>
      <c r="F310" s="81"/>
      <c r="G310" s="52"/>
      <c r="H310" s="48"/>
      <c r="I310" s="85"/>
      <c r="J310" s="85"/>
      <c r="K310" s="85"/>
      <c r="L310" s="85"/>
      <c r="M310" s="85"/>
      <c r="N310" s="85"/>
      <c r="O310" s="85"/>
      <c r="P310" s="85"/>
      <c r="Q310" s="85"/>
      <c r="R310" s="85"/>
    </row>
    <row r="311" spans="2:18">
      <c r="B311" s="83"/>
      <c r="C311" s="83"/>
      <c r="D311" s="51"/>
      <c r="E311" s="48"/>
      <c r="F311" s="81"/>
      <c r="G311" s="52"/>
      <c r="H311" s="48"/>
      <c r="I311" s="85"/>
      <c r="J311" s="85"/>
      <c r="K311" s="85"/>
      <c r="L311" s="85"/>
      <c r="M311" s="85"/>
      <c r="N311" s="85"/>
      <c r="O311" s="85"/>
      <c r="P311" s="85"/>
      <c r="Q311" s="85"/>
      <c r="R311" s="85"/>
    </row>
    <row r="312" spans="2:18">
      <c r="B312" s="83"/>
      <c r="C312" s="83"/>
      <c r="D312" s="51"/>
      <c r="E312" s="48"/>
      <c r="F312" s="81"/>
      <c r="G312" s="52"/>
      <c r="H312" s="48"/>
      <c r="I312" s="85"/>
      <c r="J312" s="85"/>
      <c r="K312" s="85"/>
      <c r="L312" s="85"/>
      <c r="M312" s="85"/>
      <c r="N312" s="85"/>
      <c r="O312" s="85"/>
      <c r="P312" s="85"/>
      <c r="Q312" s="85"/>
      <c r="R312" s="85"/>
    </row>
    <row r="313" spans="2:18">
      <c r="B313" s="83"/>
      <c r="C313" s="83"/>
      <c r="D313" s="51"/>
      <c r="E313" s="48"/>
      <c r="F313" s="81"/>
      <c r="G313" s="52"/>
      <c r="H313" s="48"/>
      <c r="I313" s="85"/>
      <c r="J313" s="85"/>
      <c r="K313" s="85"/>
      <c r="L313" s="85"/>
      <c r="M313" s="85"/>
      <c r="N313" s="85"/>
      <c r="O313" s="85"/>
      <c r="P313" s="85"/>
      <c r="Q313" s="85"/>
      <c r="R313" s="85"/>
    </row>
    <row r="314" spans="2:18">
      <c r="B314" s="83"/>
      <c r="C314" s="83"/>
      <c r="D314" s="51"/>
      <c r="E314" s="48"/>
      <c r="F314" s="81"/>
      <c r="G314" s="52"/>
      <c r="H314" s="48"/>
      <c r="I314" s="85"/>
      <c r="J314" s="85"/>
      <c r="K314" s="85"/>
      <c r="L314" s="85"/>
      <c r="M314" s="85"/>
      <c r="N314" s="85"/>
      <c r="O314" s="85"/>
      <c r="P314" s="85"/>
      <c r="Q314" s="85"/>
      <c r="R314" s="85"/>
    </row>
  </sheetData>
  <autoFilter ref="B6:Q201" xr:uid="{CB50E2A9-64F7-49C3-ACEC-9ABD63FB652A}"/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50"/>
  <sheetViews>
    <sheetView showGridLines="0" zoomScale="85" zoomScaleNormal="85" workbookViewId="0">
      <pane ySplit="4" topLeftCell="A5" activePane="bottomLeft" state="frozen"/>
      <selection pane="bottomLeft" activeCell="R21" sqref="R21"/>
    </sheetView>
  </sheetViews>
  <sheetFormatPr defaultColWidth="8.796875" defaultRowHeight="12.5"/>
  <cols>
    <col min="1" max="1" width="8.796875" style="106" hidden="1" customWidth="1"/>
    <col min="2" max="2" width="9.69921875" style="106" customWidth="1"/>
    <col min="3" max="3" width="14.3984375" style="106" customWidth="1"/>
    <col min="4" max="4" width="14.59765625" style="106" customWidth="1"/>
    <col min="5" max="6" width="14.59765625" style="106" hidden="1" customWidth="1"/>
    <col min="7" max="8" width="9.69921875" style="106" hidden="1" customWidth="1"/>
    <col min="9" max="10" width="14.59765625" style="106" hidden="1" customWidth="1"/>
    <col min="11" max="12" width="30.796875" style="106" customWidth="1"/>
    <col min="13" max="13" width="11.09765625" style="107" customWidth="1"/>
    <col min="14" max="14" width="10.69921875" style="108" customWidth="1"/>
    <col min="15" max="15" width="9.69921875" style="109" customWidth="1"/>
    <col min="16" max="16" width="15.69921875" style="110" customWidth="1"/>
    <col min="17" max="17" width="12.69921875" style="111" customWidth="1"/>
    <col min="18" max="18" width="10.69921875" style="108" customWidth="1"/>
    <col min="19" max="19" width="8.69921875" style="109" customWidth="1"/>
    <col min="20" max="20" width="15.69921875" style="110" customWidth="1"/>
    <col min="21" max="22" width="12.69921875" style="111" customWidth="1"/>
    <col min="23" max="23" width="11.69921875" style="110" customWidth="1"/>
    <col min="24" max="24" width="11.69921875" style="106" customWidth="1"/>
    <col min="25" max="25" width="18.09765625" style="106" customWidth="1"/>
    <col min="26" max="27" width="11.8984375" style="106" customWidth="1"/>
    <col min="28" max="31" width="15.69921875" style="106" customWidth="1"/>
    <col min="32" max="33" width="30.69921875" style="106" customWidth="1"/>
    <col min="34" max="16384" width="8.796875" style="106"/>
  </cols>
  <sheetData>
    <row r="1" spans="1:33" s="92" customFormat="1" ht="30.5" customHeight="1">
      <c r="M1" s="98"/>
      <c r="N1" s="94"/>
      <c r="O1" s="97"/>
      <c r="P1" s="95"/>
      <c r="Q1" s="93"/>
      <c r="R1" s="94"/>
      <c r="S1" s="97"/>
      <c r="T1" s="95"/>
      <c r="U1" s="93"/>
      <c r="V1" s="93"/>
      <c r="W1" s="95"/>
    </row>
    <row r="2" spans="1:33" s="92" customFormat="1" ht="34.5" customHeight="1">
      <c r="M2" s="98"/>
      <c r="N2" s="94"/>
      <c r="O2" s="97"/>
      <c r="P2" s="95"/>
      <c r="Q2" s="93"/>
      <c r="R2" s="94"/>
      <c r="S2" s="97"/>
      <c r="T2" s="95"/>
      <c r="U2" s="93"/>
      <c r="V2" s="93"/>
      <c r="W2" s="95"/>
    </row>
    <row r="3" spans="1:33" s="96" customFormat="1" ht="16">
      <c r="D3" s="127" t="s">
        <v>4234</v>
      </c>
      <c r="E3" s="128"/>
      <c r="F3" s="128"/>
      <c r="G3" s="128"/>
      <c r="H3" s="128"/>
      <c r="I3" s="128"/>
      <c r="J3" s="128"/>
      <c r="K3" s="122"/>
      <c r="M3" s="119"/>
      <c r="N3" s="125" t="s">
        <v>4226</v>
      </c>
      <c r="O3" s="126"/>
      <c r="P3" s="126"/>
      <c r="Q3" s="126"/>
      <c r="R3" s="123" t="s">
        <v>4227</v>
      </c>
      <c r="S3" s="124"/>
      <c r="T3" s="124"/>
      <c r="U3" s="124"/>
      <c r="V3" s="124"/>
      <c r="W3" s="124"/>
    </row>
    <row r="4" spans="1:33" s="96" customFormat="1" ht="16">
      <c r="A4" s="99" t="s">
        <v>2111</v>
      </c>
      <c r="B4" s="100" t="s">
        <v>4224</v>
      </c>
      <c r="C4" s="113" t="s">
        <v>4235</v>
      </c>
      <c r="D4" s="101" t="s">
        <v>3355</v>
      </c>
      <c r="E4" s="102" t="s">
        <v>3235</v>
      </c>
      <c r="F4" s="102" t="s">
        <v>4220</v>
      </c>
      <c r="G4" s="102" t="s">
        <v>4221</v>
      </c>
      <c r="H4" s="102" t="s">
        <v>3160</v>
      </c>
      <c r="I4" s="102" t="s">
        <v>4222</v>
      </c>
      <c r="J4" s="102" t="s">
        <v>4223</v>
      </c>
      <c r="K4" s="113" t="s">
        <v>4228</v>
      </c>
      <c r="L4" s="103" t="s">
        <v>3357</v>
      </c>
      <c r="M4" s="114" t="s">
        <v>4229</v>
      </c>
      <c r="N4" s="120" t="s">
        <v>4231</v>
      </c>
      <c r="O4" s="120" t="s">
        <v>4232</v>
      </c>
      <c r="P4" s="121" t="s">
        <v>4233</v>
      </c>
      <c r="Q4" s="116" t="s">
        <v>3331</v>
      </c>
      <c r="R4" s="120" t="s">
        <v>4231</v>
      </c>
      <c r="S4" s="120" t="s">
        <v>4232</v>
      </c>
      <c r="T4" s="121" t="s">
        <v>4233</v>
      </c>
      <c r="U4" s="117" t="s">
        <v>3332</v>
      </c>
      <c r="V4" s="117" t="s">
        <v>3333</v>
      </c>
      <c r="W4" s="118" t="s">
        <v>3334</v>
      </c>
      <c r="X4" s="115" t="s">
        <v>4230</v>
      </c>
      <c r="Y4" s="103" t="s">
        <v>3336</v>
      </c>
      <c r="Z4" s="104" t="s">
        <v>3337</v>
      </c>
      <c r="AA4" s="104" t="s">
        <v>4219</v>
      </c>
      <c r="AB4" s="103" t="s">
        <v>4</v>
      </c>
      <c r="AC4" s="103" t="s">
        <v>3338</v>
      </c>
      <c r="AD4" s="103" t="s">
        <v>4276</v>
      </c>
      <c r="AE4" s="103" t="s">
        <v>3339</v>
      </c>
      <c r="AF4" s="105" t="s">
        <v>2357</v>
      </c>
      <c r="AG4" s="105" t="s">
        <v>4225</v>
      </c>
    </row>
    <row r="5" spans="1:33">
      <c r="A5" s="106">
        <v>2321</v>
      </c>
      <c r="B5" s="106" t="s">
        <v>4270</v>
      </c>
      <c r="C5" s="106" t="s">
        <v>4263</v>
      </c>
      <c r="D5" s="106" t="s">
        <v>53</v>
      </c>
      <c r="E5" s="106" t="s">
        <v>21</v>
      </c>
      <c r="F5" s="106" t="s">
        <v>4277</v>
      </c>
      <c r="G5" s="106" t="s">
        <v>4245</v>
      </c>
      <c r="H5" s="106">
        <v>2020</v>
      </c>
      <c r="I5" s="106" t="s">
        <v>3225</v>
      </c>
      <c r="K5" s="106" t="s">
        <v>4267</v>
      </c>
      <c r="L5" s="106" t="s">
        <v>4274</v>
      </c>
      <c r="M5" s="107" t="s">
        <v>4264</v>
      </c>
      <c r="N5" s="108">
        <v>10</v>
      </c>
      <c r="O5" s="109">
        <v>3</v>
      </c>
      <c r="P5" s="110">
        <v>9</v>
      </c>
      <c r="Q5" s="111">
        <v>44508</v>
      </c>
      <c r="R5" s="108">
        <v>10</v>
      </c>
      <c r="S5" s="109">
        <v>3</v>
      </c>
      <c r="T5" s="110">
        <v>30</v>
      </c>
      <c r="U5" s="111">
        <v>44531</v>
      </c>
      <c r="V5" s="111">
        <v>44561</v>
      </c>
      <c r="W5" s="110">
        <v>11</v>
      </c>
      <c r="X5" s="106" t="s">
        <v>4265</v>
      </c>
      <c r="Y5" s="106" t="s">
        <v>4275</v>
      </c>
      <c r="Z5" s="106" t="s">
        <v>4268</v>
      </c>
      <c r="AA5" s="106" t="s">
        <v>4266</v>
      </c>
      <c r="AB5" s="106">
        <v>1</v>
      </c>
      <c r="AC5" s="106">
        <v>2</v>
      </c>
      <c r="AD5" s="106">
        <v>3</v>
      </c>
      <c r="AE5" s="106">
        <v>4</v>
      </c>
      <c r="AF5" s="106">
        <v>5</v>
      </c>
      <c r="AG5" s="106">
        <v>6</v>
      </c>
    </row>
    <row r="1632" spans="12:12">
      <c r="L1632" s="112"/>
    </row>
    <row r="1633" spans="12:12">
      <c r="L1633" s="112"/>
    </row>
    <row r="1634" spans="12:12">
      <c r="L1634" s="112"/>
    </row>
    <row r="1635" spans="12:12">
      <c r="L1635" s="112"/>
    </row>
    <row r="1636" spans="12:12">
      <c r="L1636" s="112"/>
    </row>
    <row r="1637" spans="12:12">
      <c r="L1637" s="112"/>
    </row>
    <row r="1638" spans="12:12">
      <c r="L1638" s="112"/>
    </row>
    <row r="1639" spans="12:12">
      <c r="L1639" s="112"/>
    </row>
    <row r="1640" spans="12:12">
      <c r="L1640" s="112"/>
    </row>
    <row r="1641" spans="12:12">
      <c r="L1641" s="112"/>
    </row>
    <row r="1642" spans="12:12">
      <c r="L1642" s="112"/>
    </row>
    <row r="1643" spans="12:12">
      <c r="L1643" s="112"/>
    </row>
    <row r="1819" spans="12:12">
      <c r="L1819" s="112"/>
    </row>
    <row r="1820" spans="12:12">
      <c r="L1820" s="112"/>
    </row>
    <row r="1821" spans="12:12">
      <c r="L1821" s="112"/>
    </row>
    <row r="1822" spans="12:12">
      <c r="L1822" s="112"/>
    </row>
    <row r="1823" spans="12:12">
      <c r="L1823" s="112"/>
    </row>
    <row r="1824" spans="12:12">
      <c r="L1824" s="112"/>
    </row>
    <row r="1825" spans="12:12">
      <c r="L1825" s="112"/>
    </row>
    <row r="1826" spans="12:12">
      <c r="L1826" s="112"/>
    </row>
    <row r="1827" spans="12:12">
      <c r="L1827" s="112"/>
    </row>
    <row r="1828" spans="12:12">
      <c r="L1828" s="112"/>
    </row>
    <row r="1829" spans="12:12">
      <c r="L1829" s="112"/>
    </row>
    <row r="1839" spans="12:12">
      <c r="L1839" s="112"/>
    </row>
    <row r="1840" spans="12:12">
      <c r="L1840" s="112"/>
    </row>
    <row r="1841" spans="12:12">
      <c r="L1841" s="112"/>
    </row>
    <row r="1842" spans="12:12">
      <c r="L1842" s="112"/>
    </row>
    <row r="1843" spans="12:12">
      <c r="L1843" s="112"/>
    </row>
    <row r="1844" spans="12:12">
      <c r="L1844" s="112"/>
    </row>
    <row r="1845" spans="12:12">
      <c r="L1845" s="112"/>
    </row>
    <row r="1846" spans="12:12">
      <c r="L1846" s="112"/>
    </row>
    <row r="1847" spans="12:12">
      <c r="L1847" s="112"/>
    </row>
    <row r="1848" spans="12:12">
      <c r="L1848" s="112"/>
    </row>
    <row r="1849" spans="12:12">
      <c r="L1849" s="112"/>
    </row>
    <row r="1850" spans="12:12">
      <c r="L1850" s="112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311150</xdr:colOff>
                    <xdr:row>0</xdr:row>
                    <xdr:rowOff>69850</xdr:rowOff>
                  </from>
                  <to>
                    <xdr:col>23</xdr:col>
                    <xdr:colOff>349250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BF16C376-C163-48D9-9FF7-44F1AAC14B73}">
          <x14:formula1>
            <xm:f>validation!$R$2:$R$651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96875" defaultRowHeight="12.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92"/>
  <sheetViews>
    <sheetView workbookViewId="0">
      <selection activeCell="C1" sqref="C1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1923</v>
      </c>
      <c r="C1" t="s">
        <v>4260</v>
      </c>
    </row>
    <row r="2" spans="1:3">
      <c r="A2" t="s">
        <v>1924</v>
      </c>
    </row>
    <row r="3" spans="1:3">
      <c r="A3" t="s">
        <v>1929</v>
      </c>
    </row>
    <row r="4" spans="1:3">
      <c r="A4" t="s">
        <v>1842</v>
      </c>
    </row>
    <row r="5" spans="1:3">
      <c r="A5" t="s">
        <v>1927</v>
      </c>
    </row>
    <row r="6" spans="1:3">
      <c r="A6" t="s">
        <v>1843</v>
      </c>
    </row>
    <row r="7" spans="1:3">
      <c r="A7" t="s">
        <v>1928</v>
      </c>
    </row>
    <row r="8" spans="1:3">
      <c r="A8" t="s">
        <v>1844</v>
      </c>
    </row>
    <row r="9" spans="1:3">
      <c r="A9" t="s">
        <v>2979</v>
      </c>
    </row>
    <row r="10" spans="1:3">
      <c r="A10" t="s">
        <v>1860</v>
      </c>
    </row>
    <row r="11" spans="1:3">
      <c r="A11" t="s">
        <v>2980</v>
      </c>
    </row>
    <row r="12" spans="1:3">
      <c r="A12" t="s">
        <v>1786</v>
      </c>
    </row>
    <row r="13" spans="1:3">
      <c r="A13" t="s">
        <v>2981</v>
      </c>
    </row>
    <row r="14" spans="1:3">
      <c r="A14" t="s">
        <v>2982</v>
      </c>
    </row>
    <row r="15" spans="1:3">
      <c r="A15" t="s">
        <v>2983</v>
      </c>
    </row>
    <row r="16" spans="1:3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2984</v>
      </c>
    </row>
    <row r="23" spans="1:1">
      <c r="A23" t="s">
        <v>1785</v>
      </c>
    </row>
    <row r="24" spans="1:1">
      <c r="A24" t="s">
        <v>2985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2996</v>
      </c>
    </row>
    <row r="56" spans="1:1">
      <c r="A56" t="s">
        <v>1958</v>
      </c>
    </row>
    <row r="57" spans="1:1">
      <c r="A57" t="s">
        <v>2997</v>
      </c>
    </row>
    <row r="58" spans="1:1">
      <c r="A58" t="s">
        <v>2998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2999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3009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3077</v>
      </c>
    </row>
    <row r="80" spans="1:1">
      <c r="A80" t="s">
        <v>3078</v>
      </c>
    </row>
    <row r="81" spans="1:1">
      <c r="A81" t="s">
        <v>3079</v>
      </c>
    </row>
    <row r="82" spans="1:1">
      <c r="A82" t="s">
        <v>3080</v>
      </c>
    </row>
    <row r="83" spans="1:1">
      <c r="A83" t="s">
        <v>3081</v>
      </c>
    </row>
    <row r="84" spans="1:1">
      <c r="A84" t="s">
        <v>3082</v>
      </c>
    </row>
    <row r="85" spans="1:1">
      <c r="A85" t="s">
        <v>3083</v>
      </c>
    </row>
    <row r="86" spans="1:1">
      <c r="A86" t="s">
        <v>3084</v>
      </c>
    </row>
    <row r="87" spans="1:1">
      <c r="A87" t="s">
        <v>3085</v>
      </c>
    </row>
    <row r="88" spans="1:1">
      <c r="A88" t="s">
        <v>3086</v>
      </c>
    </row>
    <row r="89" spans="1:1">
      <c r="A89" t="s">
        <v>3087</v>
      </c>
    </row>
    <row r="90" spans="1:1">
      <c r="A90" t="s">
        <v>3088</v>
      </c>
    </row>
    <row r="91" spans="1:1">
      <c r="A91" t="s">
        <v>3089</v>
      </c>
    </row>
    <row r="92" spans="1:1">
      <c r="A92" t="s">
        <v>3090</v>
      </c>
    </row>
    <row r="93" spans="1:1">
      <c r="A93" t="s">
        <v>3091</v>
      </c>
    </row>
    <row r="94" spans="1:1">
      <c r="A94" t="s">
        <v>3092</v>
      </c>
    </row>
    <row r="95" spans="1:1">
      <c r="A95" t="s">
        <v>3093</v>
      </c>
    </row>
    <row r="96" spans="1:1">
      <c r="A96" t="s">
        <v>3094</v>
      </c>
    </row>
    <row r="97" spans="1:1">
      <c r="A97" t="s">
        <v>3095</v>
      </c>
    </row>
    <row r="98" spans="1:1">
      <c r="A98" t="s">
        <v>3096</v>
      </c>
    </row>
    <row r="99" spans="1:1">
      <c r="A99" t="s">
        <v>3097</v>
      </c>
    </row>
    <row r="100" spans="1:1">
      <c r="A100" t="s">
        <v>3098</v>
      </c>
    </row>
    <row r="101" spans="1:1">
      <c r="A101" t="s">
        <v>3099</v>
      </c>
    </row>
    <row r="102" spans="1:1">
      <c r="A102" t="s">
        <v>3108</v>
      </c>
    </row>
    <row r="103" spans="1:1">
      <c r="A103" t="s">
        <v>3109</v>
      </c>
    </row>
    <row r="104" spans="1:1">
      <c r="A104" t="s">
        <v>3110</v>
      </c>
    </row>
    <row r="105" spans="1:1">
      <c r="A105" t="s">
        <v>3111</v>
      </c>
    </row>
    <row r="106" spans="1:1">
      <c r="A106" t="s">
        <v>3112</v>
      </c>
    </row>
    <row r="107" spans="1:1">
      <c r="A107" t="s">
        <v>3113</v>
      </c>
    </row>
    <row r="108" spans="1:1">
      <c r="A108" t="s">
        <v>3114</v>
      </c>
    </row>
    <row r="109" spans="1:1">
      <c r="A109" t="s">
        <v>3125</v>
      </c>
    </row>
    <row r="110" spans="1:1">
      <c r="A110" t="s">
        <v>3126</v>
      </c>
    </row>
    <row r="111" spans="1:1">
      <c r="A111" t="s">
        <v>3127</v>
      </c>
    </row>
    <row r="112" spans="1:1">
      <c r="A112" t="s">
        <v>3128</v>
      </c>
    </row>
    <row r="113" spans="1:1">
      <c r="A113" t="s">
        <v>3129</v>
      </c>
    </row>
    <row r="114" spans="1:1">
      <c r="A114" t="s">
        <v>3130</v>
      </c>
    </row>
    <row r="115" spans="1:1">
      <c r="A115" t="s">
        <v>3131</v>
      </c>
    </row>
    <row r="116" spans="1:1">
      <c r="A116" t="s">
        <v>3132</v>
      </c>
    </row>
    <row r="117" spans="1:1">
      <c r="A117" t="s">
        <v>3133</v>
      </c>
    </row>
    <row r="118" spans="1:1">
      <c r="A118" t="s">
        <v>3134</v>
      </c>
    </row>
    <row r="119" spans="1:1">
      <c r="A119" t="s">
        <v>3139</v>
      </c>
    </row>
    <row r="120" spans="1:1">
      <c r="A120" t="s">
        <v>3140</v>
      </c>
    </row>
    <row r="121" spans="1:1">
      <c r="A121" t="s">
        <v>3141</v>
      </c>
    </row>
    <row r="122" spans="1:1">
      <c r="A122" t="s">
        <v>3142</v>
      </c>
    </row>
    <row r="123" spans="1:1">
      <c r="A123" t="s">
        <v>3143</v>
      </c>
    </row>
    <row r="124" spans="1:1">
      <c r="A124" t="s">
        <v>3144</v>
      </c>
    </row>
    <row r="125" spans="1:1">
      <c r="A125" t="s">
        <v>3145</v>
      </c>
    </row>
    <row r="126" spans="1:1">
      <c r="A126" t="s">
        <v>3146</v>
      </c>
    </row>
    <row r="127" spans="1:1">
      <c r="A127" t="s">
        <v>3147</v>
      </c>
    </row>
    <row r="128" spans="1:1">
      <c r="A128" t="s">
        <v>3148</v>
      </c>
    </row>
    <row r="129" spans="1:1">
      <c r="A129" t="s">
        <v>3151</v>
      </c>
    </row>
    <row r="130" spans="1:1">
      <c r="A130" t="s">
        <v>3152</v>
      </c>
    </row>
    <row r="131" spans="1:1">
      <c r="A131" t="s">
        <v>3149</v>
      </c>
    </row>
    <row r="132" spans="1:1">
      <c r="A132" t="s">
        <v>3153</v>
      </c>
    </row>
    <row r="133" spans="1:1">
      <c r="A133" t="s">
        <v>3154</v>
      </c>
    </row>
    <row r="134" spans="1:1">
      <c r="A134" t="s">
        <v>3156</v>
      </c>
    </row>
    <row r="135" spans="1:1">
      <c r="A135" t="s">
        <v>3157</v>
      </c>
    </row>
    <row r="136" spans="1:1">
      <c r="A136" t="s">
        <v>3158</v>
      </c>
    </row>
    <row r="137" spans="1:1">
      <c r="A137" t="s">
        <v>4243</v>
      </c>
    </row>
    <row r="138" spans="1:1">
      <c r="A138" t="s">
        <v>4261</v>
      </c>
    </row>
    <row r="139" spans="1:1">
      <c r="A139" t="s">
        <v>4262</v>
      </c>
    </row>
    <row r="140" spans="1:1">
      <c r="A140" t="s">
        <v>2036</v>
      </c>
    </row>
    <row r="141" spans="1:1">
      <c r="A141" t="s">
        <v>1739</v>
      </c>
    </row>
    <row r="142" spans="1:1">
      <c r="A142" t="s">
        <v>1781</v>
      </c>
    </row>
    <row r="143" spans="1:1">
      <c r="A143" t="s">
        <v>2969</v>
      </c>
    </row>
    <row r="144" spans="1:1">
      <c r="A144" t="s">
        <v>1810</v>
      </c>
    </row>
    <row r="145" spans="1:1">
      <c r="A145" t="s">
        <v>1823</v>
      </c>
    </row>
    <row r="146" spans="1:1">
      <c r="A146" t="s">
        <v>1749</v>
      </c>
    </row>
    <row r="147" spans="1:1">
      <c r="A147" t="s">
        <v>2970</v>
      </c>
    </row>
    <row r="148" spans="1:1">
      <c r="A148" t="s">
        <v>1775</v>
      </c>
    </row>
    <row r="149" spans="1:1">
      <c r="A149" t="s">
        <v>2971</v>
      </c>
    </row>
    <row r="150" spans="1:1">
      <c r="A150" t="s">
        <v>1783</v>
      </c>
    </row>
    <row r="151" spans="1:1">
      <c r="A151" t="s">
        <v>1777</v>
      </c>
    </row>
    <row r="152" spans="1:1">
      <c r="A152" t="s">
        <v>1754</v>
      </c>
    </row>
    <row r="153" spans="1:1">
      <c r="A153" t="s">
        <v>1817</v>
      </c>
    </row>
    <row r="154" spans="1:1">
      <c r="A154" t="s">
        <v>1778</v>
      </c>
    </row>
    <row r="155" spans="1:1">
      <c r="A155" t="s">
        <v>2972</v>
      </c>
    </row>
    <row r="156" spans="1:1">
      <c r="A156" t="s">
        <v>1813</v>
      </c>
    </row>
    <row r="157" spans="1:1">
      <c r="A157" t="s">
        <v>1752</v>
      </c>
    </row>
    <row r="158" spans="1:1">
      <c r="A158" t="s">
        <v>1782</v>
      </c>
    </row>
    <row r="159" spans="1:1">
      <c r="A159" t="s">
        <v>2973</v>
      </c>
    </row>
    <row r="160" spans="1:1">
      <c r="A160" t="s">
        <v>1789</v>
      </c>
    </row>
    <row r="161" spans="1:1">
      <c r="A161" t="s">
        <v>1822</v>
      </c>
    </row>
    <row r="162" spans="1:1">
      <c r="A162" t="s">
        <v>1814</v>
      </c>
    </row>
    <row r="163" spans="1:1">
      <c r="A163" t="s">
        <v>1776</v>
      </c>
    </row>
    <row r="164" spans="1:1">
      <c r="A164" t="s">
        <v>1821</v>
      </c>
    </row>
    <row r="165" spans="1:1">
      <c r="A165" t="s">
        <v>1784</v>
      </c>
    </row>
    <row r="166" spans="1:1">
      <c r="A166" t="s">
        <v>1815</v>
      </c>
    </row>
    <row r="167" spans="1:1">
      <c r="A167" t="s">
        <v>1750</v>
      </c>
    </row>
    <row r="168" spans="1:1">
      <c r="A168" t="s">
        <v>1811</v>
      </c>
    </row>
    <row r="169" spans="1:1">
      <c r="A169" t="s">
        <v>1833</v>
      </c>
    </row>
    <row r="170" spans="1:1">
      <c r="A170" t="s">
        <v>1824</v>
      </c>
    </row>
    <row r="171" spans="1:1">
      <c r="A171" t="s">
        <v>1812</v>
      </c>
    </row>
    <row r="172" spans="1:1">
      <c r="A172" t="s">
        <v>1790</v>
      </c>
    </row>
    <row r="173" spans="1:1">
      <c r="A173" t="s">
        <v>1779</v>
      </c>
    </row>
    <row r="174" spans="1:1">
      <c r="A174" t="s">
        <v>1816</v>
      </c>
    </row>
    <row r="175" spans="1:1">
      <c r="A175" t="s">
        <v>1819</v>
      </c>
    </row>
    <row r="176" spans="1:1">
      <c r="A176" t="s">
        <v>1702</v>
      </c>
    </row>
    <row r="177" spans="1:1">
      <c r="A177" t="s">
        <v>2974</v>
      </c>
    </row>
    <row r="178" spans="1:1">
      <c r="A178" t="s">
        <v>2975</v>
      </c>
    </row>
    <row r="179" spans="1:1">
      <c r="A179" t="s">
        <v>1701</v>
      </c>
    </row>
    <row r="180" spans="1:1">
      <c r="A180" t="s">
        <v>1703</v>
      </c>
    </row>
    <row r="181" spans="1:1">
      <c r="A181" t="s">
        <v>2976</v>
      </c>
    </row>
    <row r="182" spans="1:1">
      <c r="A182" t="s">
        <v>1700</v>
      </c>
    </row>
    <row r="183" spans="1:1">
      <c r="A183" t="s">
        <v>2977</v>
      </c>
    </row>
    <row r="184" spans="1:1">
      <c r="A184" t="s">
        <v>2978</v>
      </c>
    </row>
    <row r="185" spans="1:1">
      <c r="A185" t="s">
        <v>1699</v>
      </c>
    </row>
    <row r="186" spans="1:1">
      <c r="A186" t="s">
        <v>1820</v>
      </c>
    </row>
    <row r="187" spans="1:1">
      <c r="A187" t="s">
        <v>1738</v>
      </c>
    </row>
    <row r="188" spans="1:1">
      <c r="A188" t="s">
        <v>1737</v>
      </c>
    </row>
    <row r="189" spans="1:1">
      <c r="A189" t="s">
        <v>1741</v>
      </c>
    </row>
    <row r="190" spans="1:1">
      <c r="A190" t="s">
        <v>1803</v>
      </c>
    </row>
    <row r="191" spans="1:1">
      <c r="A191" t="s">
        <v>1740</v>
      </c>
    </row>
    <row r="192" spans="1:1">
      <c r="A192" t="s">
        <v>1835</v>
      </c>
    </row>
    <row r="193" spans="1:1">
      <c r="A193" t="s">
        <v>1896</v>
      </c>
    </row>
    <row r="194" spans="1:1">
      <c r="A194" t="s">
        <v>1872</v>
      </c>
    </row>
    <row r="195" spans="1:1">
      <c r="A195" t="s">
        <v>1871</v>
      </c>
    </row>
    <row r="196" spans="1:1">
      <c r="A196" t="s">
        <v>1834</v>
      </c>
    </row>
    <row r="197" spans="1:1">
      <c r="A197" t="s">
        <v>1895</v>
      </c>
    </row>
    <row r="198" spans="1:1">
      <c r="A198" t="s">
        <v>1894</v>
      </c>
    </row>
    <row r="199" spans="1:1">
      <c r="A199" t="s">
        <v>1836</v>
      </c>
    </row>
    <row r="200" spans="1:1">
      <c r="A200" t="s">
        <v>1837</v>
      </c>
    </row>
    <row r="201" spans="1:1">
      <c r="A201" t="s">
        <v>1864</v>
      </c>
    </row>
    <row r="202" spans="1:1">
      <c r="A202" t="s">
        <v>1870</v>
      </c>
    </row>
    <row r="203" spans="1:1">
      <c r="A203" t="s">
        <v>1745</v>
      </c>
    </row>
    <row r="204" spans="1:1">
      <c r="A204" t="s">
        <v>1905</v>
      </c>
    </row>
    <row r="205" spans="1:1">
      <c r="A205" t="s">
        <v>1846</v>
      </c>
    </row>
    <row r="206" spans="1:1">
      <c r="A206" t="s">
        <v>1744</v>
      </c>
    </row>
    <row r="207" spans="1:1">
      <c r="A207" t="s">
        <v>1743</v>
      </c>
    </row>
    <row r="208" spans="1:1">
      <c r="A208" t="s">
        <v>1788</v>
      </c>
    </row>
    <row r="209" spans="1:1">
      <c r="A209" t="s">
        <v>1906</v>
      </c>
    </row>
    <row r="210" spans="1:1">
      <c r="A210" t="s">
        <v>1809</v>
      </c>
    </row>
    <row r="211" spans="1:1">
      <c r="A211" t="s">
        <v>1907</v>
      </c>
    </row>
    <row r="212" spans="1:1">
      <c r="A212" t="s">
        <v>1829</v>
      </c>
    </row>
    <row r="213" spans="1:1">
      <c r="A213" t="s">
        <v>1869</v>
      </c>
    </row>
    <row r="214" spans="1:1">
      <c r="A214" t="s">
        <v>1855</v>
      </c>
    </row>
    <row r="215" spans="1:1">
      <c r="A215" t="s">
        <v>1932</v>
      </c>
    </row>
    <row r="216" spans="1:1">
      <c r="A216" t="s">
        <v>1801</v>
      </c>
    </row>
    <row r="217" spans="1:1">
      <c r="A217" t="s">
        <v>1878</v>
      </c>
    </row>
    <row r="218" spans="1:1">
      <c r="A218" t="s">
        <v>1909</v>
      </c>
    </row>
    <row r="219" spans="1:1">
      <c r="A219" t="s">
        <v>1908</v>
      </c>
    </row>
    <row r="220" spans="1:1">
      <c r="A220" t="s">
        <v>1897</v>
      </c>
    </row>
    <row r="221" spans="1:1">
      <c r="A221" t="s">
        <v>1889</v>
      </c>
    </row>
    <row r="222" spans="1:1">
      <c r="A222" t="s">
        <v>1898</v>
      </c>
    </row>
    <row r="223" spans="1:1">
      <c r="A223" t="s">
        <v>1877</v>
      </c>
    </row>
    <row r="224" spans="1:1">
      <c r="A224" t="s">
        <v>1875</v>
      </c>
    </row>
    <row r="225" spans="1:1">
      <c r="A225" t="s">
        <v>1847</v>
      </c>
    </row>
    <row r="226" spans="1:1">
      <c r="A226" t="s">
        <v>1802</v>
      </c>
    </row>
    <row r="227" spans="1:1">
      <c r="A227" t="s">
        <v>2986</v>
      </c>
    </row>
    <row r="228" spans="1:1">
      <c r="A228" t="s">
        <v>2987</v>
      </c>
    </row>
    <row r="229" spans="1:1">
      <c r="A229" t="s">
        <v>1830</v>
      </c>
    </row>
    <row r="230" spans="1:1">
      <c r="A230" t="s">
        <v>1893</v>
      </c>
    </row>
    <row r="231" spans="1:1">
      <c r="A231" t="s">
        <v>1899</v>
      </c>
    </row>
    <row r="232" spans="1:1">
      <c r="A232" t="s">
        <v>1863</v>
      </c>
    </row>
    <row r="233" spans="1:1">
      <c r="A233" t="s">
        <v>1887</v>
      </c>
    </row>
    <row r="234" spans="1:1">
      <c r="A234" t="s">
        <v>1890</v>
      </c>
    </row>
    <row r="235" spans="1:1">
      <c r="A235" t="s">
        <v>1867</v>
      </c>
    </row>
    <row r="236" spans="1:1">
      <c r="A236" t="s">
        <v>1888</v>
      </c>
    </row>
    <row r="237" spans="1:1">
      <c r="A237" t="s">
        <v>1910</v>
      </c>
    </row>
    <row r="238" spans="1:1">
      <c r="A238" t="s">
        <v>1712</v>
      </c>
    </row>
    <row r="239" spans="1:1">
      <c r="A239" t="s">
        <v>1742</v>
      </c>
    </row>
    <row r="240" spans="1:1">
      <c r="A240" t="s">
        <v>1976</v>
      </c>
    </row>
    <row r="241" spans="1:1">
      <c r="A241" t="s">
        <v>1938</v>
      </c>
    </row>
    <row r="242" spans="1:1">
      <c r="A242" t="s">
        <v>1857</v>
      </c>
    </row>
    <row r="243" spans="1:1">
      <c r="A243" t="s">
        <v>2988</v>
      </c>
    </row>
    <row r="244" spans="1:1">
      <c r="A244" t="s">
        <v>1943</v>
      </c>
    </row>
    <row r="245" spans="1:1">
      <c r="A245" t="s">
        <v>1858</v>
      </c>
    </row>
    <row r="246" spans="1:1">
      <c r="A246" t="s">
        <v>2989</v>
      </c>
    </row>
    <row r="247" spans="1:1">
      <c r="A247" t="s">
        <v>1944</v>
      </c>
    </row>
    <row r="248" spans="1:1">
      <c r="A248" t="s">
        <v>1971</v>
      </c>
    </row>
    <row r="249" spans="1:1">
      <c r="A249" t="s">
        <v>1939</v>
      </c>
    </row>
    <row r="250" spans="1:1">
      <c r="A250" t="s">
        <v>2014</v>
      </c>
    </row>
    <row r="251" spans="1:1">
      <c r="A251" t="s">
        <v>1746</v>
      </c>
    </row>
    <row r="252" spans="1:1">
      <c r="A252" t="s">
        <v>1931</v>
      </c>
    </row>
    <row r="253" spans="1:1">
      <c r="A253" t="s">
        <v>1753</v>
      </c>
    </row>
    <row r="254" spans="1:1">
      <c r="A254" t="s">
        <v>1930</v>
      </c>
    </row>
    <row r="255" spans="1:1">
      <c r="A255" t="s">
        <v>1903</v>
      </c>
    </row>
    <row r="256" spans="1:1">
      <c r="A256" t="s">
        <v>1862</v>
      </c>
    </row>
    <row r="257" spans="1:1">
      <c r="A257" t="s">
        <v>2990</v>
      </c>
    </row>
    <row r="258" spans="1:1">
      <c r="A258" t="s">
        <v>2031</v>
      </c>
    </row>
    <row r="259" spans="1:1">
      <c r="A259" t="s">
        <v>1940</v>
      </c>
    </row>
    <row r="260" spans="1:1">
      <c r="A260" t="s">
        <v>1902</v>
      </c>
    </row>
    <row r="261" spans="1:1">
      <c r="A261" t="s">
        <v>1831</v>
      </c>
    </row>
    <row r="262" spans="1:1">
      <c r="A262" t="s">
        <v>1941</v>
      </c>
    </row>
    <row r="263" spans="1:1">
      <c r="A263" t="s">
        <v>1935</v>
      </c>
    </row>
    <row r="264" spans="1:1">
      <c r="A264" t="s">
        <v>1973</v>
      </c>
    </row>
    <row r="265" spans="1:1">
      <c r="A265" t="s">
        <v>2047</v>
      </c>
    </row>
    <row r="266" spans="1:1">
      <c r="A266" t="s">
        <v>1974</v>
      </c>
    </row>
    <row r="267" spans="1:1">
      <c r="A267" t="s">
        <v>1998</v>
      </c>
    </row>
    <row r="268" spans="1:1">
      <c r="A268" t="s">
        <v>1904</v>
      </c>
    </row>
    <row r="269" spans="1:1">
      <c r="A269" t="s">
        <v>2991</v>
      </c>
    </row>
    <row r="270" spans="1:1">
      <c r="A270" t="s">
        <v>2992</v>
      </c>
    </row>
    <row r="271" spans="1:1">
      <c r="A271" t="s">
        <v>2993</v>
      </c>
    </row>
    <row r="272" spans="1:1">
      <c r="A272" t="s">
        <v>1963</v>
      </c>
    </row>
    <row r="273" spans="1:1">
      <c r="A273" t="s">
        <v>1956</v>
      </c>
    </row>
    <row r="274" spans="1:1">
      <c r="A274" t="s">
        <v>1936</v>
      </c>
    </row>
    <row r="275" spans="1:1">
      <c r="A275" t="s">
        <v>1937</v>
      </c>
    </row>
    <row r="276" spans="1:1">
      <c r="A276" t="s">
        <v>2002</v>
      </c>
    </row>
    <row r="277" spans="1:1">
      <c r="A277" t="s">
        <v>1947</v>
      </c>
    </row>
    <row r="278" spans="1:1">
      <c r="A278" t="s">
        <v>1756</v>
      </c>
    </row>
    <row r="279" spans="1:1">
      <c r="A279" t="s">
        <v>2994</v>
      </c>
    </row>
    <row r="280" spans="1:1">
      <c r="A280" t="s">
        <v>2995</v>
      </c>
    </row>
    <row r="281" spans="1:1">
      <c r="A281" t="s">
        <v>1989</v>
      </c>
    </row>
    <row r="282" spans="1:1">
      <c r="A282" t="s">
        <v>2088</v>
      </c>
    </row>
    <row r="283" spans="1:1">
      <c r="A283" t="s">
        <v>1772</v>
      </c>
    </row>
    <row r="284" spans="1:1">
      <c r="A284" t="s">
        <v>2073</v>
      </c>
    </row>
    <row r="285" spans="1:1">
      <c r="A285" t="s">
        <v>1966</v>
      </c>
    </row>
    <row r="286" spans="1:1">
      <c r="A286" t="s">
        <v>2017</v>
      </c>
    </row>
    <row r="287" spans="1:1">
      <c r="A287" t="s">
        <v>2018</v>
      </c>
    </row>
    <row r="288" spans="1:1">
      <c r="A288" t="s">
        <v>1933</v>
      </c>
    </row>
    <row r="289" spans="1:1">
      <c r="A289" t="s">
        <v>1934</v>
      </c>
    </row>
    <row r="290" spans="1:1">
      <c r="A290" t="s">
        <v>2048</v>
      </c>
    </row>
    <row r="291" spans="1:1">
      <c r="A291" t="s">
        <v>2087</v>
      </c>
    </row>
    <row r="292" spans="1:1">
      <c r="A292" t="s">
        <v>2072</v>
      </c>
    </row>
    <row r="293" spans="1:1">
      <c r="A293" t="s">
        <v>1992</v>
      </c>
    </row>
    <row r="294" spans="1:1">
      <c r="A294" t="s">
        <v>2035</v>
      </c>
    </row>
    <row r="295" spans="1:1">
      <c r="A295" t="s">
        <v>2071</v>
      </c>
    </row>
    <row r="296" spans="1:1">
      <c r="A296" t="s">
        <v>1990</v>
      </c>
    </row>
    <row r="297" spans="1:1">
      <c r="A297" t="s">
        <v>2034</v>
      </c>
    </row>
    <row r="298" spans="1:1">
      <c r="A298" t="s">
        <v>2033</v>
      </c>
    </row>
    <row r="299" spans="1:1">
      <c r="A299" t="s">
        <v>1991</v>
      </c>
    </row>
    <row r="300" spans="1:1">
      <c r="A300" t="s">
        <v>2085</v>
      </c>
    </row>
    <row r="301" spans="1:1">
      <c r="A301" t="s">
        <v>1942</v>
      </c>
    </row>
    <row r="302" spans="1:1">
      <c r="A302" t="s">
        <v>1999</v>
      </c>
    </row>
    <row r="303" spans="1:1">
      <c r="A303" t="s">
        <v>1968</v>
      </c>
    </row>
    <row r="304" spans="1:1">
      <c r="A304" t="s">
        <v>1980</v>
      </c>
    </row>
    <row r="305" spans="1:1">
      <c r="A305" t="s">
        <v>3000</v>
      </c>
    </row>
    <row r="306" spans="1:1">
      <c r="A306" t="s">
        <v>1954</v>
      </c>
    </row>
    <row r="307" spans="1:1">
      <c r="A307" t="s">
        <v>3001</v>
      </c>
    </row>
    <row r="308" spans="1:1">
      <c r="A308" t="s">
        <v>1912</v>
      </c>
    </row>
    <row r="309" spans="1:1">
      <c r="A309" t="s">
        <v>1972</v>
      </c>
    </row>
    <row r="310" spans="1:1">
      <c r="A310" t="s">
        <v>1960</v>
      </c>
    </row>
    <row r="311" spans="1:1">
      <c r="A311" t="s">
        <v>1959</v>
      </c>
    </row>
    <row r="312" spans="1:1">
      <c r="A312" t="s">
        <v>2042</v>
      </c>
    </row>
    <row r="313" spans="1:1">
      <c r="A313" t="s">
        <v>2043</v>
      </c>
    </row>
    <row r="314" spans="1:1">
      <c r="A314" t="s">
        <v>2084</v>
      </c>
    </row>
    <row r="315" spans="1:1">
      <c r="A315" t="s">
        <v>2083</v>
      </c>
    </row>
    <row r="316" spans="1:1">
      <c r="A316" t="s">
        <v>1876</v>
      </c>
    </row>
    <row r="317" spans="1:1">
      <c r="A317" t="s">
        <v>2007</v>
      </c>
    </row>
    <row r="318" spans="1:1">
      <c r="A318" t="s">
        <v>2056</v>
      </c>
    </row>
    <row r="319" spans="1:1">
      <c r="A319" t="s">
        <v>2000</v>
      </c>
    </row>
    <row r="320" spans="1:1">
      <c r="A320" t="s">
        <v>2008</v>
      </c>
    </row>
    <row r="321" spans="1:1">
      <c r="A321" t="s">
        <v>2005</v>
      </c>
    </row>
    <row r="322" spans="1:1">
      <c r="A322" t="s">
        <v>3002</v>
      </c>
    </row>
    <row r="323" spans="1:1">
      <c r="A323" t="s">
        <v>1913</v>
      </c>
    </row>
    <row r="324" spans="1:1">
      <c r="A324" t="s">
        <v>3003</v>
      </c>
    </row>
    <row r="325" spans="1:1">
      <c r="A325" t="s">
        <v>2029</v>
      </c>
    </row>
    <row r="326" spans="1:1">
      <c r="A326" t="s">
        <v>1986</v>
      </c>
    </row>
    <row r="327" spans="1:1">
      <c r="A327" t="s">
        <v>1985</v>
      </c>
    </row>
    <row r="328" spans="1:1">
      <c r="A328" t="s">
        <v>1984</v>
      </c>
    </row>
    <row r="329" spans="1:1">
      <c r="A329" t="s">
        <v>1969</v>
      </c>
    </row>
    <row r="330" spans="1:1">
      <c r="A330" t="s">
        <v>1970</v>
      </c>
    </row>
    <row r="331" spans="1:1">
      <c r="A331" t="s">
        <v>1987</v>
      </c>
    </row>
    <row r="332" spans="1:1">
      <c r="A332" t="s">
        <v>1955</v>
      </c>
    </row>
    <row r="333" spans="1:1">
      <c r="A333" t="s">
        <v>3004</v>
      </c>
    </row>
    <row r="334" spans="1:1">
      <c r="A334" t="s">
        <v>3005</v>
      </c>
    </row>
    <row r="335" spans="1:1">
      <c r="A335" t="s">
        <v>2003</v>
      </c>
    </row>
    <row r="336" spans="1:1">
      <c r="A336" t="s">
        <v>2013</v>
      </c>
    </row>
    <row r="337" spans="1:1">
      <c r="A337" t="s">
        <v>1967</v>
      </c>
    </row>
    <row r="338" spans="1:1">
      <c r="A338" t="s">
        <v>1964</v>
      </c>
    </row>
    <row r="339" spans="1:1">
      <c r="A339" t="s">
        <v>3006</v>
      </c>
    </row>
    <row r="340" spans="1:1">
      <c r="A340" t="s">
        <v>3007</v>
      </c>
    </row>
    <row r="341" spans="1:1">
      <c r="A341" t="s">
        <v>1957</v>
      </c>
    </row>
    <row r="342" spans="1:1">
      <c r="A342" t="s">
        <v>3008</v>
      </c>
    </row>
    <row r="343" spans="1:1">
      <c r="A343" t="s">
        <v>2032</v>
      </c>
    </row>
    <row r="344" spans="1:1">
      <c r="A344" t="s">
        <v>2051</v>
      </c>
    </row>
    <row r="345" spans="1:1">
      <c r="A345" t="s">
        <v>1988</v>
      </c>
    </row>
    <row r="346" spans="1:1">
      <c r="A346" t="s">
        <v>1965</v>
      </c>
    </row>
    <row r="347" spans="1:1">
      <c r="A347" t="s">
        <v>2006</v>
      </c>
    </row>
    <row r="348" spans="1:1">
      <c r="A348" t="s">
        <v>2044</v>
      </c>
    </row>
    <row r="349" spans="1:1">
      <c r="A349" t="s">
        <v>2052</v>
      </c>
    </row>
    <row r="350" spans="1:1">
      <c r="A350" t="s">
        <v>2026</v>
      </c>
    </row>
    <row r="351" spans="1:1">
      <c r="A351" t="s">
        <v>2027</v>
      </c>
    </row>
    <row r="352" spans="1:1">
      <c r="A352" t="s">
        <v>1949</v>
      </c>
    </row>
    <row r="353" spans="1:1">
      <c r="A353" t="s">
        <v>1948</v>
      </c>
    </row>
    <row r="354" spans="1:1">
      <c r="A354" t="s">
        <v>3010</v>
      </c>
    </row>
    <row r="355" spans="1:1">
      <c r="A355" t="s">
        <v>1978</v>
      </c>
    </row>
    <row r="356" spans="1:1">
      <c r="A356" t="s">
        <v>1977</v>
      </c>
    </row>
    <row r="357" spans="1:1">
      <c r="A357" t="s">
        <v>1975</v>
      </c>
    </row>
    <row r="358" spans="1:1">
      <c r="A358" t="s">
        <v>1979</v>
      </c>
    </row>
    <row r="359" spans="1:1">
      <c r="A359" t="s">
        <v>2021</v>
      </c>
    </row>
    <row r="360" spans="1:1">
      <c r="A360" t="s">
        <v>3011</v>
      </c>
    </row>
    <row r="361" spans="1:1">
      <c r="A361" t="s">
        <v>2016</v>
      </c>
    </row>
    <row r="362" spans="1:1">
      <c r="A362" t="s">
        <v>2015</v>
      </c>
    </row>
    <row r="363" spans="1:1">
      <c r="A363" t="s">
        <v>3012</v>
      </c>
    </row>
    <row r="364" spans="1:1">
      <c r="A364" t="s">
        <v>2009</v>
      </c>
    </row>
    <row r="365" spans="1:1">
      <c r="A365" t="s">
        <v>2012</v>
      </c>
    </row>
    <row r="366" spans="1:1">
      <c r="A366" t="s">
        <v>1891</v>
      </c>
    </row>
    <row r="367" spans="1:1">
      <c r="A367" t="s">
        <v>2057</v>
      </c>
    </row>
    <row r="368" spans="1:1">
      <c r="A368" t="s">
        <v>3013</v>
      </c>
    </row>
    <row r="369" spans="1:1">
      <c r="A369" t="s">
        <v>2046</v>
      </c>
    </row>
    <row r="370" spans="1:1">
      <c r="A370" t="s">
        <v>2010</v>
      </c>
    </row>
    <row r="371" spans="1:1">
      <c r="A371" t="s">
        <v>2045</v>
      </c>
    </row>
    <row r="372" spans="1:1">
      <c r="A372" t="s">
        <v>2054</v>
      </c>
    </row>
    <row r="373" spans="1:1">
      <c r="A373" t="s">
        <v>2059</v>
      </c>
    </row>
    <row r="374" spans="1:1">
      <c r="A374" t="s">
        <v>1983</v>
      </c>
    </row>
    <row r="375" spans="1:1">
      <c r="A375" t="s">
        <v>1950</v>
      </c>
    </row>
    <row r="376" spans="1:1">
      <c r="A376" t="s">
        <v>2055</v>
      </c>
    </row>
    <row r="377" spans="1:1">
      <c r="A377" t="s">
        <v>1951</v>
      </c>
    </row>
    <row r="378" spans="1:1">
      <c r="A378" t="s">
        <v>2022</v>
      </c>
    </row>
    <row r="379" spans="1:1">
      <c r="A379" t="s">
        <v>2037</v>
      </c>
    </row>
    <row r="380" spans="1:1">
      <c r="A380" t="s">
        <v>2067</v>
      </c>
    </row>
    <row r="381" spans="1:1">
      <c r="A381" t="s">
        <v>2066</v>
      </c>
    </row>
    <row r="382" spans="1:1">
      <c r="A382" t="s">
        <v>2038</v>
      </c>
    </row>
    <row r="383" spans="1:1">
      <c r="A383" t="s">
        <v>2001</v>
      </c>
    </row>
    <row r="384" spans="1:1">
      <c r="A384" t="s">
        <v>2060</v>
      </c>
    </row>
    <row r="385" spans="1:1">
      <c r="A385" t="s">
        <v>2061</v>
      </c>
    </row>
    <row r="386" spans="1:1">
      <c r="A386" t="s">
        <v>2062</v>
      </c>
    </row>
    <row r="387" spans="1:1">
      <c r="A387" t="s">
        <v>2039</v>
      </c>
    </row>
    <row r="388" spans="1:1">
      <c r="A388" t="s">
        <v>3014</v>
      </c>
    </row>
    <row r="389" spans="1:1">
      <c r="A389" t="s">
        <v>2004</v>
      </c>
    </row>
    <row r="390" spans="1:1">
      <c r="A390" t="s">
        <v>2053</v>
      </c>
    </row>
    <row r="391" spans="1:1">
      <c r="A391" t="s">
        <v>2065</v>
      </c>
    </row>
    <row r="392" spans="1:1">
      <c r="A392" t="s">
        <v>2023</v>
      </c>
    </row>
    <row r="393" spans="1:1">
      <c r="A393" t="s">
        <v>3015</v>
      </c>
    </row>
    <row r="394" spans="1:1">
      <c r="A394" t="s">
        <v>3016</v>
      </c>
    </row>
    <row r="395" spans="1:1">
      <c r="A395" t="s">
        <v>2011</v>
      </c>
    </row>
    <row r="396" spans="1:1">
      <c r="A396" t="s">
        <v>2019</v>
      </c>
    </row>
    <row r="397" spans="1:1">
      <c r="A397" t="s">
        <v>2020</v>
      </c>
    </row>
    <row r="398" spans="1:1">
      <c r="A398" t="s">
        <v>2024</v>
      </c>
    </row>
    <row r="399" spans="1:1">
      <c r="A399" t="s">
        <v>2058</v>
      </c>
    </row>
    <row r="400" spans="1:1">
      <c r="A400" t="s">
        <v>2040</v>
      </c>
    </row>
    <row r="401" spans="1:1">
      <c r="A401" t="s">
        <v>3017</v>
      </c>
    </row>
    <row r="402" spans="1:1">
      <c r="A402" t="s">
        <v>1961</v>
      </c>
    </row>
    <row r="403" spans="1:1">
      <c r="A403" t="s">
        <v>3018</v>
      </c>
    </row>
    <row r="404" spans="1:1">
      <c r="A404" t="s">
        <v>2025</v>
      </c>
    </row>
    <row r="405" spans="1:1">
      <c r="A405" t="s">
        <v>3019</v>
      </c>
    </row>
    <row r="406" spans="1:1">
      <c r="A406" t="s">
        <v>2030</v>
      </c>
    </row>
    <row r="407" spans="1:1">
      <c r="A407" t="s">
        <v>2077</v>
      </c>
    </row>
    <row r="408" spans="1:1">
      <c r="A408" t="s">
        <v>2076</v>
      </c>
    </row>
    <row r="409" spans="1:1">
      <c r="A409" t="s">
        <v>3020</v>
      </c>
    </row>
    <row r="410" spans="1:1">
      <c r="A410" t="s">
        <v>3021</v>
      </c>
    </row>
    <row r="411" spans="1:1">
      <c r="A411" t="s">
        <v>3022</v>
      </c>
    </row>
    <row r="412" spans="1:1">
      <c r="A412" t="s">
        <v>3023</v>
      </c>
    </row>
    <row r="413" spans="1:1">
      <c r="A413" t="s">
        <v>3024</v>
      </c>
    </row>
    <row r="414" spans="1:1">
      <c r="A414" t="s">
        <v>3025</v>
      </c>
    </row>
    <row r="415" spans="1:1">
      <c r="A415" t="s">
        <v>3026</v>
      </c>
    </row>
    <row r="416" spans="1:1">
      <c r="A416" t="s">
        <v>3027</v>
      </c>
    </row>
    <row r="417" spans="1:1">
      <c r="A417" t="s">
        <v>3028</v>
      </c>
    </row>
    <row r="418" spans="1:1">
      <c r="A418" t="s">
        <v>3029</v>
      </c>
    </row>
    <row r="419" spans="1:1">
      <c r="A419" t="s">
        <v>3030</v>
      </c>
    </row>
    <row r="420" spans="1:1">
      <c r="A420" t="s">
        <v>3031</v>
      </c>
    </row>
    <row r="421" spans="1:1">
      <c r="A421" t="s">
        <v>3032</v>
      </c>
    </row>
    <row r="422" spans="1:1">
      <c r="A422" t="s">
        <v>3033</v>
      </c>
    </row>
    <row r="423" spans="1:1">
      <c r="A423" t="s">
        <v>3034</v>
      </c>
    </row>
    <row r="424" spans="1:1">
      <c r="A424" t="s">
        <v>3035</v>
      </c>
    </row>
    <row r="425" spans="1:1">
      <c r="A425" t="s">
        <v>3036</v>
      </c>
    </row>
    <row r="426" spans="1:1">
      <c r="A426" t="s">
        <v>3037</v>
      </c>
    </row>
    <row r="427" spans="1:1">
      <c r="A427" t="s">
        <v>3038</v>
      </c>
    </row>
    <row r="428" spans="1:1">
      <c r="A428" t="s">
        <v>2068</v>
      </c>
    </row>
    <row r="429" spans="1:1">
      <c r="A429" t="s">
        <v>2079</v>
      </c>
    </row>
    <row r="430" spans="1:1">
      <c r="A430" t="s">
        <v>2078</v>
      </c>
    </row>
    <row r="431" spans="1:1">
      <c r="A431" t="s">
        <v>3039</v>
      </c>
    </row>
    <row r="432" spans="1:1">
      <c r="A432" t="s">
        <v>3040</v>
      </c>
    </row>
    <row r="433" spans="1:1">
      <c r="A433" t="s">
        <v>3041</v>
      </c>
    </row>
    <row r="434" spans="1:1">
      <c r="A434" t="s">
        <v>3042</v>
      </c>
    </row>
    <row r="435" spans="1:1">
      <c r="A435" t="s">
        <v>3043</v>
      </c>
    </row>
    <row r="436" spans="1:1">
      <c r="A436" t="s">
        <v>3044</v>
      </c>
    </row>
    <row r="437" spans="1:1">
      <c r="A437" t="s">
        <v>3045</v>
      </c>
    </row>
    <row r="438" spans="1:1">
      <c r="A438" t="s">
        <v>3046</v>
      </c>
    </row>
    <row r="439" spans="1:1">
      <c r="A439" t="s">
        <v>3047</v>
      </c>
    </row>
    <row r="440" spans="1:1">
      <c r="A440" t="s">
        <v>3048</v>
      </c>
    </row>
    <row r="441" spans="1:1">
      <c r="A441" t="s">
        <v>3049</v>
      </c>
    </row>
    <row r="442" spans="1:1">
      <c r="A442" t="s">
        <v>3050</v>
      </c>
    </row>
    <row r="443" spans="1:1">
      <c r="A443" t="s">
        <v>3051</v>
      </c>
    </row>
    <row r="444" spans="1:1">
      <c r="A444" t="s">
        <v>3052</v>
      </c>
    </row>
    <row r="445" spans="1:1">
      <c r="A445" t="s">
        <v>3053</v>
      </c>
    </row>
    <row r="446" spans="1:1">
      <c r="A446" t="s">
        <v>3054</v>
      </c>
    </row>
    <row r="447" spans="1:1">
      <c r="A447" t="s">
        <v>3055</v>
      </c>
    </row>
    <row r="448" spans="1:1">
      <c r="A448" t="s">
        <v>3056</v>
      </c>
    </row>
    <row r="449" spans="1:1">
      <c r="A449" t="s">
        <v>3057</v>
      </c>
    </row>
    <row r="450" spans="1:1">
      <c r="A450" t="s">
        <v>3058</v>
      </c>
    </row>
    <row r="451" spans="1:1">
      <c r="A451" t="s">
        <v>3059</v>
      </c>
    </row>
    <row r="452" spans="1:1">
      <c r="A452" t="s">
        <v>3060</v>
      </c>
    </row>
    <row r="453" spans="1:1">
      <c r="A453" t="s">
        <v>3061</v>
      </c>
    </row>
    <row r="454" spans="1:1">
      <c r="A454" t="s">
        <v>3062</v>
      </c>
    </row>
    <row r="455" spans="1:1">
      <c r="A455" t="s">
        <v>3063</v>
      </c>
    </row>
    <row r="456" spans="1:1">
      <c r="A456" t="s">
        <v>3064</v>
      </c>
    </row>
    <row r="457" spans="1:1">
      <c r="A457" t="s">
        <v>3065</v>
      </c>
    </row>
    <row r="458" spans="1:1">
      <c r="A458" t="s">
        <v>2063</v>
      </c>
    </row>
    <row r="459" spans="1:1">
      <c r="A459" t="s">
        <v>3066</v>
      </c>
    </row>
    <row r="460" spans="1:1">
      <c r="A460" t="s">
        <v>3067</v>
      </c>
    </row>
    <row r="461" spans="1:1">
      <c r="A461" t="s">
        <v>3068</v>
      </c>
    </row>
    <row r="462" spans="1:1">
      <c r="A462" t="s">
        <v>3069</v>
      </c>
    </row>
    <row r="463" spans="1:1">
      <c r="A463" t="s">
        <v>3070</v>
      </c>
    </row>
    <row r="464" spans="1:1">
      <c r="A464" t="s">
        <v>3071</v>
      </c>
    </row>
    <row r="465" spans="1:1">
      <c r="A465" t="s">
        <v>3072</v>
      </c>
    </row>
    <row r="466" spans="1:1">
      <c r="A466" t="s">
        <v>3073</v>
      </c>
    </row>
    <row r="467" spans="1:1">
      <c r="A467" t="s">
        <v>3074</v>
      </c>
    </row>
    <row r="468" spans="1:1">
      <c r="A468" t="s">
        <v>3075</v>
      </c>
    </row>
    <row r="469" spans="1:1">
      <c r="A469" t="s">
        <v>3076</v>
      </c>
    </row>
    <row r="470" spans="1:1">
      <c r="A470" t="s">
        <v>2082</v>
      </c>
    </row>
    <row r="471" spans="1:1">
      <c r="A471" t="s">
        <v>3100</v>
      </c>
    </row>
    <row r="472" spans="1:1">
      <c r="A472" t="s">
        <v>3101</v>
      </c>
    </row>
    <row r="473" spans="1:1">
      <c r="A473" t="s">
        <v>3102</v>
      </c>
    </row>
    <row r="474" spans="1:1">
      <c r="A474" t="s">
        <v>3103</v>
      </c>
    </row>
    <row r="475" spans="1:1">
      <c r="A475" t="s">
        <v>3104</v>
      </c>
    </row>
    <row r="476" spans="1:1">
      <c r="A476" t="s">
        <v>3105</v>
      </c>
    </row>
    <row r="477" spans="1:1">
      <c r="A477" t="s">
        <v>3106</v>
      </c>
    </row>
    <row r="478" spans="1:1">
      <c r="A478" t="s">
        <v>3107</v>
      </c>
    </row>
    <row r="479" spans="1:1">
      <c r="A479" t="s">
        <v>3115</v>
      </c>
    </row>
    <row r="480" spans="1:1">
      <c r="A480" t="s">
        <v>3116</v>
      </c>
    </row>
    <row r="481" spans="1:1">
      <c r="A481" t="s">
        <v>3117</v>
      </c>
    </row>
    <row r="482" spans="1:1">
      <c r="A482" t="s">
        <v>3118</v>
      </c>
    </row>
    <row r="483" spans="1:1">
      <c r="A483" t="s">
        <v>3119</v>
      </c>
    </row>
    <row r="484" spans="1:1">
      <c r="A484" t="s">
        <v>3120</v>
      </c>
    </row>
    <row r="485" spans="1:1">
      <c r="A485" t="s">
        <v>3121</v>
      </c>
    </row>
    <row r="486" spans="1:1">
      <c r="A486" t="s">
        <v>3122</v>
      </c>
    </row>
    <row r="487" spans="1:1">
      <c r="A487" t="s">
        <v>3123</v>
      </c>
    </row>
    <row r="488" spans="1:1">
      <c r="A488" t="s">
        <v>3124</v>
      </c>
    </row>
    <row r="489" spans="1:1">
      <c r="A489" t="s">
        <v>3135</v>
      </c>
    </row>
    <row r="490" spans="1:1">
      <c r="A490" t="s">
        <v>3136</v>
      </c>
    </row>
    <row r="491" spans="1:1">
      <c r="A491" t="s">
        <v>3137</v>
      </c>
    </row>
    <row r="492" spans="1:1">
      <c r="A492" t="s">
        <v>3138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2841</v>
      </c>
      <c r="G1" s="25" t="s">
        <v>2110</v>
      </c>
      <c r="H1" t="s">
        <v>3160</v>
      </c>
      <c r="I1" s="26" t="str">
        <f>"id : "&amp;J1</f>
        <v>id : 401</v>
      </c>
      <c r="J1" s="27">
        <v>401</v>
      </c>
      <c r="K1" s="27" t="str">
        <f>"Gender : "&amp;L1</f>
        <v>Gender : Mens</v>
      </c>
      <c r="L1" s="32" t="s">
        <v>2329</v>
      </c>
      <c r="N1">
        <v>542</v>
      </c>
      <c r="O1" t="s">
        <v>496</v>
      </c>
      <c r="P1" t="s">
        <v>488</v>
      </c>
      <c r="Q1" t="s">
        <v>1582</v>
      </c>
      <c r="R1" t="s">
        <v>2326</v>
      </c>
      <c r="S1">
        <v>2021</v>
      </c>
      <c r="T1" t="s">
        <v>2329</v>
      </c>
      <c r="U1" t="s">
        <v>2330</v>
      </c>
      <c r="V1" t="s">
        <v>2331</v>
      </c>
      <c r="W1" t="s">
        <v>2319</v>
      </c>
      <c r="Y1" t="s">
        <v>2334</v>
      </c>
      <c r="AA1" t="s">
        <v>3315</v>
      </c>
      <c r="AB1" t="s">
        <v>3316</v>
      </c>
      <c r="AC1" t="s">
        <v>3317</v>
      </c>
      <c r="AD1" t="s">
        <v>3340</v>
      </c>
      <c r="AE1" t="s">
        <v>3329</v>
      </c>
      <c r="AF1" t="s">
        <v>3330</v>
      </c>
      <c r="AG1" t="s">
        <v>3335</v>
      </c>
      <c r="AH1" t="s">
        <v>3358</v>
      </c>
      <c r="AI1" t="s">
        <v>3363</v>
      </c>
    </row>
    <row r="2" spans="1:35">
      <c r="A2" t="s">
        <v>2090</v>
      </c>
      <c r="B2" t="s">
        <v>4239</v>
      </c>
      <c r="C2" t="s">
        <v>2321</v>
      </c>
      <c r="D2" t="s">
        <v>2098</v>
      </c>
      <c r="E2" t="s">
        <v>3162</v>
      </c>
      <c r="F2" t="s">
        <v>2247</v>
      </c>
      <c r="G2" t="s">
        <v>4246</v>
      </c>
      <c r="H2">
        <v>2019</v>
      </c>
      <c r="I2" s="28" t="str">
        <f>"Indent No.: "&amp;J2</f>
        <v>Indent No.: DHGI-2171</v>
      </c>
      <c r="J2" s="29" t="s">
        <v>931</v>
      </c>
      <c r="K2" s="29" t="str">
        <f>"Fabric Type : "&amp;L2</f>
        <v>Fabric Type : Woven</v>
      </c>
      <c r="L2" s="33" t="s">
        <v>2330</v>
      </c>
      <c r="N2">
        <v>543</v>
      </c>
      <c r="O2" t="s">
        <v>582</v>
      </c>
      <c r="P2" t="s">
        <v>488</v>
      </c>
      <c r="Q2" t="s">
        <v>1689</v>
      </c>
      <c r="R2" t="s">
        <v>2326</v>
      </c>
      <c r="S2">
        <v>2021</v>
      </c>
      <c r="T2" t="s">
        <v>2328</v>
      </c>
      <c r="U2" t="s">
        <v>2330</v>
      </c>
      <c r="V2" t="s">
        <v>2331</v>
      </c>
      <c r="W2" t="s">
        <v>2319</v>
      </c>
      <c r="Y2" t="s">
        <v>2333</v>
      </c>
      <c r="AB2" t="s">
        <v>3318</v>
      </c>
      <c r="AC2" t="s">
        <v>3327</v>
      </c>
      <c r="AD2" t="s">
        <v>3344</v>
      </c>
      <c r="AE2" t="s">
        <v>4160</v>
      </c>
      <c r="AF2" t="s">
        <v>3350</v>
      </c>
      <c r="AG2" t="s">
        <v>3353</v>
      </c>
    </row>
    <row r="3" spans="1:35">
      <c r="A3" t="s">
        <v>2091</v>
      </c>
      <c r="B3" t="s">
        <v>4240</v>
      </c>
      <c r="C3" t="s">
        <v>2322</v>
      </c>
      <c r="D3" t="s">
        <v>2099</v>
      </c>
      <c r="E3" t="s">
        <v>3163</v>
      </c>
      <c r="F3" t="s">
        <v>2248</v>
      </c>
      <c r="G3" t="s">
        <v>4247</v>
      </c>
      <c r="H3">
        <v>2020</v>
      </c>
      <c r="I3" s="28" t="str">
        <f>"Brand name : "&amp;J3</f>
        <v>Brand name : Lands End</v>
      </c>
      <c r="J3" s="29" t="s">
        <v>4278</v>
      </c>
      <c r="K3" s="29" t="str">
        <f>"Garment Type : "&amp;L3</f>
        <v>Garment Type : Swimwear</v>
      </c>
      <c r="L3" s="33" t="s">
        <v>3161</v>
      </c>
      <c r="N3">
        <v>544</v>
      </c>
      <c r="O3" t="s">
        <v>581</v>
      </c>
      <c r="P3" t="s">
        <v>488</v>
      </c>
      <c r="Q3" t="s">
        <v>1676</v>
      </c>
      <c r="R3" t="s">
        <v>2326</v>
      </c>
      <c r="S3">
        <v>2021</v>
      </c>
      <c r="T3" t="s">
        <v>2328</v>
      </c>
      <c r="U3" t="s">
        <v>2330</v>
      </c>
      <c r="V3" t="s">
        <v>2331</v>
      </c>
      <c r="W3" t="s">
        <v>2319</v>
      </c>
      <c r="Y3" t="s">
        <v>2333</v>
      </c>
      <c r="AA3" t="s">
        <v>2376</v>
      </c>
      <c r="AB3" t="s">
        <v>3319</v>
      </c>
      <c r="AC3" t="s">
        <v>3328</v>
      </c>
      <c r="AD3" t="s">
        <v>3345</v>
      </c>
      <c r="AE3" t="s">
        <v>3348</v>
      </c>
      <c r="AF3" t="s">
        <v>3351</v>
      </c>
      <c r="AG3" t="s">
        <v>3354</v>
      </c>
      <c r="AH3" t="s">
        <v>3359</v>
      </c>
      <c r="AI3" t="s">
        <v>3364</v>
      </c>
    </row>
    <row r="4" spans="1:35">
      <c r="B4" t="s">
        <v>2092</v>
      </c>
      <c r="C4" t="s">
        <v>2323</v>
      </c>
      <c r="D4" t="s">
        <v>2100</v>
      </c>
      <c r="F4" t="s">
        <v>2249</v>
      </c>
      <c r="G4" t="s">
        <v>2326</v>
      </c>
      <c r="H4">
        <v>2021</v>
      </c>
      <c r="I4" s="28" t="str">
        <f>"Design No.: "&amp;J4</f>
        <v>Design No.: 506896</v>
      </c>
      <c r="J4" s="29" t="s">
        <v>4404</v>
      </c>
      <c r="K4" s="29" t="str">
        <f>"Order Type : "&amp;L4</f>
        <v>Order Type : Bulk</v>
      </c>
      <c r="L4" s="33" t="s">
        <v>2840</v>
      </c>
      <c r="N4">
        <v>545</v>
      </c>
      <c r="O4" t="s">
        <v>532</v>
      </c>
      <c r="P4" t="s">
        <v>488</v>
      </c>
      <c r="Q4" t="s">
        <v>1603</v>
      </c>
      <c r="R4" t="s">
        <v>2326</v>
      </c>
      <c r="S4">
        <v>2021</v>
      </c>
      <c r="T4" t="s">
        <v>2328</v>
      </c>
      <c r="U4" t="s">
        <v>2330</v>
      </c>
      <c r="V4" t="s">
        <v>2331</v>
      </c>
      <c r="W4" t="s">
        <v>2319</v>
      </c>
      <c r="Y4" t="s">
        <v>2333</v>
      </c>
      <c r="AA4" t="s">
        <v>2377</v>
      </c>
      <c r="AB4" t="s">
        <v>3320</v>
      </c>
      <c r="AD4" t="s">
        <v>3343</v>
      </c>
      <c r="AF4" t="s">
        <v>3352</v>
      </c>
      <c r="AH4" t="s">
        <v>3361</v>
      </c>
      <c r="AI4" t="s">
        <v>3365</v>
      </c>
    </row>
    <row r="5" spans="1:35">
      <c r="B5" t="s">
        <v>2093</v>
      </c>
      <c r="C5" t="s">
        <v>2324</v>
      </c>
      <c r="D5" t="s">
        <v>2101</v>
      </c>
      <c r="F5" t="s">
        <v>2250</v>
      </c>
      <c r="G5" t="s">
        <v>4248</v>
      </c>
      <c r="H5">
        <v>2022</v>
      </c>
      <c r="I5" s="28" t="str">
        <f>"Season : "&amp;J5</f>
        <v>Season : SP</v>
      </c>
      <c r="J5" s="29" t="s">
        <v>4245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2326</v>
      </c>
      <c r="S5">
        <v>2021</v>
      </c>
      <c r="T5" t="s">
        <v>2320</v>
      </c>
      <c r="U5" t="s">
        <v>2330</v>
      </c>
      <c r="V5" t="s">
        <v>2331</v>
      </c>
      <c r="W5" t="s">
        <v>2319</v>
      </c>
      <c r="Y5" t="s">
        <v>2334</v>
      </c>
      <c r="AA5" t="s">
        <v>2378</v>
      </c>
      <c r="AB5" t="s">
        <v>3225</v>
      </c>
      <c r="AD5" t="s">
        <v>3347</v>
      </c>
      <c r="AH5" t="s">
        <v>3362</v>
      </c>
      <c r="AI5" t="s">
        <v>3366</v>
      </c>
    </row>
    <row r="6" spans="1:35" ht="13.5" thickBot="1">
      <c r="B6" t="s">
        <v>2094</v>
      </c>
      <c r="C6" t="s">
        <v>2325</v>
      </c>
      <c r="D6" t="s">
        <v>2102</v>
      </c>
      <c r="F6" t="s">
        <v>2251</v>
      </c>
      <c r="G6" t="s">
        <v>4249</v>
      </c>
      <c r="I6" s="30" t="str">
        <f>"Year : "&amp;J6</f>
        <v>Year : 2022</v>
      </c>
      <c r="J6" s="31">
        <v>2022</v>
      </c>
      <c r="K6" s="31" t="str">
        <f>"Manufacturer : "&amp;L6</f>
        <v>Manufacturer : Pt. Daehan Global (Sukabumi)</v>
      </c>
      <c r="L6" s="34" t="s">
        <v>2334</v>
      </c>
      <c r="N6">
        <v>547</v>
      </c>
      <c r="O6" t="s">
        <v>530</v>
      </c>
      <c r="P6" t="s">
        <v>488</v>
      </c>
      <c r="Q6" t="s">
        <v>1602</v>
      </c>
      <c r="R6" t="s">
        <v>2326</v>
      </c>
      <c r="S6">
        <v>2021</v>
      </c>
      <c r="T6" t="s">
        <v>2320</v>
      </c>
      <c r="U6" t="s">
        <v>2330</v>
      </c>
      <c r="V6" t="s">
        <v>2331</v>
      </c>
      <c r="W6" t="s">
        <v>2319</v>
      </c>
      <c r="Y6" t="s">
        <v>2332</v>
      </c>
      <c r="AA6" t="s">
        <v>2379</v>
      </c>
      <c r="AB6" t="s">
        <v>3321</v>
      </c>
      <c r="AD6" t="s">
        <v>2196</v>
      </c>
      <c r="AH6" t="s">
        <v>3360</v>
      </c>
    </row>
    <row r="7" spans="1:35">
      <c r="B7" t="s">
        <v>4241</v>
      </c>
      <c r="D7" t="s">
        <v>2103</v>
      </c>
      <c r="F7" t="s">
        <v>2252</v>
      </c>
      <c r="G7" t="s">
        <v>4245</v>
      </c>
      <c r="N7">
        <v>548</v>
      </c>
      <c r="O7" t="s">
        <v>529</v>
      </c>
      <c r="P7" t="s">
        <v>488</v>
      </c>
      <c r="Q7" t="s">
        <v>1601</v>
      </c>
      <c r="R7" t="s">
        <v>2326</v>
      </c>
      <c r="S7">
        <v>2021</v>
      </c>
      <c r="T7" t="s">
        <v>2320</v>
      </c>
      <c r="U7" t="s">
        <v>2330</v>
      </c>
      <c r="V7" t="s">
        <v>2331</v>
      </c>
      <c r="W7" t="s">
        <v>2319</v>
      </c>
      <c r="Y7" t="s">
        <v>2332</v>
      </c>
      <c r="AA7" t="s">
        <v>2380</v>
      </c>
      <c r="AB7" t="s">
        <v>3314</v>
      </c>
      <c r="AD7" t="s">
        <v>3342</v>
      </c>
    </row>
    <row r="8" spans="1:35">
      <c r="D8" t="s">
        <v>2104</v>
      </c>
      <c r="F8" t="s">
        <v>2253</v>
      </c>
      <c r="G8" t="s">
        <v>2327</v>
      </c>
      <c r="N8">
        <v>549</v>
      </c>
      <c r="O8" t="s">
        <v>730</v>
      </c>
      <c r="P8" t="s">
        <v>488</v>
      </c>
      <c r="Q8" t="s">
        <v>2335</v>
      </c>
      <c r="R8" t="s">
        <v>2326</v>
      </c>
      <c r="S8">
        <v>2021</v>
      </c>
      <c r="T8" t="s">
        <v>2329</v>
      </c>
      <c r="U8" t="s">
        <v>2330</v>
      </c>
      <c r="V8" t="s">
        <v>2331</v>
      </c>
      <c r="W8" t="s">
        <v>2319</v>
      </c>
      <c r="Y8" t="s">
        <v>2332</v>
      </c>
      <c r="AA8" t="s">
        <v>2381</v>
      </c>
      <c r="AB8" t="s">
        <v>3322</v>
      </c>
      <c r="AD8" t="s">
        <v>2324</v>
      </c>
    </row>
    <row r="9" spans="1:35">
      <c r="D9" t="s">
        <v>2105</v>
      </c>
      <c r="F9" t="s">
        <v>2254</v>
      </c>
      <c r="G9" t="s">
        <v>4250</v>
      </c>
      <c r="N9">
        <v>535</v>
      </c>
      <c r="O9" t="s">
        <v>2336</v>
      </c>
      <c r="P9" t="s">
        <v>488</v>
      </c>
      <c r="Q9" t="s">
        <v>1854</v>
      </c>
      <c r="R9" t="s">
        <v>2326</v>
      </c>
      <c r="S9">
        <v>2020</v>
      </c>
      <c r="T9" t="s">
        <v>2329</v>
      </c>
      <c r="U9" t="s">
        <v>2330</v>
      </c>
      <c r="V9" t="s">
        <v>2331</v>
      </c>
      <c r="W9" t="s">
        <v>2319</v>
      </c>
      <c r="Y9" t="s">
        <v>2332</v>
      </c>
      <c r="AA9" t="s">
        <v>2363</v>
      </c>
      <c r="AB9" t="s">
        <v>3323</v>
      </c>
      <c r="AD9" t="s">
        <v>3341</v>
      </c>
    </row>
    <row r="10" spans="1:35">
      <c r="D10" t="s">
        <v>2106</v>
      </c>
      <c r="F10" t="s">
        <v>2255</v>
      </c>
      <c r="N10">
        <v>536</v>
      </c>
      <c r="O10" t="s">
        <v>2337</v>
      </c>
      <c r="P10" t="s">
        <v>488</v>
      </c>
      <c r="Q10" t="s">
        <v>2338</v>
      </c>
      <c r="R10" t="s">
        <v>2326</v>
      </c>
      <c r="S10">
        <v>2020</v>
      </c>
      <c r="T10" t="s">
        <v>2320</v>
      </c>
      <c r="U10" t="s">
        <v>2330</v>
      </c>
      <c r="V10" t="s">
        <v>2331</v>
      </c>
      <c r="W10" t="s">
        <v>2319</v>
      </c>
      <c r="Y10" t="s">
        <v>2332</v>
      </c>
      <c r="AA10" t="s">
        <v>2382</v>
      </c>
      <c r="AB10" t="s">
        <v>3324</v>
      </c>
      <c r="AD10" t="s">
        <v>3346</v>
      </c>
    </row>
    <row r="11" spans="1:35">
      <c r="D11" t="s">
        <v>2107</v>
      </c>
      <c r="F11" t="s">
        <v>2256</v>
      </c>
      <c r="N11">
        <v>537</v>
      </c>
      <c r="O11" t="s">
        <v>2339</v>
      </c>
      <c r="P11" t="s">
        <v>488</v>
      </c>
      <c r="Q11" t="s">
        <v>2340</v>
      </c>
      <c r="R11" t="s">
        <v>2326</v>
      </c>
      <c r="S11">
        <v>2020</v>
      </c>
      <c r="T11" t="s">
        <v>2328</v>
      </c>
      <c r="U11" t="s">
        <v>2330</v>
      </c>
      <c r="V11" t="s">
        <v>2331</v>
      </c>
      <c r="W11" t="s">
        <v>2319</v>
      </c>
      <c r="Y11" t="s">
        <v>2332</v>
      </c>
      <c r="AA11" t="s">
        <v>2383</v>
      </c>
      <c r="AB11" t="s">
        <v>3325</v>
      </c>
    </row>
    <row r="12" spans="1:35">
      <c r="D12" t="s">
        <v>2108</v>
      </c>
      <c r="F12" t="s">
        <v>2257</v>
      </c>
      <c r="N12">
        <v>538</v>
      </c>
      <c r="O12" t="s">
        <v>2341</v>
      </c>
      <c r="P12" t="s">
        <v>488</v>
      </c>
      <c r="Q12" t="s">
        <v>2342</v>
      </c>
      <c r="R12" t="s">
        <v>2326</v>
      </c>
      <c r="S12">
        <v>2020</v>
      </c>
      <c r="T12" t="s">
        <v>2328</v>
      </c>
      <c r="U12" t="s">
        <v>2330</v>
      </c>
      <c r="V12" t="s">
        <v>2331</v>
      </c>
      <c r="W12" t="s">
        <v>2319</v>
      </c>
      <c r="Y12" t="s">
        <v>2332</v>
      </c>
      <c r="AA12" t="s">
        <v>2384</v>
      </c>
      <c r="AB12" t="s">
        <v>3326</v>
      </c>
    </row>
    <row r="13" spans="1:35">
      <c r="D13" t="s">
        <v>2109</v>
      </c>
      <c r="F13" t="s">
        <v>2258</v>
      </c>
      <c r="N13">
        <v>539</v>
      </c>
      <c r="O13" t="s">
        <v>2343</v>
      </c>
      <c r="P13" t="s">
        <v>488</v>
      </c>
      <c r="Q13" t="s">
        <v>2344</v>
      </c>
      <c r="R13" t="s">
        <v>2326</v>
      </c>
      <c r="S13">
        <v>2020</v>
      </c>
      <c r="T13" t="s">
        <v>2320</v>
      </c>
      <c r="U13" t="s">
        <v>2330</v>
      </c>
      <c r="V13" t="s">
        <v>2331</v>
      </c>
      <c r="W13" t="s">
        <v>2319</v>
      </c>
      <c r="Y13" t="s">
        <v>2334</v>
      </c>
      <c r="AA13" t="s">
        <v>2385</v>
      </c>
      <c r="AB13" t="s">
        <v>3318</v>
      </c>
    </row>
    <row r="14" spans="1:35">
      <c r="I14"/>
      <c r="J14"/>
      <c r="K14"/>
      <c r="L14"/>
      <c r="AA14" t="s">
        <v>2386</v>
      </c>
    </row>
    <row r="15" spans="1:35">
      <c r="I15"/>
      <c r="J15"/>
      <c r="K15"/>
      <c r="L15"/>
      <c r="AA15" t="s">
        <v>2387</v>
      </c>
    </row>
    <row r="16" spans="1:35">
      <c r="F16">
        <v>0</v>
      </c>
      <c r="I16"/>
      <c r="J16"/>
      <c r="K16"/>
      <c r="L16"/>
      <c r="AA16" t="s">
        <v>2388</v>
      </c>
    </row>
    <row r="17" spans="9:27">
      <c r="I17"/>
      <c r="J17"/>
      <c r="K17"/>
      <c r="L17"/>
      <c r="AA17" t="s">
        <v>2842</v>
      </c>
    </row>
    <row r="18" spans="9:27">
      <c r="I18"/>
      <c r="J18"/>
      <c r="K18"/>
      <c r="L18"/>
      <c r="AA18" t="s">
        <v>2389</v>
      </c>
    </row>
    <row r="19" spans="9:27">
      <c r="I19"/>
      <c r="J19"/>
      <c r="K19"/>
      <c r="L19"/>
      <c r="AA19" t="s">
        <v>2390</v>
      </c>
    </row>
    <row r="20" spans="9:27">
      <c r="I20"/>
      <c r="J20"/>
      <c r="K20"/>
      <c r="L20"/>
      <c r="AA20" t="s">
        <v>2391</v>
      </c>
    </row>
    <row r="21" spans="9:27">
      <c r="I21"/>
      <c r="J21"/>
      <c r="K21"/>
      <c r="L21"/>
      <c r="AA21" t="s">
        <v>2392</v>
      </c>
    </row>
    <row r="22" spans="9:27">
      <c r="I22"/>
      <c r="J22"/>
      <c r="K22"/>
      <c r="L22"/>
      <c r="AA22" t="s">
        <v>2393</v>
      </c>
    </row>
    <row r="23" spans="9:27">
      <c r="I23"/>
      <c r="J23"/>
      <c r="K23"/>
      <c r="L23"/>
      <c r="AA23" t="s">
        <v>2394</v>
      </c>
    </row>
    <row r="24" spans="9:27">
      <c r="I24"/>
      <c r="J24"/>
      <c r="K24"/>
      <c r="L24"/>
      <c r="AA24" t="s">
        <v>2395</v>
      </c>
    </row>
    <row r="25" spans="9:27">
      <c r="I25"/>
      <c r="J25"/>
      <c r="K25"/>
      <c r="L25"/>
      <c r="AA25" t="s">
        <v>2396</v>
      </c>
    </row>
    <row r="26" spans="9:27">
      <c r="I26"/>
      <c r="J26"/>
      <c r="K26"/>
      <c r="L26"/>
      <c r="AA26" t="s">
        <v>2397</v>
      </c>
    </row>
    <row r="27" spans="9:27">
      <c r="I27"/>
      <c r="J27"/>
      <c r="K27"/>
      <c r="L27"/>
      <c r="AA27" t="s">
        <v>2398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51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2347</v>
      </c>
      <c r="L1" s="21" t="s">
        <v>2355</v>
      </c>
      <c r="M1" s="21" t="s">
        <v>2349</v>
      </c>
      <c r="N1" s="21" t="s">
        <v>2359</v>
      </c>
      <c r="O1" s="21" t="s">
        <v>2351</v>
      </c>
      <c r="P1" s="43"/>
      <c r="Q1" s="21" t="s">
        <v>3356</v>
      </c>
      <c r="R1" s="21" t="s">
        <v>3367</v>
      </c>
      <c r="S1" s="21" t="s">
        <v>3329</v>
      </c>
      <c r="T1" s="21" t="s">
        <v>3330</v>
      </c>
      <c r="U1" s="21" t="s">
        <v>3335</v>
      </c>
      <c r="V1" s="21" t="s">
        <v>3358</v>
      </c>
      <c r="W1" s="21" t="s">
        <v>3363</v>
      </c>
    </row>
    <row r="2" spans="1:23">
      <c r="A2" s="22" t="s">
        <v>2263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2197</v>
      </c>
      <c r="J2" s="44"/>
      <c r="K2" s="22" t="s">
        <v>2369</v>
      </c>
      <c r="P2" s="44"/>
      <c r="Q2" s="22" t="s">
        <v>3344</v>
      </c>
      <c r="R2" s="22" t="s">
        <v>3368</v>
      </c>
      <c r="S2" s="22" t="s">
        <v>3989</v>
      </c>
      <c r="T2" s="22" t="s">
        <v>3350</v>
      </c>
      <c r="U2" s="22" t="s">
        <v>3353</v>
      </c>
      <c r="V2" s="22" t="s">
        <v>3359</v>
      </c>
      <c r="W2" s="22" t="s">
        <v>3364</v>
      </c>
    </row>
    <row r="3" spans="1:23">
      <c r="A3" s="22" t="s">
        <v>2264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4271</v>
      </c>
      <c r="I3" s="22" t="s">
        <v>2198</v>
      </c>
      <c r="J3" s="44"/>
      <c r="K3" s="22" t="s">
        <v>2368</v>
      </c>
      <c r="L3" s="22" t="s">
        <v>2376</v>
      </c>
      <c r="M3" s="22" t="s">
        <v>2362</v>
      </c>
      <c r="N3" s="22" t="s">
        <v>3215</v>
      </c>
      <c r="O3" s="22" t="s">
        <v>2399</v>
      </c>
      <c r="P3" s="44"/>
      <c r="Q3" s="22" t="s">
        <v>3345</v>
      </c>
      <c r="R3" s="22" t="s">
        <v>3369</v>
      </c>
      <c r="S3" s="22" t="s">
        <v>3349</v>
      </c>
      <c r="T3" s="22" t="s">
        <v>3351</v>
      </c>
      <c r="U3" s="22" t="s">
        <v>3354</v>
      </c>
      <c r="V3" s="22" t="s">
        <v>3361</v>
      </c>
      <c r="W3" s="22" t="s">
        <v>3365</v>
      </c>
    </row>
    <row r="4" spans="1:23">
      <c r="A4" s="22" t="s">
        <v>2265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4272</v>
      </c>
      <c r="I4" s="22" t="s">
        <v>2199</v>
      </c>
      <c r="J4" s="44"/>
      <c r="K4" s="22" t="s">
        <v>2370</v>
      </c>
      <c r="L4" s="22" t="s">
        <v>2377</v>
      </c>
      <c r="M4" s="22" t="s">
        <v>2854</v>
      </c>
      <c r="N4" s="22" t="s">
        <v>3219</v>
      </c>
      <c r="O4" s="22" t="s">
        <v>2400</v>
      </c>
      <c r="P4" s="44"/>
      <c r="Q4" s="22" t="s">
        <v>3343</v>
      </c>
      <c r="R4" s="22" t="s">
        <v>3370</v>
      </c>
      <c r="S4" s="22" t="s">
        <v>3348</v>
      </c>
      <c r="T4" s="22" t="s">
        <v>3352</v>
      </c>
      <c r="V4" s="22" t="s">
        <v>3362</v>
      </c>
      <c r="W4" s="22" t="s">
        <v>3366</v>
      </c>
    </row>
    <row r="5" spans="1:23">
      <c r="A5" s="22" t="s">
        <v>2266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2262</v>
      </c>
      <c r="H5" s="22" t="s">
        <v>4273</v>
      </c>
      <c r="I5" s="22" t="s">
        <v>2200</v>
      </c>
      <c r="J5" s="44"/>
      <c r="K5" s="22" t="s">
        <v>2371</v>
      </c>
      <c r="L5" s="22" t="s">
        <v>2378</v>
      </c>
      <c r="M5" s="22" t="s">
        <v>2857</v>
      </c>
      <c r="N5" s="22" t="s">
        <v>3220</v>
      </c>
      <c r="O5" s="22" t="s">
        <v>2401</v>
      </c>
      <c r="P5" s="44"/>
      <c r="Q5" s="22" t="s">
        <v>3347</v>
      </c>
      <c r="R5" s="22" t="s">
        <v>3371</v>
      </c>
      <c r="S5" s="22" t="s">
        <v>3990</v>
      </c>
      <c r="V5" s="22" t="s">
        <v>3360</v>
      </c>
    </row>
    <row r="6" spans="1:23">
      <c r="A6" s="22" t="s">
        <v>2267</v>
      </c>
      <c r="B6" s="22" t="s">
        <v>4242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2260</v>
      </c>
      <c r="I6" s="22" t="s">
        <v>2201</v>
      </c>
      <c r="J6" s="44"/>
      <c r="K6" s="22" t="s">
        <v>2372</v>
      </c>
      <c r="L6" s="22" t="s">
        <v>2379</v>
      </c>
      <c r="M6" s="22" t="s">
        <v>2964</v>
      </c>
      <c r="N6" s="22" t="s">
        <v>3216</v>
      </c>
      <c r="O6" s="22" t="s">
        <v>2402</v>
      </c>
      <c r="P6" s="44"/>
      <c r="Q6" s="22" t="s">
        <v>2196</v>
      </c>
      <c r="R6" s="22" t="s">
        <v>3372</v>
      </c>
      <c r="S6" s="22" t="s">
        <v>3991</v>
      </c>
    </row>
    <row r="7" spans="1:23">
      <c r="A7" s="22" t="s">
        <v>2268</v>
      </c>
      <c r="B7" s="22" t="s">
        <v>2126</v>
      </c>
      <c r="D7" s="22" t="s">
        <v>2133</v>
      </c>
      <c r="F7" s="22" t="s">
        <v>2148</v>
      </c>
      <c r="I7" s="22" t="s">
        <v>2202</v>
      </c>
      <c r="J7" s="44"/>
      <c r="K7" s="22" t="s">
        <v>2373</v>
      </c>
      <c r="L7" s="22" t="s">
        <v>2380</v>
      </c>
      <c r="M7" s="22" t="s">
        <v>1097</v>
      </c>
      <c r="N7" s="22" t="s">
        <v>3212</v>
      </c>
      <c r="O7" s="22" t="s">
        <v>2403</v>
      </c>
      <c r="P7" s="44"/>
      <c r="Q7" s="22" t="s">
        <v>3342</v>
      </c>
      <c r="R7" s="22" t="s">
        <v>3373</v>
      </c>
      <c r="S7" s="22" t="s">
        <v>3992</v>
      </c>
    </row>
    <row r="8" spans="1:23" ht="26">
      <c r="A8" s="22" t="s">
        <v>2269</v>
      </c>
      <c r="B8" s="22" t="s">
        <v>2127</v>
      </c>
      <c r="D8" s="22" t="s">
        <v>2134</v>
      </c>
      <c r="F8" s="22" t="s">
        <v>2149</v>
      </c>
      <c r="I8" s="22" t="s">
        <v>2203</v>
      </c>
      <c r="J8" s="44"/>
      <c r="K8" s="22" t="s">
        <v>2374</v>
      </c>
      <c r="L8" s="22" t="s">
        <v>2381</v>
      </c>
      <c r="M8" s="22" t="s">
        <v>2855</v>
      </c>
      <c r="N8" s="57" t="s">
        <v>3210</v>
      </c>
      <c r="O8" s="22" t="s">
        <v>2404</v>
      </c>
      <c r="P8" s="44"/>
      <c r="Q8" s="22" t="s">
        <v>2324</v>
      </c>
      <c r="R8" s="22" t="s">
        <v>3374</v>
      </c>
      <c r="S8" s="22" t="s">
        <v>3993</v>
      </c>
    </row>
    <row r="9" spans="1:23">
      <c r="A9" s="22" t="s">
        <v>2270</v>
      </c>
      <c r="B9" s="22" t="s">
        <v>2261</v>
      </c>
      <c r="D9" s="22" t="s">
        <v>2135</v>
      </c>
      <c r="F9" s="22" t="s">
        <v>2150</v>
      </c>
      <c r="I9" s="22" t="s">
        <v>2204</v>
      </c>
      <c r="J9" s="44"/>
      <c r="K9" s="22" t="s">
        <v>2375</v>
      </c>
      <c r="L9" s="22" t="s">
        <v>2363</v>
      </c>
      <c r="M9" s="22" t="s">
        <v>4282</v>
      </c>
      <c r="N9" s="57" t="s">
        <v>3186</v>
      </c>
      <c r="O9" s="22" t="s">
        <v>2405</v>
      </c>
      <c r="P9" s="44"/>
      <c r="Q9" s="22" t="s">
        <v>3341</v>
      </c>
      <c r="R9" s="22" t="s">
        <v>3375</v>
      </c>
      <c r="S9" s="22" t="s">
        <v>3994</v>
      </c>
    </row>
    <row r="10" spans="1:23">
      <c r="A10" s="22" t="s">
        <v>2271</v>
      </c>
      <c r="D10" s="22" t="s">
        <v>2136</v>
      </c>
      <c r="F10" s="22" t="s">
        <v>2151</v>
      </c>
      <c r="I10" s="22" t="s">
        <v>2205</v>
      </c>
      <c r="J10" s="44"/>
      <c r="L10" s="22" t="s">
        <v>2382</v>
      </c>
      <c r="M10" s="22" t="s">
        <v>2852</v>
      </c>
      <c r="N10" s="22" t="s">
        <v>3213</v>
      </c>
      <c r="O10" s="22" t="s">
        <v>2406</v>
      </c>
      <c r="P10" s="44"/>
      <c r="Q10" s="22" t="s">
        <v>3346</v>
      </c>
      <c r="R10" s="22" t="s">
        <v>3376</v>
      </c>
      <c r="S10" s="22" t="s">
        <v>3995</v>
      </c>
    </row>
    <row r="11" spans="1:23">
      <c r="A11" s="22" t="s">
        <v>2272</v>
      </c>
      <c r="D11" s="22" t="s">
        <v>2137</v>
      </c>
      <c r="F11" s="22" t="s">
        <v>2152</v>
      </c>
      <c r="I11" s="22" t="s">
        <v>2206</v>
      </c>
      <c r="J11" s="44"/>
      <c r="L11" s="22" t="s">
        <v>2383</v>
      </c>
      <c r="M11" s="22" t="s">
        <v>1214</v>
      </c>
      <c r="N11" s="22" t="s">
        <v>3221</v>
      </c>
      <c r="O11" s="22" t="s">
        <v>2407</v>
      </c>
      <c r="P11" s="44"/>
      <c r="Q11" s="22" t="s">
        <v>3345</v>
      </c>
      <c r="R11" s="22" t="s">
        <v>3377</v>
      </c>
      <c r="S11" s="22" t="s">
        <v>3996</v>
      </c>
    </row>
    <row r="12" spans="1:23" ht="39">
      <c r="A12" s="22" t="s">
        <v>2273</v>
      </c>
      <c r="D12" s="22" t="s">
        <v>2138</v>
      </c>
      <c r="F12" s="22" t="s">
        <v>2153</v>
      </c>
      <c r="I12" s="22" t="s">
        <v>2207</v>
      </c>
      <c r="J12" s="44"/>
      <c r="L12" s="22" t="s">
        <v>2384</v>
      </c>
      <c r="M12" s="22" t="s">
        <v>2851</v>
      </c>
      <c r="N12" s="57" t="s">
        <v>4382</v>
      </c>
      <c r="O12" s="22" t="s">
        <v>2408</v>
      </c>
      <c r="P12" s="44"/>
      <c r="Q12" s="22" t="s">
        <v>3346</v>
      </c>
      <c r="R12" s="22" t="s">
        <v>3378</v>
      </c>
      <c r="S12" s="22" t="s">
        <v>3997</v>
      </c>
    </row>
    <row r="13" spans="1:23">
      <c r="A13" s="22" t="s">
        <v>2274</v>
      </c>
      <c r="F13" s="22" t="s">
        <v>2154</v>
      </c>
      <c r="I13" s="22" t="s">
        <v>2208</v>
      </c>
      <c r="J13" s="44"/>
      <c r="L13" s="22" t="s">
        <v>2385</v>
      </c>
      <c r="M13" s="22" t="s">
        <v>4283</v>
      </c>
      <c r="N13" s="22" t="s">
        <v>3222</v>
      </c>
      <c r="O13" s="22" t="s">
        <v>2409</v>
      </c>
      <c r="P13" s="44"/>
      <c r="Q13" s="22" t="s">
        <v>3347</v>
      </c>
      <c r="R13" s="22" t="s">
        <v>3379</v>
      </c>
      <c r="S13" s="22" t="s">
        <v>3998</v>
      </c>
    </row>
    <row r="14" spans="1:23" ht="39">
      <c r="A14" s="22" t="s">
        <v>2275</v>
      </c>
      <c r="F14" s="22" t="s">
        <v>2155</v>
      </c>
      <c r="I14" s="22" t="s">
        <v>2209</v>
      </c>
      <c r="J14" s="44"/>
      <c r="L14" s="22" t="s">
        <v>2386</v>
      </c>
      <c r="M14" s="22" t="s">
        <v>2965</v>
      </c>
      <c r="N14" s="57" t="s">
        <v>3223</v>
      </c>
      <c r="O14" s="22" t="s">
        <v>2410</v>
      </c>
      <c r="P14" s="44"/>
      <c r="R14" s="22" t="s">
        <v>3380</v>
      </c>
      <c r="S14" s="22" t="s">
        <v>3999</v>
      </c>
    </row>
    <row r="15" spans="1:23">
      <c r="A15" s="22" t="s">
        <v>2276</v>
      </c>
      <c r="F15" s="22" t="s">
        <v>2156</v>
      </c>
      <c r="I15" s="22" t="s">
        <v>2210</v>
      </c>
      <c r="J15" s="44"/>
      <c r="L15" s="22" t="s">
        <v>2387</v>
      </c>
      <c r="M15" s="22" t="s">
        <v>2853</v>
      </c>
      <c r="N15" s="22" t="s">
        <v>4285</v>
      </c>
      <c r="O15" s="22" t="s">
        <v>2411</v>
      </c>
      <c r="P15" s="44"/>
      <c r="R15" s="22" t="s">
        <v>3381</v>
      </c>
      <c r="S15" s="22" t="s">
        <v>4000</v>
      </c>
    </row>
    <row r="16" spans="1:23">
      <c r="A16" s="22" t="s">
        <v>2318</v>
      </c>
      <c r="F16" s="22" t="s">
        <v>2157</v>
      </c>
      <c r="I16" s="22" t="s">
        <v>2211</v>
      </c>
      <c r="J16" s="44"/>
      <c r="L16" s="22" t="s">
        <v>2388</v>
      </c>
      <c r="M16" s="22" t="s">
        <v>945</v>
      </c>
      <c r="N16" s="22" t="s">
        <v>4286</v>
      </c>
      <c r="O16" s="22" t="s">
        <v>2412</v>
      </c>
      <c r="P16" s="44"/>
      <c r="R16" s="22" t="s">
        <v>3382</v>
      </c>
      <c r="S16" s="22" t="s">
        <v>4001</v>
      </c>
    </row>
    <row r="17" spans="1:19">
      <c r="A17" s="22" t="s">
        <v>2277</v>
      </c>
      <c r="F17" s="22" t="s">
        <v>2158</v>
      </c>
      <c r="I17" s="22" t="s">
        <v>2212</v>
      </c>
      <c r="J17" s="44"/>
      <c r="L17" s="22" t="s">
        <v>2842</v>
      </c>
      <c r="M17" s="22" t="s">
        <v>2856</v>
      </c>
      <c r="N17" s="22" t="s">
        <v>4287</v>
      </c>
      <c r="O17" s="22" t="s">
        <v>2413</v>
      </c>
      <c r="P17" s="44"/>
      <c r="R17" s="22" t="s">
        <v>3383</v>
      </c>
      <c r="S17" s="22" t="s">
        <v>4002</v>
      </c>
    </row>
    <row r="18" spans="1:19">
      <c r="A18" s="22" t="s">
        <v>2278</v>
      </c>
      <c r="F18" s="22" t="s">
        <v>2159</v>
      </c>
      <c r="I18" s="22" t="s">
        <v>2213</v>
      </c>
      <c r="J18" s="44"/>
      <c r="L18" s="22" t="s">
        <v>2389</v>
      </c>
      <c r="M18" s="22" t="s">
        <v>2858</v>
      </c>
      <c r="N18" s="22" t="s">
        <v>4288</v>
      </c>
      <c r="O18" s="22" t="s">
        <v>2414</v>
      </c>
      <c r="P18" s="44"/>
      <c r="R18" s="22" t="s">
        <v>3384</v>
      </c>
      <c r="S18" s="22" t="s">
        <v>4003</v>
      </c>
    </row>
    <row r="19" spans="1:19">
      <c r="A19" s="22" t="s">
        <v>2279</v>
      </c>
      <c r="F19" s="22" t="s">
        <v>2160</v>
      </c>
      <c r="I19" s="22" t="s">
        <v>2214</v>
      </c>
      <c r="J19" s="44"/>
      <c r="L19" s="22" t="s">
        <v>2390</v>
      </c>
      <c r="M19" s="22" t="s">
        <v>4284</v>
      </c>
      <c r="N19" s="57" t="s">
        <v>4289</v>
      </c>
      <c r="O19" s="22" t="s">
        <v>2415</v>
      </c>
      <c r="P19" s="44"/>
      <c r="R19" s="22" t="s">
        <v>3385</v>
      </c>
      <c r="S19" s="22" t="s">
        <v>4004</v>
      </c>
    </row>
    <row r="20" spans="1:19">
      <c r="A20" s="22" t="s">
        <v>2280</v>
      </c>
      <c r="F20" s="22" t="s">
        <v>2161</v>
      </c>
      <c r="I20" s="22" t="s">
        <v>2215</v>
      </c>
      <c r="J20" s="44"/>
      <c r="L20" s="22" t="s">
        <v>2391</v>
      </c>
      <c r="M20" s="22" t="s">
        <v>2966</v>
      </c>
      <c r="N20" s="22" t="s">
        <v>4290</v>
      </c>
      <c r="O20" s="22" t="s">
        <v>2416</v>
      </c>
      <c r="P20" s="44"/>
      <c r="R20" s="22" t="s">
        <v>3386</v>
      </c>
      <c r="S20" s="22" t="s">
        <v>4005</v>
      </c>
    </row>
    <row r="21" spans="1:19">
      <c r="A21" s="22" t="s">
        <v>2281</v>
      </c>
      <c r="F21" s="22" t="s">
        <v>2162</v>
      </c>
      <c r="I21" s="22" t="s">
        <v>2223</v>
      </c>
      <c r="J21" s="44"/>
      <c r="L21" s="22" t="s">
        <v>2392</v>
      </c>
      <c r="M21" s="22" t="s">
        <v>2967</v>
      </c>
      <c r="N21" s="22" t="s">
        <v>3214</v>
      </c>
      <c r="O21" s="22" t="s">
        <v>2417</v>
      </c>
      <c r="P21" s="44"/>
      <c r="R21" s="22" t="s">
        <v>3387</v>
      </c>
      <c r="S21" s="22" t="s">
        <v>4006</v>
      </c>
    </row>
    <row r="22" spans="1:19">
      <c r="A22" s="22" t="s">
        <v>2282</v>
      </c>
      <c r="F22" s="22" t="s">
        <v>2163</v>
      </c>
      <c r="I22" s="22" t="s">
        <v>2225</v>
      </c>
      <c r="J22" s="44"/>
      <c r="L22" s="22" t="s">
        <v>2393</v>
      </c>
      <c r="M22" s="22" t="s">
        <v>2361</v>
      </c>
      <c r="N22" s="57" t="s">
        <v>2865</v>
      </c>
      <c r="O22" s="22" t="s">
        <v>2418</v>
      </c>
      <c r="P22" s="44"/>
      <c r="R22" s="22" t="s">
        <v>3388</v>
      </c>
      <c r="S22" s="22" t="s">
        <v>4007</v>
      </c>
    </row>
    <row r="23" spans="1:19" ht="52">
      <c r="A23" s="22" t="s">
        <v>2283</v>
      </c>
      <c r="F23" s="22" t="s">
        <v>2164</v>
      </c>
      <c r="I23" s="22" t="s">
        <v>2226</v>
      </c>
      <c r="J23" s="44"/>
      <c r="L23" s="22" t="s">
        <v>2394</v>
      </c>
      <c r="N23" s="57" t="s">
        <v>4291</v>
      </c>
      <c r="O23" s="22" t="s">
        <v>2419</v>
      </c>
      <c r="P23" s="44"/>
      <c r="R23" s="22" t="s">
        <v>3389</v>
      </c>
      <c r="S23" s="22" t="s">
        <v>4008</v>
      </c>
    </row>
    <row r="24" spans="1:19">
      <c r="A24" s="22" t="s">
        <v>2284</v>
      </c>
      <c r="F24" s="22" t="s">
        <v>2165</v>
      </c>
      <c r="I24" s="22" t="s">
        <v>2227</v>
      </c>
      <c r="J24" s="44"/>
      <c r="L24" s="22" t="s">
        <v>2395</v>
      </c>
      <c r="N24" s="57" t="s">
        <v>3248</v>
      </c>
      <c r="O24" s="22" t="s">
        <v>2420</v>
      </c>
      <c r="P24" s="44"/>
      <c r="R24" s="22" t="s">
        <v>3390</v>
      </c>
      <c r="S24" s="22" t="s">
        <v>4009</v>
      </c>
    </row>
    <row r="25" spans="1:19">
      <c r="A25" s="22" t="s">
        <v>2285</v>
      </c>
      <c r="F25" s="22" t="s">
        <v>2166</v>
      </c>
      <c r="I25" s="22" t="s">
        <v>2229</v>
      </c>
      <c r="J25" s="44"/>
      <c r="L25" s="22" t="s">
        <v>2396</v>
      </c>
      <c r="N25" s="57" t="s">
        <v>3303</v>
      </c>
      <c r="O25" s="22" t="s">
        <v>2421</v>
      </c>
      <c r="P25" s="44"/>
      <c r="R25" s="22" t="s">
        <v>3391</v>
      </c>
      <c r="S25" s="22" t="s">
        <v>4010</v>
      </c>
    </row>
    <row r="26" spans="1:19">
      <c r="A26" s="22" t="s">
        <v>2286</v>
      </c>
      <c r="F26" s="22" t="s">
        <v>2167</v>
      </c>
      <c r="I26" s="22" t="s">
        <v>2230</v>
      </c>
      <c r="J26" s="44"/>
      <c r="L26" s="22" t="s">
        <v>2397</v>
      </c>
      <c r="N26" s="57" t="s">
        <v>3181</v>
      </c>
      <c r="O26" s="22" t="s">
        <v>2422</v>
      </c>
      <c r="P26" s="44"/>
      <c r="R26" s="22" t="s">
        <v>3392</v>
      </c>
      <c r="S26" s="22" t="s">
        <v>4011</v>
      </c>
    </row>
    <row r="27" spans="1:19">
      <c r="A27" s="22" t="s">
        <v>2287</v>
      </c>
      <c r="F27" s="22" t="s">
        <v>2168</v>
      </c>
      <c r="I27" s="22" t="s">
        <v>2231</v>
      </c>
      <c r="J27" s="44"/>
      <c r="L27" s="22" t="s">
        <v>2398</v>
      </c>
      <c r="N27" s="22" t="s">
        <v>3254</v>
      </c>
      <c r="O27" s="22" t="s">
        <v>2423</v>
      </c>
      <c r="P27" s="44"/>
      <c r="R27" s="22" t="s">
        <v>3393</v>
      </c>
      <c r="S27" s="22" t="s">
        <v>4012</v>
      </c>
    </row>
    <row r="28" spans="1:19">
      <c r="A28" s="22" t="s">
        <v>2288</v>
      </c>
      <c r="F28" s="22" t="s">
        <v>2169</v>
      </c>
      <c r="I28" s="22" t="s">
        <v>2233</v>
      </c>
      <c r="J28" s="44"/>
      <c r="N28" s="22" t="s">
        <v>3304</v>
      </c>
      <c r="O28" s="22" t="s">
        <v>2424</v>
      </c>
      <c r="P28" s="44"/>
      <c r="R28" s="22" t="s">
        <v>3394</v>
      </c>
      <c r="S28" s="22" t="s">
        <v>4013</v>
      </c>
    </row>
    <row r="29" spans="1:19">
      <c r="A29" s="22" t="s">
        <v>2289</v>
      </c>
      <c r="F29" s="22" t="s">
        <v>2170</v>
      </c>
      <c r="I29" s="22" t="s">
        <v>2234</v>
      </c>
      <c r="J29" s="44"/>
      <c r="N29" s="22" t="s">
        <v>3265</v>
      </c>
      <c r="O29" s="22" t="s">
        <v>2425</v>
      </c>
      <c r="P29" s="44"/>
      <c r="R29" s="22" t="s">
        <v>3395</v>
      </c>
      <c r="S29" s="22" t="s">
        <v>4014</v>
      </c>
    </row>
    <row r="30" spans="1:19">
      <c r="A30" s="22" t="s">
        <v>2317</v>
      </c>
      <c r="F30" s="22" t="s">
        <v>2171</v>
      </c>
      <c r="I30" s="22" t="s">
        <v>2235</v>
      </c>
      <c r="J30" s="44"/>
      <c r="N30" s="22" t="s">
        <v>3255</v>
      </c>
      <c r="O30" s="22" t="s">
        <v>2426</v>
      </c>
      <c r="P30" s="44"/>
      <c r="R30" s="22" t="s">
        <v>3396</v>
      </c>
      <c r="S30" s="22" t="s">
        <v>4015</v>
      </c>
    </row>
    <row r="31" spans="1:19">
      <c r="A31" s="22" t="s">
        <v>2290</v>
      </c>
      <c r="F31" s="22" t="s">
        <v>2172</v>
      </c>
      <c r="I31" s="22" t="s">
        <v>2236</v>
      </c>
      <c r="J31" s="44"/>
      <c r="N31" s="22" t="s">
        <v>3293</v>
      </c>
      <c r="O31" s="22" t="s">
        <v>2427</v>
      </c>
      <c r="P31" s="44"/>
      <c r="R31" s="22" t="s">
        <v>3397</v>
      </c>
      <c r="S31" s="22" t="s">
        <v>4016</v>
      </c>
    </row>
    <row r="32" spans="1:19">
      <c r="A32" s="22" t="s">
        <v>2291</v>
      </c>
      <c r="F32" s="22" t="s">
        <v>2173</v>
      </c>
      <c r="I32" s="22" t="s">
        <v>2236</v>
      </c>
      <c r="J32" s="44"/>
      <c r="N32" s="22" t="s">
        <v>4292</v>
      </c>
      <c r="O32" s="22" t="s">
        <v>2428</v>
      </c>
      <c r="P32" s="44"/>
      <c r="R32" s="22" t="s">
        <v>3398</v>
      </c>
      <c r="S32" s="22" t="s">
        <v>4017</v>
      </c>
    </row>
    <row r="33" spans="1:19">
      <c r="A33" s="22" t="s">
        <v>2292</v>
      </c>
      <c r="F33" s="22" t="s">
        <v>2174</v>
      </c>
      <c r="I33" s="22" t="s">
        <v>2216</v>
      </c>
      <c r="J33" s="44"/>
      <c r="N33" s="22" t="s">
        <v>4293</v>
      </c>
      <c r="O33" s="22" t="s">
        <v>2429</v>
      </c>
      <c r="P33" s="44"/>
      <c r="R33" s="22" t="s">
        <v>3399</v>
      </c>
      <c r="S33" s="22" t="s">
        <v>4018</v>
      </c>
    </row>
    <row r="34" spans="1:19">
      <c r="A34" s="22" t="s">
        <v>2293</v>
      </c>
      <c r="F34" s="22" t="s">
        <v>2175</v>
      </c>
      <c r="I34" s="22" t="s">
        <v>2217</v>
      </c>
      <c r="J34" s="44"/>
      <c r="N34" s="22" t="s">
        <v>4294</v>
      </c>
      <c r="O34" s="22" t="s">
        <v>2430</v>
      </c>
      <c r="P34" s="44"/>
      <c r="R34" s="22" t="s">
        <v>3400</v>
      </c>
      <c r="S34" s="22" t="s">
        <v>4019</v>
      </c>
    </row>
    <row r="35" spans="1:19">
      <c r="A35" s="22" t="s">
        <v>2294</v>
      </c>
      <c r="F35" s="22" t="s">
        <v>2176</v>
      </c>
      <c r="I35" s="22" t="s">
        <v>2218</v>
      </c>
      <c r="J35" s="44"/>
      <c r="N35" s="22" t="s">
        <v>2866</v>
      </c>
      <c r="O35" s="22" t="s">
        <v>2431</v>
      </c>
      <c r="P35" s="44"/>
      <c r="R35" s="22" t="s">
        <v>3401</v>
      </c>
      <c r="S35" s="22" t="s">
        <v>4020</v>
      </c>
    </row>
    <row r="36" spans="1:19" ht="39">
      <c r="A36" s="22" t="s">
        <v>2295</v>
      </c>
      <c r="F36" s="22" t="s">
        <v>2177</v>
      </c>
      <c r="I36" s="22" t="s">
        <v>2219</v>
      </c>
      <c r="J36" s="44"/>
      <c r="N36" s="57" t="s">
        <v>2867</v>
      </c>
      <c r="O36" s="22" t="s">
        <v>2432</v>
      </c>
      <c r="P36" s="44"/>
      <c r="R36" s="22" t="s">
        <v>3402</v>
      </c>
      <c r="S36" s="22" t="s">
        <v>4021</v>
      </c>
    </row>
    <row r="37" spans="1:19" ht="26">
      <c r="A37" s="22" t="s">
        <v>2296</v>
      </c>
      <c r="F37" s="22" t="s">
        <v>2178</v>
      </c>
      <c r="I37" s="22" t="s">
        <v>2220</v>
      </c>
      <c r="J37" s="44"/>
      <c r="N37" s="57" t="s">
        <v>3192</v>
      </c>
      <c r="O37" s="22" t="s">
        <v>2433</v>
      </c>
      <c r="P37" s="44"/>
      <c r="R37" s="22" t="s">
        <v>3403</v>
      </c>
      <c r="S37" s="22" t="s">
        <v>4022</v>
      </c>
    </row>
    <row r="38" spans="1:19">
      <c r="A38" s="22" t="s">
        <v>2297</v>
      </c>
      <c r="F38" s="22" t="s">
        <v>2179</v>
      </c>
      <c r="I38" s="22" t="s">
        <v>2221</v>
      </c>
      <c r="J38" s="44"/>
      <c r="N38" s="22" t="s">
        <v>3207</v>
      </c>
      <c r="O38" s="22" t="s">
        <v>2434</v>
      </c>
      <c r="P38" s="44"/>
      <c r="R38" s="22" t="s">
        <v>3404</v>
      </c>
      <c r="S38" s="22" t="s">
        <v>4023</v>
      </c>
    </row>
    <row r="39" spans="1:19">
      <c r="A39" s="22" t="s">
        <v>2298</v>
      </c>
      <c r="F39" s="22" t="s">
        <v>2180</v>
      </c>
      <c r="I39" s="22" t="s">
        <v>2222</v>
      </c>
      <c r="J39" s="44"/>
      <c r="N39" s="22" t="s">
        <v>2868</v>
      </c>
      <c r="O39" s="22" t="s">
        <v>2435</v>
      </c>
      <c r="P39" s="44"/>
      <c r="R39" s="22" t="s">
        <v>3405</v>
      </c>
      <c r="S39" s="22" t="s">
        <v>4024</v>
      </c>
    </row>
    <row r="40" spans="1:19">
      <c r="A40" s="22" t="s">
        <v>2299</v>
      </c>
      <c r="F40" s="22" t="s">
        <v>2181</v>
      </c>
      <c r="I40" s="22" t="s">
        <v>2223</v>
      </c>
      <c r="J40" s="44"/>
      <c r="N40" s="22" t="s">
        <v>2869</v>
      </c>
      <c r="O40" s="22" t="s">
        <v>2436</v>
      </c>
      <c r="P40" s="44"/>
      <c r="R40" s="22" t="s">
        <v>3406</v>
      </c>
      <c r="S40" s="22" t="s">
        <v>4025</v>
      </c>
    </row>
    <row r="41" spans="1:19">
      <c r="A41" s="22" t="s">
        <v>2300</v>
      </c>
      <c r="F41" s="22" t="s">
        <v>2182</v>
      </c>
      <c r="I41" s="22" t="s">
        <v>2224</v>
      </c>
      <c r="J41" s="44"/>
      <c r="N41" s="22" t="s">
        <v>2870</v>
      </c>
      <c r="O41" s="22" t="s">
        <v>2437</v>
      </c>
      <c r="P41" s="44"/>
      <c r="R41" s="22" t="s">
        <v>3407</v>
      </c>
      <c r="S41" s="22" t="s">
        <v>4026</v>
      </c>
    </row>
    <row r="42" spans="1:19">
      <c r="A42" s="22" t="s">
        <v>2301</v>
      </c>
      <c r="F42" s="22" t="s">
        <v>2183</v>
      </c>
      <c r="I42" s="22" t="s">
        <v>2225</v>
      </c>
      <c r="J42" s="44"/>
      <c r="N42" s="22" t="s">
        <v>2871</v>
      </c>
      <c r="O42" s="22" t="s">
        <v>2438</v>
      </c>
      <c r="P42" s="44"/>
      <c r="R42" s="22" t="s">
        <v>3408</v>
      </c>
      <c r="S42" s="22" t="s">
        <v>4027</v>
      </c>
    </row>
    <row r="43" spans="1:19">
      <c r="A43" s="22" t="s">
        <v>2302</v>
      </c>
      <c r="F43" s="22" t="s">
        <v>2184</v>
      </c>
      <c r="I43" s="22" t="s">
        <v>2226</v>
      </c>
      <c r="J43" s="44"/>
      <c r="N43" s="22" t="s">
        <v>2872</v>
      </c>
      <c r="O43" s="22" t="s">
        <v>2439</v>
      </c>
      <c r="P43" s="44"/>
      <c r="R43" s="22" t="s">
        <v>3409</v>
      </c>
      <c r="S43" s="22" t="s">
        <v>4028</v>
      </c>
    </row>
    <row r="44" spans="1:19">
      <c r="A44" s="22" t="s">
        <v>2303</v>
      </c>
      <c r="F44" s="22" t="s">
        <v>2185</v>
      </c>
      <c r="I44" s="22" t="s">
        <v>2227</v>
      </c>
      <c r="J44" s="44"/>
      <c r="N44" s="22" t="s">
        <v>2873</v>
      </c>
      <c r="O44" s="22" t="s">
        <v>2440</v>
      </c>
      <c r="P44" s="44"/>
      <c r="R44" s="22" t="s">
        <v>3410</v>
      </c>
      <c r="S44" s="22" t="s">
        <v>4029</v>
      </c>
    </row>
    <row r="45" spans="1:19">
      <c r="A45" s="22" t="s">
        <v>3313</v>
      </c>
      <c r="F45" s="22" t="s">
        <v>2186</v>
      </c>
      <c r="I45" s="22" t="s">
        <v>2228</v>
      </c>
      <c r="J45" s="44"/>
      <c r="N45" s="22" t="s">
        <v>4295</v>
      </c>
      <c r="O45" s="22" t="s">
        <v>2441</v>
      </c>
      <c r="P45" s="44"/>
      <c r="R45" s="22" t="s">
        <v>3411</v>
      </c>
      <c r="S45" s="22" t="s">
        <v>4030</v>
      </c>
    </row>
    <row r="46" spans="1:19">
      <c r="A46" s="22" t="s">
        <v>2304</v>
      </c>
      <c r="F46" s="22" t="s">
        <v>2187</v>
      </c>
      <c r="I46" s="22" t="s">
        <v>2229</v>
      </c>
      <c r="J46" s="44"/>
      <c r="N46" s="22" t="s">
        <v>4296</v>
      </c>
      <c r="O46" s="22" t="s">
        <v>2442</v>
      </c>
      <c r="P46" s="44"/>
      <c r="R46" s="22" t="s">
        <v>3412</v>
      </c>
      <c r="S46" s="22" t="s">
        <v>4031</v>
      </c>
    </row>
    <row r="47" spans="1:19">
      <c r="A47" s="22" t="s">
        <v>2305</v>
      </c>
      <c r="F47" s="22" t="s">
        <v>2188</v>
      </c>
      <c r="I47" s="22" t="s">
        <v>2230</v>
      </c>
      <c r="J47" s="44"/>
      <c r="N47" s="22" t="s">
        <v>2863</v>
      </c>
      <c r="O47" s="22" t="s">
        <v>2443</v>
      </c>
      <c r="P47" s="44"/>
      <c r="R47" s="22" t="s">
        <v>3413</v>
      </c>
      <c r="S47" s="22" t="s">
        <v>4032</v>
      </c>
    </row>
    <row r="48" spans="1:19">
      <c r="A48" s="22" t="s">
        <v>2306</v>
      </c>
      <c r="F48" s="22" t="s">
        <v>2189</v>
      </c>
      <c r="I48" s="22" t="s">
        <v>2231</v>
      </c>
      <c r="J48" s="44"/>
      <c r="N48" s="22" t="s">
        <v>2874</v>
      </c>
      <c r="O48" s="22" t="s">
        <v>2444</v>
      </c>
      <c r="P48" s="44"/>
      <c r="R48" s="22" t="s">
        <v>3414</v>
      </c>
      <c r="S48" s="22" t="s">
        <v>4033</v>
      </c>
    </row>
    <row r="49" spans="1:19">
      <c r="A49" s="22" t="s">
        <v>2307</v>
      </c>
      <c r="F49" s="22" t="s">
        <v>2190</v>
      </c>
      <c r="I49" s="22" t="s">
        <v>2232</v>
      </c>
      <c r="J49" s="44"/>
      <c r="N49" s="22" t="s">
        <v>2875</v>
      </c>
      <c r="O49" s="22" t="s">
        <v>2445</v>
      </c>
      <c r="P49" s="44"/>
      <c r="R49" s="22" t="s">
        <v>3415</v>
      </c>
      <c r="S49" s="22" t="s">
        <v>4034</v>
      </c>
    </row>
    <row r="50" spans="1:19">
      <c r="A50" s="22" t="s">
        <v>2308</v>
      </c>
      <c r="F50" s="22" t="s">
        <v>2191</v>
      </c>
      <c r="I50" s="22" t="s">
        <v>2233</v>
      </c>
      <c r="J50" s="44"/>
      <c r="N50" s="22" t="s">
        <v>3280</v>
      </c>
      <c r="O50" s="22" t="s">
        <v>2446</v>
      </c>
      <c r="P50" s="44"/>
      <c r="R50" s="22" t="s">
        <v>3416</v>
      </c>
      <c r="S50" s="22" t="s">
        <v>4035</v>
      </c>
    </row>
    <row r="51" spans="1:19">
      <c r="A51" s="22" t="s">
        <v>2309</v>
      </c>
      <c r="F51" s="22" t="s">
        <v>2192</v>
      </c>
      <c r="I51" s="22" t="s">
        <v>2234</v>
      </c>
      <c r="J51" s="44"/>
      <c r="N51" s="22" t="s">
        <v>3291</v>
      </c>
      <c r="O51" s="22" t="s">
        <v>2447</v>
      </c>
      <c r="P51" s="44"/>
      <c r="R51" s="22" t="s">
        <v>3417</v>
      </c>
      <c r="S51" s="22" t="s">
        <v>4036</v>
      </c>
    </row>
    <row r="52" spans="1:19">
      <c r="A52" s="22" t="s">
        <v>2310</v>
      </c>
      <c r="I52" s="22" t="s">
        <v>2235</v>
      </c>
      <c r="J52" s="44"/>
      <c r="N52" s="22" t="s">
        <v>4297</v>
      </c>
      <c r="O52" s="22" t="s">
        <v>2949</v>
      </c>
      <c r="P52" s="44"/>
      <c r="R52" s="22" t="s">
        <v>3418</v>
      </c>
      <c r="S52" s="22" t="s">
        <v>4037</v>
      </c>
    </row>
    <row r="53" spans="1:19">
      <c r="A53" s="22" t="s">
        <v>2311</v>
      </c>
      <c r="I53" s="22" t="s">
        <v>2236</v>
      </c>
      <c r="J53" s="44"/>
      <c r="N53" s="22" t="s">
        <v>2876</v>
      </c>
      <c r="O53" s="22" t="s">
        <v>2949</v>
      </c>
      <c r="P53" s="44"/>
      <c r="R53" s="22" t="s">
        <v>3419</v>
      </c>
      <c r="S53" s="22" t="s">
        <v>4038</v>
      </c>
    </row>
    <row r="54" spans="1:19">
      <c r="A54" s="22" t="s">
        <v>2312</v>
      </c>
      <c r="N54" s="22" t="s">
        <v>4298</v>
      </c>
      <c r="O54" s="22" t="s">
        <v>2949</v>
      </c>
      <c r="R54" s="22" t="s">
        <v>3420</v>
      </c>
      <c r="S54" s="22" t="s">
        <v>4039</v>
      </c>
    </row>
    <row r="55" spans="1:19">
      <c r="A55" s="22" t="s">
        <v>2313</v>
      </c>
      <c r="N55" s="22" t="s">
        <v>3289</v>
      </c>
      <c r="O55" s="22" t="s">
        <v>2949</v>
      </c>
      <c r="R55" s="22" t="s">
        <v>3421</v>
      </c>
      <c r="S55" s="22" t="s">
        <v>4040</v>
      </c>
    </row>
    <row r="56" spans="1:19">
      <c r="A56" s="22" t="s">
        <v>2314</v>
      </c>
      <c r="N56" s="22" t="s">
        <v>3227</v>
      </c>
      <c r="O56" s="22" t="s">
        <v>2448</v>
      </c>
      <c r="R56" s="22" t="s">
        <v>3422</v>
      </c>
      <c r="S56" s="22" t="s">
        <v>4041</v>
      </c>
    </row>
    <row r="57" spans="1:19">
      <c r="A57" s="22" t="s">
        <v>2315</v>
      </c>
      <c r="N57" s="22" t="s">
        <v>4299</v>
      </c>
      <c r="O57" s="22" t="s">
        <v>2449</v>
      </c>
      <c r="R57" s="22" t="s">
        <v>3423</v>
      </c>
      <c r="S57" s="22" t="s">
        <v>4042</v>
      </c>
    </row>
    <row r="58" spans="1:19">
      <c r="A58" s="22" t="s">
        <v>2316</v>
      </c>
      <c r="N58" s="22" t="s">
        <v>2877</v>
      </c>
      <c r="O58" s="22" t="s">
        <v>2450</v>
      </c>
      <c r="R58" s="22" t="s">
        <v>3424</v>
      </c>
      <c r="S58" s="22" t="s">
        <v>4043</v>
      </c>
    </row>
    <row r="59" spans="1:19">
      <c r="N59" s="22" t="s">
        <v>4300</v>
      </c>
      <c r="O59" s="22" t="s">
        <v>2451</v>
      </c>
      <c r="R59" s="22" t="s">
        <v>3425</v>
      </c>
      <c r="S59" s="22" t="s">
        <v>4044</v>
      </c>
    </row>
    <row r="60" spans="1:19">
      <c r="N60" s="22" t="s">
        <v>4301</v>
      </c>
      <c r="O60" s="22" t="s">
        <v>2452</v>
      </c>
      <c r="R60" s="22" t="s">
        <v>3426</v>
      </c>
      <c r="S60" s="22" t="s">
        <v>4045</v>
      </c>
    </row>
    <row r="61" spans="1:19">
      <c r="N61" s="22" t="s">
        <v>2861</v>
      </c>
      <c r="O61" s="22" t="s">
        <v>2453</v>
      </c>
      <c r="R61" s="22" t="s">
        <v>3427</v>
      </c>
      <c r="S61" s="22" t="s">
        <v>4046</v>
      </c>
    </row>
    <row r="62" spans="1:19">
      <c r="N62" s="22" t="s">
        <v>2366</v>
      </c>
      <c r="O62" s="22" t="s">
        <v>2454</v>
      </c>
      <c r="R62" s="22" t="s">
        <v>3428</v>
      </c>
      <c r="S62" s="22" t="s">
        <v>4047</v>
      </c>
    </row>
    <row r="63" spans="1:19">
      <c r="N63" s="22" t="s">
        <v>2878</v>
      </c>
      <c r="O63" s="22" t="s">
        <v>2455</v>
      </c>
      <c r="R63" s="22" t="s">
        <v>3429</v>
      </c>
      <c r="S63" s="22" t="s">
        <v>4048</v>
      </c>
    </row>
    <row r="64" spans="1:19">
      <c r="N64" s="22" t="s">
        <v>3155</v>
      </c>
      <c r="O64" s="22" t="s">
        <v>2456</v>
      </c>
      <c r="R64" s="22" t="s">
        <v>3430</v>
      </c>
      <c r="S64" s="22" t="s">
        <v>4049</v>
      </c>
    </row>
    <row r="65" spans="14:19">
      <c r="N65" s="22" t="s">
        <v>4302</v>
      </c>
      <c r="O65" s="22" t="s">
        <v>2457</v>
      </c>
      <c r="R65" s="22" t="s">
        <v>3431</v>
      </c>
      <c r="S65" s="22" t="s">
        <v>4050</v>
      </c>
    </row>
    <row r="66" spans="14:19">
      <c r="N66" s="57" t="s">
        <v>4259</v>
      </c>
      <c r="O66" s="22" t="s">
        <v>2458</v>
      </c>
      <c r="R66" s="22" t="s">
        <v>3432</v>
      </c>
      <c r="S66" s="22" t="s">
        <v>4051</v>
      </c>
    </row>
    <row r="67" spans="14:19" ht="52">
      <c r="N67" s="57" t="s">
        <v>2879</v>
      </c>
      <c r="O67" s="22" t="s">
        <v>2459</v>
      </c>
      <c r="R67" s="22" t="s">
        <v>3433</v>
      </c>
      <c r="S67" s="22" t="s">
        <v>4052</v>
      </c>
    </row>
    <row r="68" spans="14:19" ht="39">
      <c r="N68" s="57" t="s">
        <v>2880</v>
      </c>
      <c r="O68" s="22" t="s">
        <v>2460</v>
      </c>
      <c r="R68" s="22" t="s">
        <v>3434</v>
      </c>
      <c r="S68" s="22" t="s">
        <v>4053</v>
      </c>
    </row>
    <row r="69" spans="14:19">
      <c r="N69" s="22" t="s">
        <v>4303</v>
      </c>
      <c r="O69" s="22" t="s">
        <v>2461</v>
      </c>
      <c r="R69" s="22" t="s">
        <v>3435</v>
      </c>
      <c r="S69" s="22" t="s">
        <v>4054</v>
      </c>
    </row>
    <row r="70" spans="14:19">
      <c r="N70" s="22" t="s">
        <v>2881</v>
      </c>
      <c r="O70" s="22" t="s">
        <v>2950</v>
      </c>
      <c r="R70" s="22" t="s">
        <v>3436</v>
      </c>
      <c r="S70" s="22" t="s">
        <v>4055</v>
      </c>
    </row>
    <row r="71" spans="14:19" ht="39">
      <c r="N71" s="57" t="s">
        <v>2882</v>
      </c>
      <c r="O71" s="22" t="s">
        <v>2462</v>
      </c>
      <c r="R71" s="22" t="s">
        <v>3437</v>
      </c>
      <c r="S71" s="22" t="s">
        <v>4056</v>
      </c>
    </row>
    <row r="72" spans="14:19" ht="39">
      <c r="N72" s="57" t="s">
        <v>2883</v>
      </c>
      <c r="O72" s="22" t="s">
        <v>2463</v>
      </c>
      <c r="R72" s="22" t="s">
        <v>3438</v>
      </c>
      <c r="S72" s="22" t="s">
        <v>4057</v>
      </c>
    </row>
    <row r="73" spans="14:19">
      <c r="N73" s="22" t="s">
        <v>4304</v>
      </c>
      <c r="O73" s="22" t="s">
        <v>2464</v>
      </c>
      <c r="R73" s="22" t="s">
        <v>3439</v>
      </c>
      <c r="S73" s="22" t="s">
        <v>4058</v>
      </c>
    </row>
    <row r="74" spans="14:19" ht="52">
      <c r="N74" s="57" t="s">
        <v>2884</v>
      </c>
      <c r="O74" s="22" t="s">
        <v>2465</v>
      </c>
      <c r="R74" s="22" t="s">
        <v>3440</v>
      </c>
      <c r="S74" s="22" t="s">
        <v>4059</v>
      </c>
    </row>
    <row r="75" spans="14:19" ht="65">
      <c r="N75" s="57" t="s">
        <v>3150</v>
      </c>
      <c r="O75" s="22" t="s">
        <v>2466</v>
      </c>
      <c r="R75" s="22" t="s">
        <v>3441</v>
      </c>
      <c r="S75" s="22" t="s">
        <v>4060</v>
      </c>
    </row>
    <row r="76" spans="14:19" ht="26">
      <c r="N76" s="57" t="s">
        <v>2885</v>
      </c>
      <c r="O76" s="22" t="s">
        <v>2467</v>
      </c>
      <c r="R76" s="22" t="s">
        <v>3442</v>
      </c>
      <c r="S76" s="22" t="s">
        <v>4061</v>
      </c>
    </row>
    <row r="77" spans="14:19">
      <c r="N77" s="22" t="s">
        <v>4305</v>
      </c>
      <c r="O77" s="22" t="s">
        <v>2468</v>
      </c>
      <c r="R77" s="22" t="s">
        <v>3443</v>
      </c>
      <c r="S77" s="22" t="s">
        <v>4062</v>
      </c>
    </row>
    <row r="78" spans="14:19">
      <c r="N78" s="22" t="s">
        <v>4306</v>
      </c>
      <c r="O78" s="22" t="s">
        <v>2469</v>
      </c>
      <c r="R78" s="22" t="s">
        <v>3444</v>
      </c>
      <c r="S78" s="22" t="s">
        <v>4063</v>
      </c>
    </row>
    <row r="79" spans="14:19" ht="39">
      <c r="N79" s="57" t="s">
        <v>4307</v>
      </c>
      <c r="O79" s="22" t="s">
        <v>2470</v>
      </c>
      <c r="R79" s="22" t="s">
        <v>3445</v>
      </c>
      <c r="S79" s="22" t="s">
        <v>4064</v>
      </c>
    </row>
    <row r="80" spans="14:19">
      <c r="N80" s="57" t="s">
        <v>2886</v>
      </c>
      <c r="O80" s="22" t="s">
        <v>2471</v>
      </c>
      <c r="R80" s="22" t="s">
        <v>3446</v>
      </c>
      <c r="S80" s="22" t="s">
        <v>4065</v>
      </c>
    </row>
    <row r="81" spans="14:19">
      <c r="N81" s="22" t="s">
        <v>4308</v>
      </c>
      <c r="O81" s="22" t="s">
        <v>2472</v>
      </c>
      <c r="R81" s="22" t="s">
        <v>3447</v>
      </c>
      <c r="S81" s="22" t="s">
        <v>4066</v>
      </c>
    </row>
    <row r="82" spans="14:19">
      <c r="N82" s="57" t="s">
        <v>4309</v>
      </c>
      <c r="O82" s="22" t="s">
        <v>2473</v>
      </c>
      <c r="R82" s="22" t="s">
        <v>3448</v>
      </c>
      <c r="S82" s="22" t="s">
        <v>4067</v>
      </c>
    </row>
    <row r="83" spans="14:19">
      <c r="N83" s="22" t="s">
        <v>3190</v>
      </c>
      <c r="O83" s="22" t="s">
        <v>2474</v>
      </c>
      <c r="R83" s="22" t="s">
        <v>3449</v>
      </c>
      <c r="S83" s="22" t="s">
        <v>4068</v>
      </c>
    </row>
    <row r="84" spans="14:19">
      <c r="N84" s="22" t="s">
        <v>2887</v>
      </c>
      <c r="O84" s="22" t="s">
        <v>2951</v>
      </c>
      <c r="R84" s="22" t="s">
        <v>3450</v>
      </c>
      <c r="S84" s="22" t="s">
        <v>4069</v>
      </c>
    </row>
    <row r="85" spans="14:19">
      <c r="N85" s="22" t="s">
        <v>2888</v>
      </c>
      <c r="O85" s="22" t="s">
        <v>2475</v>
      </c>
      <c r="R85" s="22" t="s">
        <v>3451</v>
      </c>
      <c r="S85" s="22" t="s">
        <v>4070</v>
      </c>
    </row>
    <row r="86" spans="14:19">
      <c r="N86" s="22" t="s">
        <v>2889</v>
      </c>
      <c r="O86" s="22" t="s">
        <v>2476</v>
      </c>
      <c r="R86" s="22" t="s">
        <v>3452</v>
      </c>
      <c r="S86" s="22" t="s">
        <v>4071</v>
      </c>
    </row>
    <row r="87" spans="14:19">
      <c r="N87" s="57" t="s">
        <v>4310</v>
      </c>
      <c r="O87" s="22" t="s">
        <v>2477</v>
      </c>
      <c r="R87" s="22" t="s">
        <v>3453</v>
      </c>
      <c r="S87" s="22" t="s">
        <v>4072</v>
      </c>
    </row>
    <row r="88" spans="14:19">
      <c r="N88" s="57" t="s">
        <v>4311</v>
      </c>
      <c r="O88" s="22" t="s">
        <v>2478</v>
      </c>
      <c r="R88" s="22" t="s">
        <v>3454</v>
      </c>
      <c r="S88" s="22" t="s">
        <v>4073</v>
      </c>
    </row>
    <row r="89" spans="14:19">
      <c r="N89" s="22" t="s">
        <v>2890</v>
      </c>
      <c r="O89" s="22" t="s">
        <v>2479</v>
      </c>
      <c r="R89" s="22" t="s">
        <v>3455</v>
      </c>
      <c r="S89" s="22" t="s">
        <v>4074</v>
      </c>
    </row>
    <row r="90" spans="14:19" ht="26">
      <c r="N90" s="57" t="s">
        <v>2891</v>
      </c>
      <c r="O90" s="22" t="s">
        <v>2480</v>
      </c>
      <c r="R90" s="22" t="s">
        <v>3456</v>
      </c>
      <c r="S90" s="22" t="s">
        <v>4075</v>
      </c>
    </row>
    <row r="91" spans="14:19">
      <c r="N91" s="22" t="s">
        <v>2892</v>
      </c>
      <c r="O91" s="22" t="s">
        <v>2481</v>
      </c>
      <c r="R91" s="22" t="s">
        <v>3457</v>
      </c>
      <c r="S91" s="22" t="s">
        <v>4076</v>
      </c>
    </row>
    <row r="92" spans="14:19" ht="26">
      <c r="N92" s="57" t="s">
        <v>4312</v>
      </c>
      <c r="O92" s="22" t="s">
        <v>2482</v>
      </c>
      <c r="R92" s="22" t="s">
        <v>3458</v>
      </c>
      <c r="S92" s="22" t="s">
        <v>4077</v>
      </c>
    </row>
    <row r="93" spans="14:19">
      <c r="N93" s="57" t="s">
        <v>2893</v>
      </c>
      <c r="O93" s="22" t="s">
        <v>2483</v>
      </c>
      <c r="R93" s="22" t="s">
        <v>3459</v>
      </c>
      <c r="S93" s="22" t="s">
        <v>4078</v>
      </c>
    </row>
    <row r="94" spans="14:19">
      <c r="N94" s="57" t="s">
        <v>3180</v>
      </c>
      <c r="O94" s="22" t="s">
        <v>2484</v>
      </c>
      <c r="R94" s="22" t="s">
        <v>3460</v>
      </c>
      <c r="S94" s="22" t="s">
        <v>4079</v>
      </c>
    </row>
    <row r="95" spans="14:19">
      <c r="N95" s="57" t="s">
        <v>3187</v>
      </c>
      <c r="O95" s="22" t="s">
        <v>2485</v>
      </c>
      <c r="R95" s="22" t="s">
        <v>3461</v>
      </c>
      <c r="S95" s="22" t="s">
        <v>4080</v>
      </c>
    </row>
    <row r="96" spans="14:19" ht="52">
      <c r="N96" s="57" t="s">
        <v>4313</v>
      </c>
      <c r="O96" s="22" t="s">
        <v>2486</v>
      </c>
      <c r="R96" s="22" t="s">
        <v>3462</v>
      </c>
      <c r="S96" s="22" t="s">
        <v>4081</v>
      </c>
    </row>
    <row r="97" spans="14:19">
      <c r="N97" s="57" t="s">
        <v>2894</v>
      </c>
      <c r="O97" s="22" t="s">
        <v>3195</v>
      </c>
      <c r="R97" s="22" t="s">
        <v>3463</v>
      </c>
      <c r="S97" s="22" t="s">
        <v>4082</v>
      </c>
    </row>
    <row r="98" spans="14:19">
      <c r="N98" s="57" t="s">
        <v>3267</v>
      </c>
      <c r="O98" s="22" t="s">
        <v>2487</v>
      </c>
      <c r="R98" s="22" t="s">
        <v>3464</v>
      </c>
      <c r="S98" s="22" t="s">
        <v>4083</v>
      </c>
    </row>
    <row r="99" spans="14:19" ht="39">
      <c r="N99" s="57" t="s">
        <v>2895</v>
      </c>
      <c r="O99" s="22" t="s">
        <v>2488</v>
      </c>
      <c r="R99" s="22" t="s">
        <v>3465</v>
      </c>
      <c r="S99" s="22" t="s">
        <v>4084</v>
      </c>
    </row>
    <row r="100" spans="14:19">
      <c r="N100" s="22" t="s">
        <v>2896</v>
      </c>
      <c r="O100" s="22" t="s">
        <v>2489</v>
      </c>
      <c r="R100" s="22" t="s">
        <v>3466</v>
      </c>
      <c r="S100" s="22" t="s">
        <v>4085</v>
      </c>
    </row>
    <row r="101" spans="14:19">
      <c r="N101" s="22" t="s">
        <v>3178</v>
      </c>
      <c r="O101" s="22" t="s">
        <v>2490</v>
      </c>
      <c r="R101" s="22" t="s">
        <v>3467</v>
      </c>
      <c r="S101" s="22" t="s">
        <v>4086</v>
      </c>
    </row>
    <row r="102" spans="14:19">
      <c r="N102" s="57" t="s">
        <v>3249</v>
      </c>
      <c r="O102" s="22" t="s">
        <v>2491</v>
      </c>
      <c r="R102" s="22" t="s">
        <v>3468</v>
      </c>
      <c r="S102" s="22" t="s">
        <v>4087</v>
      </c>
    </row>
    <row r="103" spans="14:19" ht="26">
      <c r="N103" s="57" t="s">
        <v>3306</v>
      </c>
      <c r="O103" s="22" t="s">
        <v>2492</v>
      </c>
      <c r="R103" s="22" t="s">
        <v>3469</v>
      </c>
      <c r="S103" s="22" t="s">
        <v>4088</v>
      </c>
    </row>
    <row r="104" spans="14:19">
      <c r="N104" s="57" t="s">
        <v>3294</v>
      </c>
      <c r="O104" s="22" t="s">
        <v>2493</v>
      </c>
      <c r="R104" s="22" t="s">
        <v>3470</v>
      </c>
      <c r="S104" s="22" t="s">
        <v>4089</v>
      </c>
    </row>
    <row r="105" spans="14:19">
      <c r="N105" s="22" t="s">
        <v>3184</v>
      </c>
      <c r="O105" s="22" t="s">
        <v>2494</v>
      </c>
      <c r="R105" s="22" t="s">
        <v>3471</v>
      </c>
      <c r="S105" s="22" t="s">
        <v>4090</v>
      </c>
    </row>
    <row r="106" spans="14:19">
      <c r="N106" s="22" t="s">
        <v>4314</v>
      </c>
      <c r="O106" s="22" t="s">
        <v>2495</v>
      </c>
      <c r="R106" s="22" t="s">
        <v>3472</v>
      </c>
      <c r="S106" s="22" t="s">
        <v>4091</v>
      </c>
    </row>
    <row r="107" spans="14:19" ht="52">
      <c r="N107" s="57" t="s">
        <v>4315</v>
      </c>
      <c r="O107" s="22" t="s">
        <v>2496</v>
      </c>
      <c r="R107" s="22" t="s">
        <v>3473</v>
      </c>
      <c r="S107" s="22" t="s">
        <v>4092</v>
      </c>
    </row>
    <row r="108" spans="14:19">
      <c r="N108" s="57" t="s">
        <v>3183</v>
      </c>
      <c r="O108" s="22" t="s">
        <v>2497</v>
      </c>
      <c r="R108" s="22" t="s">
        <v>3474</v>
      </c>
      <c r="S108" s="22" t="s">
        <v>4093</v>
      </c>
    </row>
    <row r="109" spans="14:19" ht="26">
      <c r="N109" s="57" t="s">
        <v>2897</v>
      </c>
      <c r="O109" s="22" t="s">
        <v>2498</v>
      </c>
      <c r="R109" s="22" t="s">
        <v>3475</v>
      </c>
      <c r="S109" s="22" t="s">
        <v>4094</v>
      </c>
    </row>
    <row r="110" spans="14:19">
      <c r="N110" s="22" t="s">
        <v>3281</v>
      </c>
      <c r="O110" s="22" t="s">
        <v>2499</v>
      </c>
      <c r="R110" s="22" t="s">
        <v>3476</v>
      </c>
      <c r="S110" s="22" t="s">
        <v>4095</v>
      </c>
    </row>
    <row r="111" spans="14:19">
      <c r="N111" s="22" t="s">
        <v>3309</v>
      </c>
      <c r="O111" s="22" t="s">
        <v>2500</v>
      </c>
      <c r="R111" s="22" t="s">
        <v>3477</v>
      </c>
      <c r="S111" s="22" t="s">
        <v>4096</v>
      </c>
    </row>
    <row r="112" spans="14:19" ht="26">
      <c r="N112" s="57" t="s">
        <v>3295</v>
      </c>
      <c r="O112" s="22" t="s">
        <v>3196</v>
      </c>
      <c r="R112" s="22" t="s">
        <v>3478</v>
      </c>
      <c r="S112" s="22" t="s">
        <v>4097</v>
      </c>
    </row>
    <row r="113" spans="14:19">
      <c r="N113" s="22" t="s">
        <v>3283</v>
      </c>
      <c r="O113" s="22" t="s">
        <v>2501</v>
      </c>
      <c r="R113" s="22" t="s">
        <v>3479</v>
      </c>
      <c r="S113" s="22" t="s">
        <v>4098</v>
      </c>
    </row>
    <row r="114" spans="14:19" ht="26">
      <c r="N114" s="57" t="s">
        <v>3296</v>
      </c>
      <c r="O114" s="22" t="s">
        <v>2502</v>
      </c>
      <c r="R114" s="22" t="s">
        <v>3480</v>
      </c>
      <c r="S114" s="22" t="s">
        <v>4099</v>
      </c>
    </row>
    <row r="115" spans="14:19">
      <c r="N115" s="22" t="s">
        <v>3297</v>
      </c>
      <c r="O115" s="22" t="s">
        <v>2503</v>
      </c>
      <c r="R115" s="22" t="s">
        <v>3481</v>
      </c>
      <c r="S115" s="22" t="s">
        <v>4100</v>
      </c>
    </row>
    <row r="116" spans="14:19" ht="26">
      <c r="N116" s="57" t="s">
        <v>3256</v>
      </c>
      <c r="O116" s="22" t="s">
        <v>2504</v>
      </c>
      <c r="R116" s="22" t="s">
        <v>3482</v>
      </c>
      <c r="S116" s="22" t="s">
        <v>4101</v>
      </c>
    </row>
    <row r="117" spans="14:19" ht="26">
      <c r="N117" s="57" t="s">
        <v>3257</v>
      </c>
      <c r="O117" s="22" t="s">
        <v>2505</v>
      </c>
      <c r="R117" s="22" t="s">
        <v>3483</v>
      </c>
      <c r="S117" s="22" t="s">
        <v>4102</v>
      </c>
    </row>
    <row r="118" spans="14:19" ht="39">
      <c r="N118" s="57" t="s">
        <v>3298</v>
      </c>
      <c r="O118" s="22" t="s">
        <v>2506</v>
      </c>
      <c r="R118" s="22" t="s">
        <v>3484</v>
      </c>
      <c r="S118" s="22" t="s">
        <v>4103</v>
      </c>
    </row>
    <row r="119" spans="14:19">
      <c r="N119" s="22" t="s">
        <v>3260</v>
      </c>
      <c r="O119" s="22" t="s">
        <v>2507</v>
      </c>
      <c r="R119" s="22" t="s">
        <v>3485</v>
      </c>
      <c r="S119" s="22" t="s">
        <v>4104</v>
      </c>
    </row>
    <row r="120" spans="14:19">
      <c r="N120" s="22" t="s">
        <v>3287</v>
      </c>
      <c r="O120" s="22" t="s">
        <v>2508</v>
      </c>
      <c r="R120" s="22" t="s">
        <v>3486</v>
      </c>
      <c r="S120" s="22" t="s">
        <v>4105</v>
      </c>
    </row>
    <row r="121" spans="14:19">
      <c r="N121" s="22" t="s">
        <v>3308</v>
      </c>
      <c r="O121" s="22" t="s">
        <v>2509</v>
      </c>
      <c r="R121" s="22" t="s">
        <v>3487</v>
      </c>
      <c r="S121" s="22" t="s">
        <v>4106</v>
      </c>
    </row>
    <row r="122" spans="14:19">
      <c r="N122" s="57" t="s">
        <v>3182</v>
      </c>
      <c r="O122" s="22" t="s">
        <v>2510</v>
      </c>
      <c r="R122" s="22" t="s">
        <v>3488</v>
      </c>
      <c r="S122" s="22" t="s">
        <v>4107</v>
      </c>
    </row>
    <row r="123" spans="14:19">
      <c r="N123" s="22" t="s">
        <v>2898</v>
      </c>
      <c r="O123" s="22" t="s">
        <v>2511</v>
      </c>
      <c r="R123" s="22" t="s">
        <v>3489</v>
      </c>
      <c r="S123" s="22" t="s">
        <v>4108</v>
      </c>
    </row>
    <row r="124" spans="14:19">
      <c r="N124" s="22" t="s">
        <v>2899</v>
      </c>
      <c r="O124" s="22" t="s">
        <v>2512</v>
      </c>
      <c r="R124" s="22" t="s">
        <v>3490</v>
      </c>
      <c r="S124" s="22" t="s">
        <v>4109</v>
      </c>
    </row>
    <row r="125" spans="14:19">
      <c r="N125" s="22" t="s">
        <v>2900</v>
      </c>
      <c r="O125" s="22" t="s">
        <v>2513</v>
      </c>
      <c r="R125" s="22" t="s">
        <v>3491</v>
      </c>
      <c r="S125" s="22" t="s">
        <v>4110</v>
      </c>
    </row>
    <row r="126" spans="14:19" ht="26">
      <c r="N126" s="57" t="s">
        <v>3217</v>
      </c>
      <c r="O126" s="22" t="s">
        <v>2514</v>
      </c>
      <c r="R126" s="22" t="s">
        <v>3492</v>
      </c>
      <c r="S126" s="22" t="s">
        <v>4111</v>
      </c>
    </row>
    <row r="127" spans="14:19">
      <c r="N127" s="57" t="s">
        <v>3268</v>
      </c>
      <c r="O127" s="22" t="s">
        <v>2515</v>
      </c>
      <c r="R127" s="22" t="s">
        <v>3493</v>
      </c>
      <c r="S127" s="22" t="s">
        <v>4112</v>
      </c>
    </row>
    <row r="128" spans="14:19">
      <c r="N128" s="22" t="s">
        <v>3310</v>
      </c>
      <c r="O128" s="22" t="s">
        <v>2516</v>
      </c>
      <c r="R128" s="22" t="s">
        <v>3494</v>
      </c>
      <c r="S128" s="22" t="s">
        <v>4113</v>
      </c>
    </row>
    <row r="129" spans="14:19">
      <c r="N129" s="22" t="s">
        <v>3305</v>
      </c>
      <c r="O129" s="22" t="s">
        <v>2517</v>
      </c>
      <c r="R129" s="22" t="s">
        <v>3495</v>
      </c>
      <c r="S129" s="22" t="s">
        <v>4114</v>
      </c>
    </row>
    <row r="130" spans="14:19">
      <c r="N130" s="22" t="s">
        <v>3299</v>
      </c>
      <c r="O130" s="22" t="s">
        <v>3197</v>
      </c>
      <c r="R130" s="22" t="s">
        <v>3496</v>
      </c>
      <c r="S130" s="22" t="s">
        <v>4115</v>
      </c>
    </row>
    <row r="131" spans="14:19">
      <c r="N131" s="22" t="s">
        <v>3290</v>
      </c>
      <c r="O131" s="22" t="s">
        <v>2518</v>
      </c>
      <c r="R131" s="22" t="s">
        <v>3497</v>
      </c>
      <c r="S131" s="22" t="s">
        <v>4116</v>
      </c>
    </row>
    <row r="132" spans="14:19">
      <c r="N132" s="22" t="s">
        <v>3311</v>
      </c>
      <c r="O132" s="22" t="s">
        <v>2519</v>
      </c>
      <c r="R132" s="22" t="s">
        <v>3498</v>
      </c>
      <c r="S132" s="22" t="s">
        <v>4117</v>
      </c>
    </row>
    <row r="133" spans="14:19">
      <c r="N133" s="22" t="s">
        <v>3177</v>
      </c>
      <c r="O133" s="22" t="s">
        <v>2520</v>
      </c>
      <c r="R133" s="22" t="s">
        <v>3499</v>
      </c>
      <c r="S133" s="22" t="s">
        <v>4118</v>
      </c>
    </row>
    <row r="134" spans="14:19">
      <c r="N134" s="22" t="s">
        <v>3174</v>
      </c>
      <c r="O134" s="22" t="s">
        <v>2521</v>
      </c>
      <c r="R134" s="22" t="s">
        <v>3500</v>
      </c>
      <c r="S134" s="22" t="s">
        <v>4119</v>
      </c>
    </row>
    <row r="135" spans="14:19">
      <c r="N135" s="22" t="s">
        <v>3292</v>
      </c>
      <c r="O135" s="22" t="s">
        <v>2522</v>
      </c>
      <c r="R135" s="22" t="s">
        <v>3501</v>
      </c>
      <c r="S135" s="22" t="s">
        <v>4120</v>
      </c>
    </row>
    <row r="136" spans="14:19">
      <c r="N136" s="22" t="s">
        <v>3300</v>
      </c>
      <c r="O136" s="22" t="s">
        <v>2523</v>
      </c>
      <c r="R136" s="22" t="s">
        <v>3502</v>
      </c>
      <c r="S136" s="22" t="s">
        <v>4121</v>
      </c>
    </row>
    <row r="137" spans="14:19">
      <c r="N137" s="22" t="s">
        <v>2901</v>
      </c>
      <c r="O137" s="22" t="s">
        <v>2524</v>
      </c>
      <c r="R137" s="22" t="s">
        <v>3503</v>
      </c>
      <c r="S137" s="22" t="s">
        <v>4122</v>
      </c>
    </row>
    <row r="138" spans="14:19">
      <c r="N138" s="22" t="s">
        <v>2902</v>
      </c>
      <c r="O138" s="22" t="s">
        <v>2525</v>
      </c>
      <c r="R138" s="22" t="s">
        <v>3504</v>
      </c>
      <c r="S138" s="22" t="s">
        <v>4123</v>
      </c>
    </row>
    <row r="139" spans="14:19">
      <c r="N139" s="22" t="s">
        <v>2903</v>
      </c>
      <c r="O139" s="22" t="s">
        <v>2526</v>
      </c>
      <c r="R139" s="22" t="s">
        <v>3505</v>
      </c>
      <c r="S139" s="22" t="s">
        <v>4124</v>
      </c>
    </row>
    <row r="140" spans="14:19">
      <c r="N140" s="22" t="s">
        <v>2904</v>
      </c>
      <c r="O140" s="22" t="s">
        <v>3198</v>
      </c>
      <c r="R140" s="22" t="s">
        <v>3506</v>
      </c>
      <c r="S140" s="22" t="s">
        <v>4125</v>
      </c>
    </row>
    <row r="141" spans="14:19">
      <c r="N141" s="22" t="s">
        <v>4316</v>
      </c>
      <c r="O141" s="22" t="s">
        <v>2527</v>
      </c>
      <c r="R141" s="22" t="s">
        <v>3507</v>
      </c>
      <c r="S141" s="22" t="s">
        <v>4126</v>
      </c>
    </row>
    <row r="142" spans="14:19">
      <c r="N142" s="22" t="s">
        <v>2860</v>
      </c>
      <c r="O142" s="22" t="s">
        <v>2528</v>
      </c>
      <c r="R142" s="22" t="s">
        <v>3508</v>
      </c>
      <c r="S142" s="22" t="s">
        <v>4127</v>
      </c>
    </row>
    <row r="143" spans="14:19">
      <c r="N143" s="22" t="s">
        <v>2905</v>
      </c>
      <c r="O143" s="22" t="s">
        <v>2529</v>
      </c>
      <c r="R143" s="22" t="s">
        <v>3509</v>
      </c>
      <c r="S143" s="22" t="s">
        <v>4128</v>
      </c>
    </row>
    <row r="144" spans="14:19">
      <c r="N144" s="22" t="s">
        <v>2906</v>
      </c>
      <c r="O144" s="22" t="s">
        <v>2530</v>
      </c>
      <c r="R144" s="22" t="s">
        <v>3510</v>
      </c>
      <c r="S144" s="22" t="s">
        <v>4129</v>
      </c>
    </row>
    <row r="145" spans="14:19">
      <c r="N145" s="22" t="s">
        <v>3312</v>
      </c>
      <c r="O145" s="22" t="s">
        <v>2531</v>
      </c>
      <c r="R145" s="22" t="s">
        <v>3511</v>
      </c>
      <c r="S145" s="22" t="s">
        <v>4130</v>
      </c>
    </row>
    <row r="146" spans="14:19">
      <c r="N146" s="22" t="s">
        <v>2907</v>
      </c>
      <c r="O146" s="22" t="s">
        <v>2532</v>
      </c>
      <c r="R146" s="22" t="s">
        <v>3512</v>
      </c>
      <c r="S146" s="22" t="s">
        <v>4131</v>
      </c>
    </row>
    <row r="147" spans="14:19">
      <c r="N147" s="22" t="s">
        <v>2908</v>
      </c>
      <c r="O147" s="22" t="s">
        <v>2533</v>
      </c>
      <c r="R147" s="22" t="s">
        <v>3513</v>
      </c>
      <c r="S147" s="22" t="s">
        <v>4132</v>
      </c>
    </row>
    <row r="148" spans="14:19">
      <c r="N148" s="22" t="s">
        <v>4317</v>
      </c>
      <c r="O148" s="22" t="s">
        <v>2534</v>
      </c>
      <c r="R148" s="22" t="s">
        <v>3514</v>
      </c>
      <c r="S148" s="22" t="s">
        <v>4133</v>
      </c>
    </row>
    <row r="149" spans="14:19">
      <c r="N149" s="22" t="s">
        <v>2909</v>
      </c>
      <c r="O149" s="22" t="s">
        <v>2535</v>
      </c>
      <c r="R149" s="22" t="s">
        <v>3515</v>
      </c>
      <c r="S149" s="22" t="s">
        <v>4134</v>
      </c>
    </row>
    <row r="150" spans="14:19">
      <c r="N150" s="22" t="s">
        <v>4318</v>
      </c>
      <c r="O150" s="22" t="s">
        <v>2536</v>
      </c>
      <c r="R150" s="22" t="s">
        <v>3516</v>
      </c>
      <c r="S150" s="22" t="s">
        <v>4135</v>
      </c>
    </row>
    <row r="151" spans="14:19">
      <c r="N151" s="22" t="s">
        <v>4319</v>
      </c>
      <c r="O151" s="22" t="s">
        <v>2537</v>
      </c>
      <c r="R151" s="22" t="s">
        <v>3517</v>
      </c>
      <c r="S151" s="22" t="s">
        <v>4136</v>
      </c>
    </row>
    <row r="152" spans="14:19">
      <c r="N152" s="22" t="s">
        <v>4320</v>
      </c>
      <c r="O152" s="22" t="s">
        <v>2538</v>
      </c>
      <c r="R152" s="22" t="s">
        <v>3518</v>
      </c>
      <c r="S152" s="22" t="s">
        <v>4137</v>
      </c>
    </row>
    <row r="153" spans="14:19">
      <c r="N153" s="22" t="s">
        <v>4321</v>
      </c>
      <c r="O153" s="22" t="s">
        <v>2539</v>
      </c>
      <c r="R153" s="22" t="s">
        <v>3519</v>
      </c>
      <c r="S153" s="22" t="s">
        <v>4138</v>
      </c>
    </row>
    <row r="154" spans="14:19" ht="39">
      <c r="N154" s="57" t="s">
        <v>3286</v>
      </c>
      <c r="O154" s="22" t="s">
        <v>2540</v>
      </c>
      <c r="R154" s="22" t="s">
        <v>3520</v>
      </c>
      <c r="S154" s="22" t="s">
        <v>4139</v>
      </c>
    </row>
    <row r="155" spans="14:19" ht="26">
      <c r="N155" s="57" t="s">
        <v>3193</v>
      </c>
      <c r="O155" s="22" t="s">
        <v>2541</v>
      </c>
      <c r="R155" s="22" t="s">
        <v>3521</v>
      </c>
      <c r="S155" s="22" t="s">
        <v>4140</v>
      </c>
    </row>
    <row r="156" spans="14:19">
      <c r="N156" s="22" t="s">
        <v>3208</v>
      </c>
      <c r="O156" s="22" t="s">
        <v>3199</v>
      </c>
      <c r="R156" s="22" t="s">
        <v>3522</v>
      </c>
      <c r="S156" s="22" t="s">
        <v>4141</v>
      </c>
    </row>
    <row r="157" spans="14:19">
      <c r="N157" s="22" t="s">
        <v>3282</v>
      </c>
      <c r="O157" s="22" t="s">
        <v>2542</v>
      </c>
      <c r="R157" s="22" t="s">
        <v>3523</v>
      </c>
      <c r="S157" s="22" t="s">
        <v>4142</v>
      </c>
    </row>
    <row r="158" spans="14:19">
      <c r="N158" s="22" t="s">
        <v>3211</v>
      </c>
      <c r="O158" s="22" t="s">
        <v>2543</v>
      </c>
      <c r="R158" s="22" t="s">
        <v>3524</v>
      </c>
      <c r="S158" s="22" t="s">
        <v>4143</v>
      </c>
    </row>
    <row r="159" spans="14:19">
      <c r="N159" s="22" t="s">
        <v>3272</v>
      </c>
      <c r="O159" s="22" t="s">
        <v>2544</v>
      </c>
      <c r="R159" s="22" t="s">
        <v>3525</v>
      </c>
      <c r="S159" s="22" t="s">
        <v>4144</v>
      </c>
    </row>
    <row r="160" spans="14:19">
      <c r="N160" s="22" t="s">
        <v>2910</v>
      </c>
      <c r="O160" s="22" t="s">
        <v>2545</v>
      </c>
      <c r="R160" s="22" t="s">
        <v>3526</v>
      </c>
      <c r="S160" s="22" t="s">
        <v>4145</v>
      </c>
    </row>
    <row r="161" spans="14:19">
      <c r="N161" s="22" t="s">
        <v>2911</v>
      </c>
      <c r="O161" s="22" t="s">
        <v>2546</v>
      </c>
      <c r="R161" s="22" t="s">
        <v>3527</v>
      </c>
      <c r="S161" s="22" t="s">
        <v>4146</v>
      </c>
    </row>
    <row r="162" spans="14:19">
      <c r="N162" s="22" t="s">
        <v>2912</v>
      </c>
      <c r="O162" s="22" t="s">
        <v>2547</v>
      </c>
      <c r="R162" s="22" t="s">
        <v>3528</v>
      </c>
      <c r="S162" s="22" t="s">
        <v>4147</v>
      </c>
    </row>
    <row r="163" spans="14:19">
      <c r="N163" s="22" t="s">
        <v>2913</v>
      </c>
      <c r="O163" s="22" t="s">
        <v>2548</v>
      </c>
      <c r="R163" s="22" t="s">
        <v>3529</v>
      </c>
      <c r="S163" s="22" t="s">
        <v>4148</v>
      </c>
    </row>
    <row r="164" spans="14:19" ht="26">
      <c r="N164" s="57" t="s">
        <v>2914</v>
      </c>
      <c r="O164" s="22" t="s">
        <v>2549</v>
      </c>
      <c r="R164" s="22" t="s">
        <v>3530</v>
      </c>
      <c r="S164" s="22" t="s">
        <v>4149</v>
      </c>
    </row>
    <row r="165" spans="14:19" ht="52">
      <c r="N165" s="57" t="s">
        <v>3194</v>
      </c>
      <c r="O165" s="22" t="s">
        <v>2549</v>
      </c>
      <c r="R165" s="22" t="s">
        <v>3531</v>
      </c>
      <c r="S165" s="22" t="s">
        <v>4150</v>
      </c>
    </row>
    <row r="166" spans="14:19">
      <c r="N166" s="22" t="s">
        <v>3209</v>
      </c>
      <c r="O166" s="22" t="s">
        <v>2549</v>
      </c>
      <c r="R166" s="22" t="s">
        <v>3532</v>
      </c>
      <c r="S166" s="22" t="s">
        <v>4151</v>
      </c>
    </row>
    <row r="167" spans="14:19">
      <c r="N167" s="22" t="s">
        <v>3218</v>
      </c>
      <c r="O167" s="22" t="s">
        <v>2550</v>
      </c>
      <c r="R167" s="22" t="s">
        <v>3533</v>
      </c>
      <c r="S167" s="22" t="s">
        <v>4152</v>
      </c>
    </row>
    <row r="168" spans="14:19">
      <c r="N168" s="22" t="s">
        <v>3273</v>
      </c>
      <c r="O168" s="22" t="s">
        <v>2551</v>
      </c>
      <c r="R168" s="22" t="s">
        <v>3534</v>
      </c>
      <c r="S168" s="22" t="s">
        <v>4153</v>
      </c>
    </row>
    <row r="169" spans="14:19">
      <c r="N169" s="22" t="s">
        <v>4322</v>
      </c>
      <c r="O169" s="22" t="s">
        <v>2552</v>
      </c>
      <c r="R169" s="22" t="s">
        <v>3535</v>
      </c>
      <c r="S169" s="22" t="s">
        <v>4154</v>
      </c>
    </row>
    <row r="170" spans="14:19">
      <c r="N170" s="22" t="s">
        <v>3269</v>
      </c>
      <c r="O170" s="22" t="s">
        <v>2553</v>
      </c>
      <c r="R170" s="22" t="s">
        <v>3536</v>
      </c>
      <c r="S170" s="22" t="s">
        <v>4155</v>
      </c>
    </row>
    <row r="171" spans="14:19">
      <c r="N171" s="22" t="s">
        <v>2915</v>
      </c>
      <c r="O171" s="22" t="s">
        <v>2554</v>
      </c>
      <c r="R171" s="22" t="s">
        <v>3537</v>
      </c>
      <c r="S171" s="22" t="s">
        <v>4156</v>
      </c>
    </row>
    <row r="172" spans="14:19">
      <c r="N172" s="22" t="s">
        <v>3258</v>
      </c>
      <c r="O172" s="22" t="s">
        <v>2555</v>
      </c>
      <c r="R172" s="22" t="s">
        <v>3538</v>
      </c>
      <c r="S172" s="22" t="s">
        <v>4157</v>
      </c>
    </row>
    <row r="173" spans="14:19">
      <c r="N173" s="22" t="s">
        <v>2916</v>
      </c>
      <c r="O173" s="22" t="s">
        <v>2556</v>
      </c>
      <c r="R173" s="22" t="s">
        <v>3539</v>
      </c>
      <c r="S173" s="22" t="s">
        <v>4158</v>
      </c>
    </row>
    <row r="174" spans="14:19">
      <c r="N174" s="22" t="s">
        <v>4323</v>
      </c>
      <c r="O174" s="22" t="s">
        <v>3200</v>
      </c>
      <c r="R174" s="22" t="s">
        <v>3540</v>
      </c>
      <c r="S174" s="22" t="s">
        <v>4159</v>
      </c>
    </row>
    <row r="175" spans="14:19">
      <c r="N175" s="22" t="s">
        <v>2917</v>
      </c>
      <c r="O175" s="22" t="s">
        <v>2557</v>
      </c>
      <c r="R175" s="22" t="s">
        <v>3541</v>
      </c>
      <c r="S175" s="22" t="s">
        <v>4160</v>
      </c>
    </row>
    <row r="176" spans="14:19">
      <c r="N176" s="22" t="s">
        <v>2918</v>
      </c>
      <c r="O176" s="22" t="s">
        <v>2558</v>
      </c>
      <c r="R176" s="22" t="s">
        <v>3542</v>
      </c>
      <c r="S176" s="22" t="s">
        <v>4161</v>
      </c>
    </row>
    <row r="177" spans="14:19">
      <c r="N177" s="22" t="s">
        <v>2864</v>
      </c>
      <c r="O177" s="22" t="s">
        <v>2559</v>
      </c>
      <c r="R177" s="22" t="s">
        <v>3543</v>
      </c>
      <c r="S177" s="22" t="s">
        <v>4162</v>
      </c>
    </row>
    <row r="178" spans="14:19">
      <c r="N178" s="22" t="s">
        <v>3226</v>
      </c>
      <c r="O178" s="22" t="s">
        <v>2560</v>
      </c>
      <c r="R178" s="22" t="s">
        <v>3544</v>
      </c>
      <c r="S178" s="22" t="s">
        <v>4163</v>
      </c>
    </row>
    <row r="179" spans="14:19">
      <c r="N179" s="22" t="s">
        <v>2919</v>
      </c>
      <c r="O179" s="22" t="s">
        <v>2561</v>
      </c>
      <c r="R179" s="22" t="s">
        <v>3545</v>
      </c>
      <c r="S179" s="22" t="s">
        <v>4164</v>
      </c>
    </row>
    <row r="180" spans="14:19">
      <c r="N180" s="22" t="s">
        <v>3301</v>
      </c>
      <c r="O180" s="22" t="s">
        <v>2562</v>
      </c>
      <c r="R180" s="22" t="s">
        <v>3546</v>
      </c>
      <c r="S180" s="22" t="s">
        <v>4165</v>
      </c>
    </row>
    <row r="181" spans="14:19">
      <c r="N181" s="22" t="s">
        <v>4324</v>
      </c>
      <c r="O181" s="22" t="s">
        <v>2563</v>
      </c>
      <c r="R181" s="22" t="s">
        <v>3547</v>
      </c>
      <c r="S181" s="22" t="s">
        <v>4166</v>
      </c>
    </row>
    <row r="182" spans="14:19">
      <c r="N182" s="22" t="s">
        <v>3228</v>
      </c>
      <c r="O182" s="22" t="s">
        <v>2564</v>
      </c>
      <c r="R182" s="22" t="s">
        <v>3548</v>
      </c>
      <c r="S182" s="22" t="s">
        <v>4167</v>
      </c>
    </row>
    <row r="183" spans="14:19">
      <c r="N183" s="22" t="s">
        <v>2920</v>
      </c>
      <c r="O183" s="22" t="s">
        <v>2565</v>
      </c>
      <c r="R183" s="22" t="s">
        <v>3549</v>
      </c>
      <c r="S183" s="22" t="s">
        <v>4168</v>
      </c>
    </row>
    <row r="184" spans="14:19">
      <c r="N184" s="22" t="s">
        <v>3250</v>
      </c>
      <c r="O184" s="22" t="s">
        <v>2566</v>
      </c>
      <c r="R184" s="22" t="s">
        <v>3550</v>
      </c>
      <c r="S184" s="22" t="s">
        <v>4169</v>
      </c>
    </row>
    <row r="185" spans="14:19">
      <c r="N185" s="22" t="s">
        <v>2862</v>
      </c>
      <c r="O185" s="22" t="s">
        <v>2567</v>
      </c>
      <c r="R185" s="22" t="s">
        <v>3551</v>
      </c>
      <c r="S185" s="22" t="s">
        <v>4170</v>
      </c>
    </row>
    <row r="186" spans="14:19">
      <c r="N186" s="22" t="s">
        <v>4325</v>
      </c>
      <c r="O186" s="22" t="s">
        <v>2567</v>
      </c>
      <c r="R186" s="22" t="s">
        <v>3552</v>
      </c>
      <c r="S186" s="22" t="s">
        <v>4171</v>
      </c>
    </row>
    <row r="187" spans="14:19">
      <c r="N187" s="22" t="s">
        <v>2921</v>
      </c>
      <c r="O187" s="22" t="s">
        <v>2567</v>
      </c>
      <c r="R187" s="22" t="s">
        <v>3553</v>
      </c>
      <c r="S187" s="22" t="s">
        <v>4172</v>
      </c>
    </row>
    <row r="188" spans="14:19">
      <c r="N188" s="22" t="s">
        <v>2922</v>
      </c>
      <c r="O188" s="22" t="s">
        <v>2568</v>
      </c>
      <c r="R188" s="22" t="s">
        <v>3554</v>
      </c>
      <c r="S188" s="22" t="s">
        <v>4173</v>
      </c>
    </row>
    <row r="189" spans="14:19">
      <c r="N189" s="22" t="s">
        <v>2923</v>
      </c>
      <c r="O189" s="22" t="s">
        <v>2569</v>
      </c>
      <c r="R189" s="22" t="s">
        <v>3555</v>
      </c>
      <c r="S189" s="22" t="s">
        <v>4174</v>
      </c>
    </row>
    <row r="190" spans="14:19">
      <c r="N190" s="22" t="s">
        <v>2924</v>
      </c>
      <c r="O190" s="22" t="s">
        <v>2570</v>
      </c>
      <c r="R190" s="22" t="s">
        <v>3556</v>
      </c>
      <c r="S190" s="22" t="s">
        <v>4175</v>
      </c>
    </row>
    <row r="191" spans="14:19">
      <c r="N191" s="22" t="s">
        <v>2925</v>
      </c>
      <c r="O191" s="22" t="s">
        <v>2571</v>
      </c>
      <c r="R191" s="22" t="s">
        <v>3557</v>
      </c>
      <c r="S191" s="22" t="s">
        <v>4176</v>
      </c>
    </row>
    <row r="192" spans="14:19">
      <c r="N192" s="22" t="s">
        <v>4326</v>
      </c>
      <c r="O192" s="22" t="s">
        <v>2572</v>
      </c>
      <c r="R192" s="22" t="s">
        <v>3558</v>
      </c>
      <c r="S192" s="22" t="s">
        <v>4177</v>
      </c>
    </row>
    <row r="193" spans="14:19">
      <c r="N193" s="22" t="s">
        <v>2926</v>
      </c>
      <c r="O193" s="22" t="s">
        <v>2573</v>
      </c>
      <c r="R193" s="22" t="s">
        <v>3559</v>
      </c>
      <c r="S193" s="22" t="s">
        <v>4178</v>
      </c>
    </row>
    <row r="194" spans="14:19">
      <c r="N194" s="22" t="s">
        <v>4327</v>
      </c>
      <c r="O194" s="22" t="s">
        <v>2574</v>
      </c>
      <c r="R194" s="22" t="s">
        <v>3560</v>
      </c>
      <c r="S194" s="22" t="s">
        <v>4179</v>
      </c>
    </row>
    <row r="195" spans="14:19">
      <c r="N195" s="22" t="s">
        <v>3251</v>
      </c>
      <c r="O195" s="22" t="s">
        <v>2575</v>
      </c>
      <c r="R195" s="22" t="s">
        <v>3561</v>
      </c>
      <c r="S195" s="22" t="s">
        <v>4180</v>
      </c>
    </row>
    <row r="196" spans="14:19">
      <c r="N196" s="22" t="s">
        <v>4328</v>
      </c>
      <c r="O196" s="22" t="s">
        <v>2576</v>
      </c>
      <c r="R196" s="22" t="s">
        <v>3562</v>
      </c>
      <c r="S196" s="22" t="s">
        <v>4181</v>
      </c>
    </row>
    <row r="197" spans="14:19">
      <c r="N197" s="22" t="s">
        <v>3270</v>
      </c>
      <c r="O197" s="22" t="s">
        <v>2577</v>
      </c>
      <c r="R197" s="22" t="s">
        <v>3563</v>
      </c>
      <c r="S197" s="22" t="s">
        <v>4182</v>
      </c>
    </row>
    <row r="198" spans="14:19">
      <c r="N198" s="22" t="s">
        <v>4329</v>
      </c>
      <c r="O198" s="22" t="s">
        <v>2578</v>
      </c>
      <c r="R198" s="22" t="s">
        <v>3564</v>
      </c>
      <c r="S198" s="22" t="s">
        <v>4183</v>
      </c>
    </row>
    <row r="199" spans="14:19">
      <c r="N199" s="22" t="s">
        <v>2927</v>
      </c>
      <c r="O199" s="22" t="s">
        <v>2579</v>
      </c>
      <c r="R199" s="22" t="s">
        <v>3565</v>
      </c>
      <c r="S199" s="22" t="s">
        <v>4184</v>
      </c>
    </row>
    <row r="200" spans="14:19">
      <c r="N200" s="22" t="s">
        <v>4330</v>
      </c>
      <c r="O200" s="22" t="s">
        <v>2579</v>
      </c>
      <c r="R200" s="22" t="s">
        <v>3566</v>
      </c>
      <c r="S200" s="22" t="s">
        <v>4185</v>
      </c>
    </row>
    <row r="201" spans="14:19">
      <c r="N201" s="22" t="s">
        <v>2928</v>
      </c>
      <c r="O201" s="22" t="s">
        <v>2579</v>
      </c>
      <c r="R201" s="22" t="s">
        <v>3567</v>
      </c>
      <c r="S201" s="22" t="s">
        <v>4186</v>
      </c>
    </row>
    <row r="202" spans="14:19">
      <c r="N202" s="22" t="s">
        <v>2859</v>
      </c>
      <c r="O202" s="22" t="s">
        <v>2580</v>
      </c>
      <c r="R202" s="22" t="s">
        <v>3568</v>
      </c>
      <c r="S202" s="22" t="s">
        <v>4187</v>
      </c>
    </row>
    <row r="203" spans="14:19">
      <c r="N203" s="22" t="s">
        <v>3284</v>
      </c>
      <c r="O203" s="22" t="s">
        <v>2581</v>
      </c>
      <c r="R203" s="22" t="s">
        <v>3569</v>
      </c>
      <c r="S203" s="22" t="s">
        <v>4188</v>
      </c>
    </row>
    <row r="204" spans="14:19">
      <c r="N204" s="22" t="s">
        <v>2929</v>
      </c>
      <c r="O204" s="22" t="s">
        <v>2582</v>
      </c>
      <c r="R204" s="22" t="s">
        <v>4252</v>
      </c>
      <c r="S204" s="22" t="s">
        <v>4189</v>
      </c>
    </row>
    <row r="205" spans="14:19">
      <c r="N205" s="22" t="s">
        <v>3274</v>
      </c>
      <c r="O205" s="22" t="s">
        <v>2583</v>
      </c>
      <c r="R205" s="22" t="s">
        <v>4253</v>
      </c>
      <c r="S205" s="22" t="s">
        <v>4190</v>
      </c>
    </row>
    <row r="206" spans="14:19">
      <c r="N206" s="22" t="s">
        <v>3288</v>
      </c>
      <c r="O206" s="22" t="s">
        <v>2584</v>
      </c>
      <c r="R206" s="22" t="s">
        <v>4254</v>
      </c>
      <c r="S206" s="22" t="s">
        <v>4191</v>
      </c>
    </row>
    <row r="207" spans="14:19">
      <c r="N207" s="22" t="s">
        <v>3271</v>
      </c>
      <c r="O207" s="22" t="s">
        <v>2585</v>
      </c>
      <c r="R207" s="22" t="s">
        <v>4255</v>
      </c>
      <c r="S207" s="22" t="s">
        <v>4192</v>
      </c>
    </row>
    <row r="208" spans="14:19">
      <c r="N208" s="22" t="s">
        <v>2930</v>
      </c>
      <c r="O208" s="22" t="s">
        <v>2586</v>
      </c>
      <c r="R208" s="22" t="s">
        <v>4256</v>
      </c>
      <c r="S208" s="22" t="s">
        <v>4193</v>
      </c>
    </row>
    <row r="209" spans="14:19">
      <c r="N209" s="22" t="s">
        <v>2931</v>
      </c>
      <c r="O209" s="22" t="s">
        <v>2587</v>
      </c>
      <c r="R209" s="22" t="s">
        <v>4257</v>
      </c>
      <c r="S209" s="22" t="s">
        <v>4194</v>
      </c>
    </row>
    <row r="210" spans="14:19">
      <c r="N210" s="22" t="s">
        <v>3189</v>
      </c>
      <c r="O210" s="22" t="s">
        <v>2588</v>
      </c>
      <c r="R210" s="22" t="s">
        <v>4258</v>
      </c>
      <c r="S210" s="22" t="s">
        <v>4195</v>
      </c>
    </row>
    <row r="211" spans="14:19">
      <c r="N211" s="22" t="s">
        <v>3191</v>
      </c>
      <c r="O211" s="22" t="s">
        <v>2589</v>
      </c>
      <c r="R211" s="22" t="s">
        <v>4269</v>
      </c>
      <c r="S211" s="22" t="s">
        <v>4196</v>
      </c>
    </row>
    <row r="212" spans="14:19">
      <c r="N212" s="22" t="s">
        <v>2932</v>
      </c>
      <c r="O212" s="22" t="s">
        <v>2590</v>
      </c>
      <c r="R212" s="22" t="s">
        <v>3570</v>
      </c>
      <c r="S212" s="22" t="s">
        <v>4197</v>
      </c>
    </row>
    <row r="213" spans="14:19">
      <c r="N213" s="22" t="s">
        <v>4331</v>
      </c>
      <c r="O213" s="22" t="s">
        <v>2591</v>
      </c>
      <c r="R213" s="22" t="s">
        <v>3571</v>
      </c>
      <c r="S213" s="22" t="s">
        <v>4198</v>
      </c>
    </row>
    <row r="214" spans="14:19">
      <c r="N214" s="22" t="s">
        <v>3302</v>
      </c>
      <c r="O214" s="22" t="s">
        <v>2592</v>
      </c>
      <c r="R214" s="22" t="s">
        <v>3572</v>
      </c>
      <c r="S214" s="22" t="s">
        <v>4199</v>
      </c>
    </row>
    <row r="215" spans="14:19">
      <c r="N215" s="22" t="s">
        <v>3185</v>
      </c>
      <c r="O215" s="22" t="s">
        <v>2593</v>
      </c>
      <c r="R215" s="22" t="s">
        <v>3573</v>
      </c>
      <c r="S215" s="22" t="s">
        <v>4200</v>
      </c>
    </row>
    <row r="216" spans="14:19">
      <c r="N216" s="22" t="s">
        <v>2933</v>
      </c>
      <c r="O216" s="22" t="s">
        <v>2594</v>
      </c>
      <c r="R216" s="22" t="s">
        <v>3574</v>
      </c>
      <c r="S216" s="22" t="s">
        <v>4201</v>
      </c>
    </row>
    <row r="217" spans="14:19">
      <c r="N217" s="22" t="s">
        <v>2934</v>
      </c>
      <c r="O217" s="22" t="s">
        <v>2595</v>
      </c>
      <c r="R217" s="22" t="s">
        <v>3575</v>
      </c>
      <c r="S217" s="22" t="s">
        <v>4202</v>
      </c>
    </row>
    <row r="218" spans="14:19">
      <c r="N218" s="22" t="s">
        <v>4332</v>
      </c>
      <c r="O218" s="22" t="s">
        <v>2596</v>
      </c>
      <c r="R218" s="22" t="s">
        <v>3576</v>
      </c>
      <c r="S218" s="22" t="s">
        <v>4203</v>
      </c>
    </row>
    <row r="219" spans="14:19">
      <c r="N219" s="22" t="s">
        <v>4333</v>
      </c>
      <c r="O219" s="22" t="s">
        <v>2597</v>
      </c>
      <c r="R219" s="22" t="s">
        <v>3577</v>
      </c>
      <c r="S219" s="22" t="s">
        <v>4204</v>
      </c>
    </row>
    <row r="220" spans="14:19">
      <c r="N220" s="22" t="s">
        <v>3252</v>
      </c>
      <c r="O220" s="22" t="s">
        <v>2598</v>
      </c>
      <c r="R220" s="22" t="s">
        <v>3578</v>
      </c>
      <c r="S220" s="22" t="s">
        <v>4205</v>
      </c>
    </row>
    <row r="221" spans="14:19">
      <c r="N221" s="22" t="s">
        <v>2364</v>
      </c>
      <c r="O221" s="22" t="s">
        <v>2599</v>
      </c>
      <c r="R221" s="22" t="s">
        <v>3579</v>
      </c>
      <c r="S221" s="22" t="s">
        <v>4206</v>
      </c>
    </row>
    <row r="222" spans="14:19">
      <c r="N222" s="22" t="s">
        <v>4334</v>
      </c>
      <c r="O222" s="22" t="s">
        <v>3276</v>
      </c>
      <c r="R222" s="22" t="s">
        <v>3580</v>
      </c>
      <c r="S222" s="22" t="s">
        <v>4207</v>
      </c>
    </row>
    <row r="223" spans="14:19">
      <c r="N223" s="22" t="s">
        <v>2935</v>
      </c>
      <c r="O223" s="22" t="s">
        <v>3261</v>
      </c>
      <c r="R223" s="22" t="s">
        <v>3581</v>
      </c>
      <c r="S223" s="22" t="s">
        <v>4208</v>
      </c>
    </row>
    <row r="224" spans="14:19">
      <c r="N224" s="22" t="s">
        <v>2843</v>
      </c>
      <c r="O224" s="22" t="s">
        <v>2600</v>
      </c>
      <c r="R224" s="22" t="s">
        <v>3582</v>
      </c>
      <c r="S224" s="22" t="s">
        <v>4209</v>
      </c>
    </row>
    <row r="225" spans="14:19">
      <c r="N225" s="22" t="s">
        <v>3266</v>
      </c>
      <c r="O225" s="22" t="s">
        <v>2601</v>
      </c>
      <c r="R225" s="22" t="s">
        <v>3583</v>
      </c>
      <c r="S225" s="22" t="s">
        <v>4210</v>
      </c>
    </row>
    <row r="226" spans="14:19">
      <c r="N226" s="22" t="s">
        <v>4335</v>
      </c>
      <c r="O226" s="22" t="s">
        <v>2602</v>
      </c>
      <c r="R226" s="22" t="s">
        <v>3584</v>
      </c>
      <c r="S226" s="22" t="s">
        <v>4211</v>
      </c>
    </row>
    <row r="227" spans="14:19">
      <c r="N227" s="22" t="s">
        <v>2936</v>
      </c>
      <c r="O227" s="22" t="s">
        <v>2603</v>
      </c>
      <c r="R227" s="22" t="s">
        <v>3585</v>
      </c>
      <c r="S227" s="22" t="s">
        <v>4212</v>
      </c>
    </row>
    <row r="228" spans="14:19">
      <c r="N228" s="22" t="s">
        <v>2937</v>
      </c>
      <c r="O228" s="22" t="s">
        <v>2604</v>
      </c>
      <c r="R228" s="22" t="s">
        <v>3586</v>
      </c>
      <c r="S228" s="22" t="s">
        <v>4213</v>
      </c>
    </row>
    <row r="229" spans="14:19">
      <c r="N229" s="22" t="s">
        <v>4336</v>
      </c>
      <c r="O229" s="22" t="s">
        <v>2605</v>
      </c>
      <c r="R229" s="22" t="s">
        <v>3587</v>
      </c>
      <c r="S229" s="22" t="s">
        <v>4214</v>
      </c>
    </row>
    <row r="230" spans="14:19">
      <c r="N230" s="22" t="s">
        <v>4337</v>
      </c>
      <c r="O230" s="22" t="s">
        <v>2605</v>
      </c>
      <c r="R230" s="22" t="s">
        <v>3588</v>
      </c>
      <c r="S230" s="22" t="s">
        <v>4215</v>
      </c>
    </row>
    <row r="231" spans="14:19">
      <c r="N231" s="22" t="s">
        <v>3307</v>
      </c>
      <c r="O231" s="22" t="s">
        <v>2605</v>
      </c>
      <c r="R231" s="22" t="s">
        <v>3589</v>
      </c>
      <c r="S231" s="22" t="s">
        <v>4216</v>
      </c>
    </row>
    <row r="232" spans="14:19">
      <c r="N232" s="22" t="s">
        <v>2938</v>
      </c>
      <c r="O232" s="22" t="s">
        <v>2606</v>
      </c>
      <c r="R232" s="22" t="s">
        <v>3590</v>
      </c>
      <c r="S232" s="22" t="s">
        <v>4217</v>
      </c>
    </row>
    <row r="233" spans="14:19">
      <c r="N233" s="22" t="s">
        <v>3188</v>
      </c>
      <c r="O233" s="22" t="s">
        <v>2607</v>
      </c>
      <c r="R233" s="22" t="s">
        <v>3591</v>
      </c>
      <c r="S233" s="22" t="s">
        <v>4218</v>
      </c>
    </row>
    <row r="234" spans="14:19">
      <c r="N234" s="22" t="s">
        <v>2939</v>
      </c>
      <c r="O234" s="22" t="s">
        <v>2608</v>
      </c>
      <c r="R234" s="22" t="s">
        <v>3592</v>
      </c>
    </row>
    <row r="235" spans="14:19">
      <c r="N235" s="22" t="s">
        <v>3285</v>
      </c>
      <c r="O235" s="22" t="s">
        <v>2609</v>
      </c>
      <c r="R235" s="22" t="s">
        <v>3593</v>
      </c>
    </row>
    <row r="236" spans="14:19">
      <c r="N236" s="22" t="s">
        <v>2940</v>
      </c>
      <c r="O236" s="22" t="s">
        <v>2610</v>
      </c>
      <c r="R236" s="22" t="s">
        <v>3594</v>
      </c>
    </row>
    <row r="237" spans="14:19">
      <c r="N237" s="22" t="s">
        <v>2941</v>
      </c>
      <c r="O237" s="22" t="s">
        <v>2611</v>
      </c>
      <c r="R237" s="22" t="s">
        <v>3595</v>
      </c>
    </row>
    <row r="238" spans="14:19">
      <c r="N238" s="22" t="s">
        <v>2942</v>
      </c>
      <c r="O238" s="22" t="s">
        <v>2612</v>
      </c>
      <c r="R238" s="22" t="s">
        <v>3596</v>
      </c>
    </row>
    <row r="239" spans="14:19">
      <c r="N239" s="22" t="s">
        <v>4338</v>
      </c>
      <c r="O239" s="22" t="s">
        <v>2613</v>
      </c>
      <c r="R239" s="22" t="s">
        <v>3597</v>
      </c>
    </row>
    <row r="240" spans="14:19">
      <c r="N240" s="22" t="s">
        <v>2943</v>
      </c>
      <c r="O240" s="22" t="s">
        <v>2614</v>
      </c>
      <c r="R240" s="22" t="s">
        <v>3598</v>
      </c>
    </row>
    <row r="241" spans="14:18">
      <c r="N241" s="22" t="s">
        <v>4339</v>
      </c>
      <c r="O241" s="22" t="s">
        <v>2615</v>
      </c>
      <c r="R241" s="22" t="s">
        <v>3599</v>
      </c>
    </row>
    <row r="242" spans="14:18">
      <c r="N242" s="22" t="s">
        <v>2944</v>
      </c>
      <c r="O242" s="22" t="s">
        <v>2616</v>
      </c>
      <c r="R242" s="22" t="s">
        <v>3600</v>
      </c>
    </row>
    <row r="243" spans="14:18">
      <c r="N243" s="22" t="s">
        <v>3159</v>
      </c>
      <c r="O243" s="22" t="s">
        <v>2617</v>
      </c>
      <c r="R243" s="22" t="s">
        <v>3601</v>
      </c>
    </row>
    <row r="244" spans="14:18">
      <c r="N244" s="22" t="s">
        <v>2945</v>
      </c>
      <c r="O244" s="22" t="s">
        <v>2617</v>
      </c>
      <c r="R244" s="22" t="s">
        <v>3602</v>
      </c>
    </row>
    <row r="245" spans="14:18">
      <c r="N245" s="22" t="s">
        <v>3259</v>
      </c>
      <c r="O245" s="22" t="s">
        <v>2617</v>
      </c>
      <c r="R245" s="22" t="s">
        <v>3603</v>
      </c>
    </row>
    <row r="246" spans="14:18">
      <c r="N246" s="22" t="s">
        <v>3164</v>
      </c>
      <c r="O246" s="22" t="s">
        <v>2618</v>
      </c>
      <c r="R246" s="22" t="s">
        <v>3604</v>
      </c>
    </row>
    <row r="247" spans="14:18">
      <c r="N247" s="22" t="s">
        <v>3179</v>
      </c>
      <c r="O247" s="22" t="s">
        <v>2619</v>
      </c>
      <c r="R247" s="22" t="s">
        <v>3605</v>
      </c>
    </row>
    <row r="248" spans="14:18">
      <c r="N248" s="22" t="s">
        <v>3176</v>
      </c>
      <c r="O248" s="22" t="s">
        <v>2620</v>
      </c>
      <c r="R248" s="22" t="s">
        <v>3606</v>
      </c>
    </row>
    <row r="249" spans="14:18">
      <c r="N249" s="22" t="s">
        <v>3175</v>
      </c>
      <c r="O249" s="22" t="s">
        <v>2621</v>
      </c>
      <c r="R249" s="22" t="s">
        <v>3607</v>
      </c>
    </row>
    <row r="250" spans="14:18">
      <c r="N250" s="22" t="s">
        <v>4340</v>
      </c>
      <c r="O250" s="22" t="s">
        <v>2622</v>
      </c>
      <c r="R250" s="22" t="s">
        <v>3608</v>
      </c>
    </row>
    <row r="251" spans="14:18">
      <c r="N251" s="22" t="s">
        <v>4341</v>
      </c>
      <c r="O251" s="22" t="s">
        <v>2623</v>
      </c>
      <c r="R251" s="22" t="s">
        <v>3609</v>
      </c>
    </row>
    <row r="252" spans="14:18">
      <c r="N252" s="22" t="s">
        <v>4342</v>
      </c>
      <c r="O252" s="22" t="s">
        <v>2624</v>
      </c>
      <c r="R252" s="22" t="s">
        <v>3610</v>
      </c>
    </row>
    <row r="253" spans="14:18">
      <c r="N253" s="22" t="s">
        <v>2946</v>
      </c>
      <c r="O253" s="22" t="s">
        <v>2625</v>
      </c>
      <c r="R253" s="22" t="s">
        <v>3611</v>
      </c>
    </row>
    <row r="254" spans="14:18">
      <c r="N254" s="22" t="s">
        <v>3275</v>
      </c>
      <c r="O254" s="22" t="s">
        <v>2626</v>
      </c>
      <c r="R254" s="22" t="s">
        <v>3612</v>
      </c>
    </row>
    <row r="255" spans="14:18">
      <c r="N255" s="22" t="s">
        <v>2947</v>
      </c>
      <c r="O255" s="22" t="s">
        <v>2627</v>
      </c>
      <c r="R255" s="22" t="s">
        <v>3613</v>
      </c>
    </row>
    <row r="256" spans="14:18">
      <c r="N256" s="22" t="s">
        <v>3253</v>
      </c>
      <c r="O256" s="22" t="s">
        <v>2628</v>
      </c>
      <c r="R256" s="22" t="s">
        <v>3614</v>
      </c>
    </row>
    <row r="257" spans="14:18">
      <c r="N257" s="22" t="s">
        <v>2948</v>
      </c>
      <c r="O257" s="22" t="s">
        <v>2628</v>
      </c>
      <c r="R257" s="22" t="s">
        <v>3615</v>
      </c>
    </row>
    <row r="258" spans="14:18">
      <c r="N258" s="22" t="s">
        <v>4383</v>
      </c>
      <c r="O258" s="22" t="s">
        <v>4343</v>
      </c>
      <c r="R258" s="22" t="s">
        <v>3616</v>
      </c>
    </row>
    <row r="259" spans="14:18">
      <c r="N259" s="22" t="s">
        <v>4351</v>
      </c>
      <c r="O259" s="22" t="s">
        <v>4344</v>
      </c>
      <c r="R259" s="22" t="s">
        <v>3617</v>
      </c>
    </row>
    <row r="260" spans="14:18">
      <c r="N260" s="22" t="s">
        <v>4352</v>
      </c>
      <c r="O260" s="22" t="s">
        <v>4345</v>
      </c>
      <c r="R260" s="22" t="s">
        <v>3618</v>
      </c>
    </row>
    <row r="261" spans="14:18">
      <c r="N261" s="22" t="s">
        <v>4353</v>
      </c>
      <c r="O261" s="22" t="s">
        <v>4346</v>
      </c>
      <c r="R261" s="22" t="s">
        <v>3619</v>
      </c>
    </row>
    <row r="262" spans="14:18">
      <c r="N262" s="22" t="s">
        <v>4354</v>
      </c>
      <c r="O262" s="22" t="s">
        <v>4347</v>
      </c>
      <c r="R262" s="22" t="s">
        <v>3620</v>
      </c>
    </row>
    <row r="263" spans="14:18">
      <c r="N263" s="22" t="s">
        <v>4355</v>
      </c>
      <c r="O263" s="22" t="s">
        <v>4348</v>
      </c>
      <c r="R263" s="22" t="s">
        <v>3621</v>
      </c>
    </row>
    <row r="264" spans="14:18">
      <c r="N264" s="22" t="s">
        <v>4356</v>
      </c>
      <c r="O264" s="22" t="s">
        <v>4349</v>
      </c>
      <c r="R264" s="22" t="s">
        <v>3622</v>
      </c>
    </row>
    <row r="265" spans="14:18">
      <c r="N265" s="22" t="s">
        <v>4357</v>
      </c>
      <c r="O265" s="22" t="s">
        <v>4350</v>
      </c>
      <c r="R265" s="22" t="s">
        <v>3623</v>
      </c>
    </row>
    <row r="266" spans="14:18">
      <c r="N266" s="22" t="s">
        <v>4358</v>
      </c>
      <c r="O266" s="22" t="s">
        <v>3277</v>
      </c>
      <c r="R266" s="22" t="s">
        <v>3624</v>
      </c>
    </row>
    <row r="267" spans="14:18">
      <c r="N267" s="22" t="s">
        <v>4359</v>
      </c>
      <c r="O267" s="22" t="s">
        <v>3262</v>
      </c>
      <c r="R267" s="22" t="s">
        <v>3625</v>
      </c>
    </row>
    <row r="268" spans="14:18">
      <c r="N268" s="22" t="s">
        <v>4360</v>
      </c>
      <c r="O268" s="22" t="s">
        <v>3201</v>
      </c>
      <c r="R268" s="22" t="s">
        <v>3626</v>
      </c>
    </row>
    <row r="269" spans="14:18">
      <c r="N269" s="22" t="s">
        <v>4361</v>
      </c>
      <c r="O269" s="22" t="s">
        <v>3202</v>
      </c>
      <c r="R269" s="22" t="s">
        <v>3627</v>
      </c>
    </row>
    <row r="270" spans="14:18">
      <c r="N270" s="22" t="s">
        <v>4362</v>
      </c>
      <c r="O270" s="22" t="s">
        <v>3203</v>
      </c>
      <c r="R270" s="22" t="s">
        <v>3628</v>
      </c>
    </row>
    <row r="271" spans="14:18">
      <c r="N271" s="22" t="s">
        <v>4363</v>
      </c>
      <c r="O271" s="22" t="s">
        <v>3204</v>
      </c>
      <c r="R271" s="22" t="s">
        <v>3629</v>
      </c>
    </row>
    <row r="272" spans="14:18">
      <c r="N272" s="22" t="s">
        <v>4364</v>
      </c>
      <c r="O272" s="22" t="s">
        <v>3205</v>
      </c>
      <c r="R272" s="22" t="s">
        <v>3630</v>
      </c>
    </row>
    <row r="273" spans="14:18">
      <c r="N273" s="22" t="s">
        <v>4365</v>
      </c>
      <c r="O273" s="22" t="s">
        <v>3205</v>
      </c>
      <c r="R273" s="22" t="s">
        <v>3631</v>
      </c>
    </row>
    <row r="274" spans="14:18">
      <c r="N274" s="22" t="s">
        <v>4366</v>
      </c>
      <c r="O274" s="22" t="s">
        <v>3206</v>
      </c>
      <c r="R274" s="22" t="s">
        <v>3632</v>
      </c>
    </row>
    <row r="275" spans="14:18">
      <c r="N275" s="22" t="s">
        <v>4367</v>
      </c>
      <c r="O275" s="22" t="s">
        <v>2968</v>
      </c>
      <c r="R275" s="22" t="s">
        <v>3633</v>
      </c>
    </row>
    <row r="276" spans="14:18">
      <c r="N276" s="22" t="s">
        <v>4368</v>
      </c>
      <c r="O276" s="22" t="s">
        <v>2952</v>
      </c>
      <c r="R276" s="22" t="s">
        <v>3634</v>
      </c>
    </row>
    <row r="277" spans="14:18">
      <c r="N277" s="22" t="s">
        <v>4369</v>
      </c>
      <c r="O277" s="22" t="s">
        <v>2953</v>
      </c>
      <c r="R277" s="22" t="s">
        <v>3635</v>
      </c>
    </row>
    <row r="278" spans="14:18">
      <c r="N278" s="22" t="s">
        <v>4370</v>
      </c>
      <c r="O278" s="22" t="s">
        <v>2954</v>
      </c>
      <c r="R278" s="22" t="s">
        <v>3636</v>
      </c>
    </row>
    <row r="279" spans="14:18">
      <c r="N279" s="22" t="s">
        <v>4371</v>
      </c>
      <c r="O279" s="22" t="s">
        <v>2955</v>
      </c>
      <c r="R279" s="22" t="s">
        <v>3637</v>
      </c>
    </row>
    <row r="280" spans="14:18">
      <c r="N280" s="22" t="s">
        <v>4372</v>
      </c>
      <c r="O280" s="22" t="s">
        <v>2956</v>
      </c>
      <c r="R280" s="22" t="s">
        <v>3638</v>
      </c>
    </row>
    <row r="281" spans="14:18">
      <c r="N281" s="22" t="s">
        <v>4373</v>
      </c>
      <c r="O281" s="22" t="s">
        <v>2957</v>
      </c>
      <c r="R281" s="22" t="s">
        <v>3639</v>
      </c>
    </row>
    <row r="282" spans="14:18">
      <c r="N282" s="22" t="s">
        <v>4374</v>
      </c>
      <c r="O282" s="22" t="s">
        <v>2958</v>
      </c>
      <c r="R282" s="22" t="s">
        <v>3640</v>
      </c>
    </row>
    <row r="283" spans="14:18">
      <c r="N283" s="22" t="s">
        <v>4375</v>
      </c>
      <c r="O283" s="22" t="s">
        <v>2959</v>
      </c>
      <c r="R283" s="22" t="s">
        <v>3641</v>
      </c>
    </row>
    <row r="284" spans="14:18">
      <c r="N284" s="22" t="s">
        <v>4376</v>
      </c>
      <c r="O284" s="22" t="s">
        <v>2960</v>
      </c>
      <c r="R284" s="22" t="s">
        <v>3642</v>
      </c>
    </row>
    <row r="285" spans="14:18">
      <c r="N285" s="22" t="s">
        <v>4377</v>
      </c>
      <c r="O285" s="22" t="s">
        <v>2629</v>
      </c>
      <c r="R285" s="22" t="s">
        <v>3643</v>
      </c>
    </row>
    <row r="286" spans="14:18">
      <c r="N286" s="22" t="s">
        <v>4378</v>
      </c>
      <c r="O286" s="22" t="s">
        <v>2629</v>
      </c>
      <c r="R286" s="22" t="s">
        <v>3644</v>
      </c>
    </row>
    <row r="287" spans="14:18">
      <c r="N287" s="22" t="s">
        <v>4379</v>
      </c>
      <c r="O287" s="22" t="s">
        <v>2630</v>
      </c>
      <c r="R287" s="22" t="s">
        <v>3645</v>
      </c>
    </row>
    <row r="288" spans="14:18">
      <c r="N288" s="22" t="s">
        <v>4380</v>
      </c>
      <c r="O288" s="22" t="s">
        <v>2631</v>
      </c>
      <c r="R288" s="22" t="s">
        <v>3646</v>
      </c>
    </row>
    <row r="289" spans="15:18">
      <c r="O289" s="22" t="s">
        <v>2632</v>
      </c>
      <c r="R289" s="22" t="s">
        <v>3647</v>
      </c>
    </row>
    <row r="290" spans="15:18">
      <c r="O290" s="22" t="s">
        <v>2633</v>
      </c>
      <c r="R290" s="22" t="s">
        <v>3648</v>
      </c>
    </row>
    <row r="291" spans="15:18">
      <c r="O291" s="22" t="s">
        <v>2634</v>
      </c>
      <c r="R291" s="22" t="s">
        <v>3649</v>
      </c>
    </row>
    <row r="292" spans="15:18">
      <c r="O292" s="22" t="s">
        <v>2635</v>
      </c>
      <c r="R292" s="22" t="s">
        <v>3650</v>
      </c>
    </row>
    <row r="293" spans="15:18">
      <c r="O293" s="22" t="s">
        <v>2636</v>
      </c>
      <c r="R293" s="22" t="s">
        <v>3651</v>
      </c>
    </row>
    <row r="294" spans="15:18">
      <c r="O294" s="22" t="s">
        <v>2637</v>
      </c>
      <c r="R294" s="22" t="s">
        <v>3652</v>
      </c>
    </row>
    <row r="295" spans="15:18">
      <c r="O295" s="22" t="s">
        <v>2638</v>
      </c>
      <c r="R295" s="22" t="s">
        <v>3653</v>
      </c>
    </row>
    <row r="296" spans="15:18">
      <c r="O296" s="22" t="s">
        <v>2639</v>
      </c>
      <c r="R296" s="22" t="s">
        <v>3654</v>
      </c>
    </row>
    <row r="297" spans="15:18">
      <c r="O297" s="22" t="s">
        <v>2640</v>
      </c>
      <c r="R297" s="22" t="s">
        <v>3655</v>
      </c>
    </row>
    <row r="298" spans="15:18">
      <c r="O298" s="22" t="s">
        <v>2641</v>
      </c>
      <c r="R298" s="22" t="s">
        <v>4244</v>
      </c>
    </row>
    <row r="299" spans="15:18">
      <c r="O299" s="22" t="s">
        <v>2642</v>
      </c>
      <c r="R299" s="22" t="s">
        <v>3656</v>
      </c>
    </row>
    <row r="300" spans="15:18">
      <c r="O300" s="22" t="s">
        <v>2643</v>
      </c>
      <c r="R300" s="22" t="s">
        <v>3657</v>
      </c>
    </row>
    <row r="301" spans="15:18">
      <c r="O301" s="22" t="s">
        <v>2644</v>
      </c>
      <c r="R301" s="22" t="s">
        <v>3658</v>
      </c>
    </row>
    <row r="302" spans="15:18">
      <c r="O302" s="22" t="s">
        <v>2645</v>
      </c>
      <c r="R302" s="22" t="s">
        <v>3659</v>
      </c>
    </row>
    <row r="303" spans="15:18">
      <c r="O303" s="22" t="s">
        <v>2646</v>
      </c>
      <c r="R303" s="22" t="s">
        <v>3660</v>
      </c>
    </row>
    <row r="304" spans="15:18">
      <c r="O304" s="22" t="s">
        <v>2647</v>
      </c>
      <c r="R304" s="22" t="s">
        <v>3661</v>
      </c>
    </row>
    <row r="305" spans="15:18">
      <c r="O305" s="22" t="s">
        <v>2648</v>
      </c>
      <c r="R305" s="22" t="s">
        <v>3662</v>
      </c>
    </row>
    <row r="306" spans="15:18">
      <c r="O306" s="22" t="s">
        <v>2649</v>
      </c>
      <c r="R306" s="22" t="s">
        <v>3663</v>
      </c>
    </row>
    <row r="307" spans="15:18">
      <c r="O307" s="22" t="s">
        <v>2650</v>
      </c>
      <c r="R307" s="22" t="s">
        <v>3664</v>
      </c>
    </row>
    <row r="308" spans="15:18">
      <c r="O308" s="22" t="s">
        <v>2651</v>
      </c>
      <c r="R308" s="22" t="s">
        <v>3665</v>
      </c>
    </row>
    <row r="309" spans="15:18">
      <c r="O309" s="22" t="s">
        <v>2652</v>
      </c>
      <c r="R309" s="22" t="s">
        <v>3666</v>
      </c>
    </row>
    <row r="310" spans="15:18">
      <c r="O310" s="22" t="s">
        <v>2653</v>
      </c>
      <c r="R310" s="22" t="s">
        <v>3667</v>
      </c>
    </row>
    <row r="311" spans="15:18">
      <c r="O311" s="22" t="s">
        <v>2654</v>
      </c>
      <c r="R311" s="22" t="s">
        <v>3668</v>
      </c>
    </row>
    <row r="312" spans="15:18">
      <c r="O312" s="22" t="s">
        <v>2655</v>
      </c>
      <c r="R312" s="22" t="s">
        <v>3669</v>
      </c>
    </row>
    <row r="313" spans="15:18">
      <c r="O313" s="22" t="s">
        <v>2655</v>
      </c>
      <c r="R313" s="22" t="s">
        <v>3670</v>
      </c>
    </row>
    <row r="314" spans="15:18">
      <c r="O314" s="22" t="s">
        <v>2656</v>
      </c>
      <c r="R314" s="22" t="s">
        <v>3671</v>
      </c>
    </row>
    <row r="315" spans="15:18">
      <c r="O315" s="22" t="s">
        <v>2657</v>
      </c>
      <c r="R315" s="22" t="s">
        <v>3672</v>
      </c>
    </row>
    <row r="316" spans="15:18">
      <c r="O316" s="22" t="s">
        <v>2658</v>
      </c>
      <c r="R316" s="22" t="s">
        <v>3673</v>
      </c>
    </row>
    <row r="317" spans="15:18">
      <c r="O317" s="22" t="s">
        <v>2659</v>
      </c>
      <c r="R317" s="22" t="s">
        <v>3674</v>
      </c>
    </row>
    <row r="318" spans="15:18">
      <c r="O318" s="22" t="s">
        <v>2660</v>
      </c>
      <c r="R318" s="22" t="s">
        <v>3675</v>
      </c>
    </row>
    <row r="319" spans="15:18">
      <c r="O319" s="22" t="s">
        <v>2661</v>
      </c>
      <c r="R319" s="22" t="s">
        <v>3676</v>
      </c>
    </row>
    <row r="320" spans="15:18">
      <c r="O320" s="22" t="s">
        <v>2662</v>
      </c>
      <c r="R320" s="22" t="s">
        <v>3677</v>
      </c>
    </row>
    <row r="321" spans="15:18">
      <c r="O321" s="22" t="s">
        <v>2662</v>
      </c>
      <c r="R321" s="22" t="s">
        <v>3678</v>
      </c>
    </row>
    <row r="322" spans="15:18">
      <c r="O322" s="22" t="s">
        <v>2663</v>
      </c>
      <c r="R322" s="22" t="s">
        <v>3679</v>
      </c>
    </row>
    <row r="323" spans="15:18">
      <c r="O323" s="22" t="s">
        <v>2664</v>
      </c>
      <c r="R323" s="22" t="s">
        <v>3680</v>
      </c>
    </row>
    <row r="324" spans="15:18">
      <c r="O324" s="22" t="s">
        <v>2665</v>
      </c>
      <c r="R324" s="22" t="s">
        <v>3681</v>
      </c>
    </row>
    <row r="325" spans="15:18">
      <c r="O325" s="22" t="s">
        <v>2666</v>
      </c>
      <c r="R325" s="22" t="s">
        <v>3682</v>
      </c>
    </row>
    <row r="326" spans="15:18">
      <c r="O326" s="22" t="s">
        <v>2667</v>
      </c>
      <c r="R326" s="22" t="s">
        <v>3683</v>
      </c>
    </row>
    <row r="327" spans="15:18">
      <c r="O327" s="22" t="s">
        <v>2668</v>
      </c>
      <c r="R327" s="22" t="s">
        <v>3684</v>
      </c>
    </row>
    <row r="328" spans="15:18">
      <c r="O328" s="22" t="s">
        <v>2669</v>
      </c>
      <c r="R328" s="22" t="s">
        <v>3685</v>
      </c>
    </row>
    <row r="329" spans="15:18">
      <c r="O329" s="22" t="s">
        <v>2670</v>
      </c>
      <c r="R329" s="22" t="s">
        <v>4251</v>
      </c>
    </row>
    <row r="330" spans="15:18">
      <c r="O330" s="22" t="s">
        <v>3278</v>
      </c>
      <c r="R330" s="22" t="s">
        <v>3686</v>
      </c>
    </row>
    <row r="331" spans="15:18">
      <c r="O331" s="22" t="s">
        <v>3263</v>
      </c>
      <c r="R331" s="22" t="s">
        <v>3687</v>
      </c>
    </row>
    <row r="332" spans="15:18">
      <c r="O332" s="22" t="s">
        <v>2671</v>
      </c>
      <c r="R332" s="22" t="s">
        <v>3688</v>
      </c>
    </row>
    <row r="333" spans="15:18">
      <c r="O333" s="22" t="s">
        <v>2672</v>
      </c>
      <c r="R333" s="22" t="s">
        <v>3689</v>
      </c>
    </row>
    <row r="334" spans="15:18">
      <c r="O334" s="22" t="s">
        <v>2673</v>
      </c>
      <c r="R334" s="22" t="s">
        <v>3690</v>
      </c>
    </row>
    <row r="335" spans="15:18">
      <c r="O335" s="22" t="s">
        <v>2674</v>
      </c>
      <c r="R335" s="22" t="s">
        <v>3691</v>
      </c>
    </row>
    <row r="336" spans="15:18">
      <c r="O336" s="22" t="s">
        <v>2675</v>
      </c>
      <c r="R336" s="22" t="s">
        <v>3692</v>
      </c>
    </row>
    <row r="337" spans="15:18">
      <c r="O337" s="22" t="s">
        <v>2676</v>
      </c>
      <c r="R337" s="22" t="s">
        <v>3693</v>
      </c>
    </row>
    <row r="338" spans="15:18">
      <c r="O338" s="22" t="s">
        <v>2677</v>
      </c>
      <c r="R338" s="22" t="s">
        <v>3694</v>
      </c>
    </row>
    <row r="339" spans="15:18">
      <c r="O339" s="22" t="s">
        <v>2678</v>
      </c>
      <c r="R339" s="22" t="s">
        <v>3695</v>
      </c>
    </row>
    <row r="340" spans="15:18">
      <c r="O340" s="22" t="s">
        <v>2679</v>
      </c>
      <c r="R340" s="22" t="s">
        <v>3696</v>
      </c>
    </row>
    <row r="341" spans="15:18">
      <c r="O341" s="22" t="s">
        <v>2680</v>
      </c>
      <c r="R341" s="22" t="s">
        <v>3697</v>
      </c>
    </row>
    <row r="342" spans="15:18">
      <c r="O342" s="22" t="s">
        <v>2681</v>
      </c>
      <c r="R342" s="22" t="s">
        <v>3698</v>
      </c>
    </row>
    <row r="343" spans="15:18">
      <c r="O343" s="22" t="s">
        <v>2682</v>
      </c>
      <c r="R343" s="22" t="s">
        <v>3699</v>
      </c>
    </row>
    <row r="344" spans="15:18">
      <c r="O344" s="22" t="s">
        <v>2683</v>
      </c>
      <c r="R344" s="22" t="s">
        <v>3700</v>
      </c>
    </row>
    <row r="345" spans="15:18">
      <c r="O345" s="22" t="s">
        <v>2684</v>
      </c>
      <c r="R345" s="22" t="s">
        <v>3701</v>
      </c>
    </row>
    <row r="346" spans="15:18">
      <c r="O346" s="22" t="s">
        <v>2685</v>
      </c>
      <c r="R346" s="22" t="s">
        <v>3702</v>
      </c>
    </row>
    <row r="347" spans="15:18">
      <c r="O347" s="22" t="s">
        <v>2686</v>
      </c>
      <c r="R347" s="22" t="s">
        <v>3703</v>
      </c>
    </row>
    <row r="348" spans="15:18">
      <c r="O348" s="22" t="s">
        <v>2687</v>
      </c>
      <c r="R348" s="22" t="s">
        <v>3704</v>
      </c>
    </row>
    <row r="349" spans="15:18">
      <c r="O349" s="22" t="s">
        <v>2688</v>
      </c>
      <c r="R349" s="22" t="s">
        <v>3705</v>
      </c>
    </row>
    <row r="350" spans="15:18">
      <c r="O350" s="22" t="s">
        <v>2689</v>
      </c>
      <c r="R350" s="22" t="s">
        <v>3706</v>
      </c>
    </row>
    <row r="351" spans="15:18">
      <c r="O351" s="22" t="s">
        <v>2690</v>
      </c>
      <c r="R351" s="22" t="s">
        <v>3707</v>
      </c>
    </row>
    <row r="352" spans="15:18">
      <c r="O352" s="22" t="s">
        <v>2691</v>
      </c>
      <c r="R352" s="22" t="s">
        <v>3708</v>
      </c>
    </row>
    <row r="353" spans="15:18">
      <c r="O353" s="22" t="s">
        <v>2692</v>
      </c>
      <c r="R353" s="22" t="s">
        <v>3709</v>
      </c>
    </row>
    <row r="354" spans="15:18">
      <c r="O354" s="22" t="s">
        <v>2693</v>
      </c>
      <c r="R354" s="22" t="s">
        <v>3710</v>
      </c>
    </row>
    <row r="355" spans="15:18">
      <c r="O355" s="22" t="s">
        <v>2694</v>
      </c>
      <c r="R355" s="22" t="s">
        <v>3711</v>
      </c>
    </row>
    <row r="356" spans="15:18">
      <c r="O356" s="22" t="s">
        <v>2695</v>
      </c>
      <c r="R356" s="22" t="s">
        <v>3712</v>
      </c>
    </row>
    <row r="357" spans="15:18">
      <c r="O357" s="22" t="s">
        <v>2696</v>
      </c>
      <c r="R357" s="22" t="s">
        <v>3713</v>
      </c>
    </row>
    <row r="358" spans="15:18">
      <c r="O358" s="22" t="s">
        <v>2697</v>
      </c>
      <c r="R358" s="22" t="s">
        <v>3714</v>
      </c>
    </row>
    <row r="359" spans="15:18">
      <c r="O359" s="22" t="s">
        <v>2698</v>
      </c>
      <c r="R359" s="22" t="s">
        <v>3715</v>
      </c>
    </row>
    <row r="360" spans="15:18">
      <c r="O360" s="22" t="s">
        <v>2699</v>
      </c>
      <c r="R360" s="22" t="s">
        <v>3716</v>
      </c>
    </row>
    <row r="361" spans="15:18">
      <c r="O361" s="22" t="s">
        <v>2700</v>
      </c>
      <c r="R361" s="22" t="s">
        <v>3717</v>
      </c>
    </row>
    <row r="362" spans="15:18">
      <c r="O362" s="22" t="s">
        <v>2701</v>
      </c>
      <c r="R362" s="22" t="s">
        <v>3718</v>
      </c>
    </row>
    <row r="363" spans="15:18">
      <c r="O363" s="22" t="s">
        <v>2702</v>
      </c>
      <c r="R363" s="22" t="s">
        <v>3719</v>
      </c>
    </row>
    <row r="364" spans="15:18">
      <c r="O364" s="22" t="s">
        <v>2703</v>
      </c>
      <c r="R364" s="22" t="s">
        <v>3720</v>
      </c>
    </row>
    <row r="365" spans="15:18">
      <c r="O365" s="22" t="s">
        <v>2704</v>
      </c>
      <c r="R365" s="22" t="s">
        <v>3721</v>
      </c>
    </row>
    <row r="366" spans="15:18">
      <c r="O366" s="22" t="s">
        <v>2705</v>
      </c>
      <c r="R366" s="22" t="s">
        <v>3722</v>
      </c>
    </row>
    <row r="367" spans="15:18">
      <c r="O367" s="22" t="s">
        <v>2706</v>
      </c>
      <c r="R367" s="22" t="s">
        <v>3723</v>
      </c>
    </row>
    <row r="368" spans="15:18">
      <c r="O368" s="22" t="s">
        <v>2707</v>
      </c>
      <c r="R368" s="22" t="s">
        <v>3724</v>
      </c>
    </row>
    <row r="369" spans="15:18">
      <c r="O369" s="22" t="s">
        <v>2708</v>
      </c>
      <c r="R369" s="22" t="s">
        <v>3725</v>
      </c>
    </row>
    <row r="370" spans="15:18">
      <c r="O370" s="22" t="s">
        <v>2709</v>
      </c>
      <c r="R370" s="22" t="s">
        <v>3726</v>
      </c>
    </row>
    <row r="371" spans="15:18">
      <c r="O371" s="22" t="s">
        <v>2710</v>
      </c>
      <c r="R371" s="22" t="s">
        <v>3727</v>
      </c>
    </row>
    <row r="372" spans="15:18">
      <c r="O372" s="22" t="s">
        <v>2711</v>
      </c>
      <c r="R372" s="22" t="s">
        <v>3728</v>
      </c>
    </row>
    <row r="373" spans="15:18">
      <c r="O373" s="22" t="s">
        <v>3279</v>
      </c>
      <c r="R373" s="22" t="s">
        <v>3729</v>
      </c>
    </row>
    <row r="374" spans="15:18">
      <c r="O374" s="22" t="s">
        <v>3264</v>
      </c>
      <c r="R374" s="22" t="s">
        <v>3730</v>
      </c>
    </row>
    <row r="375" spans="15:18">
      <c r="O375" s="22" t="s">
        <v>2712</v>
      </c>
      <c r="R375" s="22" t="s">
        <v>3731</v>
      </c>
    </row>
    <row r="376" spans="15:18">
      <c r="O376" s="22" t="s">
        <v>2713</v>
      </c>
      <c r="R376" s="22" t="s">
        <v>3732</v>
      </c>
    </row>
    <row r="377" spans="15:18">
      <c r="O377" s="22" t="s">
        <v>2714</v>
      </c>
      <c r="R377" s="22" t="s">
        <v>3733</v>
      </c>
    </row>
    <row r="378" spans="15:18">
      <c r="O378" s="22" t="s">
        <v>2715</v>
      </c>
      <c r="R378" s="22" t="s">
        <v>3734</v>
      </c>
    </row>
    <row r="379" spans="15:18">
      <c r="O379" s="22" t="s">
        <v>2716</v>
      </c>
      <c r="R379" s="22" t="s">
        <v>3735</v>
      </c>
    </row>
    <row r="380" spans="15:18">
      <c r="O380" s="22" t="s">
        <v>2717</v>
      </c>
      <c r="R380" s="22" t="s">
        <v>3736</v>
      </c>
    </row>
    <row r="381" spans="15:18">
      <c r="O381" s="22" t="s">
        <v>2961</v>
      </c>
      <c r="R381" s="22" t="s">
        <v>3737</v>
      </c>
    </row>
    <row r="382" spans="15:18">
      <c r="O382" s="22" t="s">
        <v>2961</v>
      </c>
      <c r="R382" s="22" t="s">
        <v>3738</v>
      </c>
    </row>
    <row r="383" spans="15:18">
      <c r="O383" s="22" t="s">
        <v>2961</v>
      </c>
      <c r="R383" s="22" t="s">
        <v>3739</v>
      </c>
    </row>
    <row r="384" spans="15:18">
      <c r="O384" s="22" t="s">
        <v>2961</v>
      </c>
      <c r="R384" s="22" t="s">
        <v>3740</v>
      </c>
    </row>
    <row r="385" spans="15:18">
      <c r="O385" s="22" t="s">
        <v>2718</v>
      </c>
      <c r="R385" s="22" t="s">
        <v>3741</v>
      </c>
    </row>
    <row r="386" spans="15:18">
      <c r="O386" s="22" t="s">
        <v>2719</v>
      </c>
      <c r="R386" s="22" t="s">
        <v>3742</v>
      </c>
    </row>
    <row r="387" spans="15:18">
      <c r="O387" s="22" t="s">
        <v>2720</v>
      </c>
      <c r="R387" s="22" t="s">
        <v>3743</v>
      </c>
    </row>
    <row r="388" spans="15:18">
      <c r="O388" s="22" t="s">
        <v>2721</v>
      </c>
      <c r="R388" s="22" t="s">
        <v>3744</v>
      </c>
    </row>
    <row r="389" spans="15:18">
      <c r="O389" s="22" t="s">
        <v>2722</v>
      </c>
      <c r="R389" s="22" t="s">
        <v>3745</v>
      </c>
    </row>
    <row r="390" spans="15:18">
      <c r="O390" s="22" t="s">
        <v>2723</v>
      </c>
      <c r="R390" s="22" t="s">
        <v>3746</v>
      </c>
    </row>
    <row r="391" spans="15:18">
      <c r="O391" s="22" t="s">
        <v>2724</v>
      </c>
      <c r="R391" s="22" t="s">
        <v>3747</v>
      </c>
    </row>
    <row r="392" spans="15:18">
      <c r="O392" s="22" t="s">
        <v>2725</v>
      </c>
      <c r="R392" s="22" t="s">
        <v>3748</v>
      </c>
    </row>
    <row r="393" spans="15:18">
      <c r="O393" s="22" t="s">
        <v>2726</v>
      </c>
      <c r="R393" s="22" t="s">
        <v>3749</v>
      </c>
    </row>
    <row r="394" spans="15:18">
      <c r="O394" s="22" t="s">
        <v>2727</v>
      </c>
      <c r="R394" s="22" t="s">
        <v>3750</v>
      </c>
    </row>
    <row r="395" spans="15:18">
      <c r="O395" s="22" t="s">
        <v>2728</v>
      </c>
      <c r="R395" s="22" t="s">
        <v>3751</v>
      </c>
    </row>
    <row r="396" spans="15:18">
      <c r="O396" s="22" t="s">
        <v>2729</v>
      </c>
      <c r="R396" s="22" t="s">
        <v>3752</v>
      </c>
    </row>
    <row r="397" spans="15:18">
      <c r="O397" s="22" t="s">
        <v>2730</v>
      </c>
      <c r="R397" s="22" t="s">
        <v>3753</v>
      </c>
    </row>
    <row r="398" spans="15:18">
      <c r="O398" s="22" t="s">
        <v>2731</v>
      </c>
      <c r="R398" s="22" t="s">
        <v>3754</v>
      </c>
    </row>
    <row r="399" spans="15:18">
      <c r="O399" s="22" t="s">
        <v>2732</v>
      </c>
      <c r="R399" s="22" t="s">
        <v>3755</v>
      </c>
    </row>
    <row r="400" spans="15:18">
      <c r="O400" s="22" t="s">
        <v>2733</v>
      </c>
      <c r="R400" s="22" t="s">
        <v>3756</v>
      </c>
    </row>
    <row r="401" spans="15:18">
      <c r="O401" s="22" t="s">
        <v>2734</v>
      </c>
      <c r="R401" s="22" t="s">
        <v>3757</v>
      </c>
    </row>
    <row r="402" spans="15:18">
      <c r="O402" s="22" t="s">
        <v>2735</v>
      </c>
      <c r="R402" s="22" t="s">
        <v>3758</v>
      </c>
    </row>
    <row r="403" spans="15:18">
      <c r="O403" s="22" t="s">
        <v>2736</v>
      </c>
      <c r="R403" s="22" t="s">
        <v>3759</v>
      </c>
    </row>
    <row r="404" spans="15:18">
      <c r="O404" s="22" t="s">
        <v>2737</v>
      </c>
      <c r="R404" s="22" t="s">
        <v>3760</v>
      </c>
    </row>
    <row r="405" spans="15:18">
      <c r="O405" s="22" t="s">
        <v>2738</v>
      </c>
      <c r="R405" s="22" t="s">
        <v>3761</v>
      </c>
    </row>
    <row r="406" spans="15:18">
      <c r="O406" s="22" t="s">
        <v>2739</v>
      </c>
      <c r="R406" s="22" t="s">
        <v>3762</v>
      </c>
    </row>
    <row r="407" spans="15:18">
      <c r="O407" s="22" t="s">
        <v>2740</v>
      </c>
      <c r="R407" s="22" t="s">
        <v>3763</v>
      </c>
    </row>
    <row r="408" spans="15:18">
      <c r="O408" s="22" t="s">
        <v>2741</v>
      </c>
      <c r="R408" s="22" t="s">
        <v>3764</v>
      </c>
    </row>
    <row r="409" spans="15:18">
      <c r="O409" s="22" t="s">
        <v>2962</v>
      </c>
      <c r="R409" s="22" t="s">
        <v>3765</v>
      </c>
    </row>
    <row r="410" spans="15:18">
      <c r="O410" s="22" t="s">
        <v>2962</v>
      </c>
      <c r="R410" s="22" t="s">
        <v>3766</v>
      </c>
    </row>
    <row r="411" spans="15:18">
      <c r="O411" s="22" t="s">
        <v>2962</v>
      </c>
      <c r="R411" s="22" t="s">
        <v>3767</v>
      </c>
    </row>
    <row r="412" spans="15:18">
      <c r="O412" s="22" t="s">
        <v>2962</v>
      </c>
      <c r="R412" s="22" t="s">
        <v>3768</v>
      </c>
    </row>
    <row r="413" spans="15:18">
      <c r="O413" s="22" t="s">
        <v>2742</v>
      </c>
      <c r="R413" s="22" t="s">
        <v>3769</v>
      </c>
    </row>
    <row r="414" spans="15:18">
      <c r="O414" s="22" t="s">
        <v>2743</v>
      </c>
      <c r="R414" s="22" t="s">
        <v>3770</v>
      </c>
    </row>
    <row r="415" spans="15:18">
      <c r="O415" s="22" t="s">
        <v>2744</v>
      </c>
      <c r="R415" s="22" t="s">
        <v>3771</v>
      </c>
    </row>
    <row r="416" spans="15:18">
      <c r="O416" s="22" t="s">
        <v>2745</v>
      </c>
      <c r="R416" s="22" t="s">
        <v>3772</v>
      </c>
    </row>
    <row r="417" spans="15:18">
      <c r="O417" s="22" t="s">
        <v>2746</v>
      </c>
      <c r="R417" s="22" t="s">
        <v>3773</v>
      </c>
    </row>
    <row r="418" spans="15:18">
      <c r="O418" s="22" t="s">
        <v>2747</v>
      </c>
      <c r="R418" s="22" t="s">
        <v>3774</v>
      </c>
    </row>
    <row r="419" spans="15:18">
      <c r="O419" s="22" t="s">
        <v>2748</v>
      </c>
      <c r="R419" s="22" t="s">
        <v>3775</v>
      </c>
    </row>
    <row r="420" spans="15:18">
      <c r="O420" s="22" t="s">
        <v>2749</v>
      </c>
      <c r="R420" s="22" t="s">
        <v>3776</v>
      </c>
    </row>
    <row r="421" spans="15:18">
      <c r="O421" s="22" t="s">
        <v>2750</v>
      </c>
      <c r="R421" s="22" t="s">
        <v>3777</v>
      </c>
    </row>
    <row r="422" spans="15:18">
      <c r="O422" s="22" t="s">
        <v>2751</v>
      </c>
      <c r="R422" s="22" t="s">
        <v>3778</v>
      </c>
    </row>
    <row r="423" spans="15:18">
      <c r="O423" s="22" t="s">
        <v>2752</v>
      </c>
      <c r="R423" s="22" t="s">
        <v>3779</v>
      </c>
    </row>
    <row r="424" spans="15:18">
      <c r="O424" s="22" t="s">
        <v>2753</v>
      </c>
      <c r="R424" s="22" t="s">
        <v>3780</v>
      </c>
    </row>
    <row r="425" spans="15:18">
      <c r="O425" s="22" t="s">
        <v>2754</v>
      </c>
      <c r="R425" s="22" t="s">
        <v>3781</v>
      </c>
    </row>
    <row r="426" spans="15:18">
      <c r="O426" s="22" t="s">
        <v>2755</v>
      </c>
      <c r="R426" s="22" t="s">
        <v>3782</v>
      </c>
    </row>
    <row r="427" spans="15:18">
      <c r="O427" s="22" t="s">
        <v>2756</v>
      </c>
      <c r="R427" s="22" t="s">
        <v>3783</v>
      </c>
    </row>
    <row r="428" spans="15:18">
      <c r="O428" s="22" t="s">
        <v>2757</v>
      </c>
      <c r="R428" s="22" t="s">
        <v>3784</v>
      </c>
    </row>
    <row r="429" spans="15:18">
      <c r="O429" s="22" t="s">
        <v>2758</v>
      </c>
      <c r="R429" s="22" t="s">
        <v>3785</v>
      </c>
    </row>
    <row r="430" spans="15:18">
      <c r="O430" s="22" t="s">
        <v>2963</v>
      </c>
      <c r="R430" s="22" t="s">
        <v>3786</v>
      </c>
    </row>
    <row r="431" spans="15:18">
      <c r="O431" s="22" t="s">
        <v>2963</v>
      </c>
      <c r="R431" s="22" t="s">
        <v>3787</v>
      </c>
    </row>
    <row r="432" spans="15:18">
      <c r="O432" s="22" t="s">
        <v>2963</v>
      </c>
      <c r="R432" s="22" t="s">
        <v>3788</v>
      </c>
    </row>
    <row r="433" spans="15:18">
      <c r="O433" s="22" t="s">
        <v>2963</v>
      </c>
      <c r="R433" s="22" t="s">
        <v>3789</v>
      </c>
    </row>
    <row r="434" spans="15:18">
      <c r="O434" s="22" t="s">
        <v>2759</v>
      </c>
      <c r="R434" s="22" t="s">
        <v>3790</v>
      </c>
    </row>
    <row r="435" spans="15:18">
      <c r="O435" s="22" t="s">
        <v>2760</v>
      </c>
      <c r="R435" s="22" t="s">
        <v>3791</v>
      </c>
    </row>
    <row r="436" spans="15:18">
      <c r="O436" s="22" t="s">
        <v>2761</v>
      </c>
      <c r="R436" s="22" t="s">
        <v>3792</v>
      </c>
    </row>
    <row r="437" spans="15:18">
      <c r="O437" s="22" t="s">
        <v>2762</v>
      </c>
      <c r="R437" s="22" t="s">
        <v>3793</v>
      </c>
    </row>
    <row r="438" spans="15:18">
      <c r="O438" s="22" t="s">
        <v>2763</v>
      </c>
      <c r="R438" s="22" t="s">
        <v>3794</v>
      </c>
    </row>
    <row r="439" spans="15:18">
      <c r="O439" s="22" t="s">
        <v>3170</v>
      </c>
      <c r="R439" s="22" t="s">
        <v>3795</v>
      </c>
    </row>
    <row r="440" spans="15:18">
      <c r="O440" s="22" t="s">
        <v>2764</v>
      </c>
      <c r="R440" s="22" t="s">
        <v>3796</v>
      </c>
    </row>
    <row r="441" spans="15:18">
      <c r="O441" s="22" t="s">
        <v>2765</v>
      </c>
      <c r="R441" s="22" t="s">
        <v>3797</v>
      </c>
    </row>
    <row r="442" spans="15:18">
      <c r="O442" s="22" t="s">
        <v>2766</v>
      </c>
      <c r="R442" s="22" t="s">
        <v>3798</v>
      </c>
    </row>
    <row r="443" spans="15:18">
      <c r="O443" s="22" t="s">
        <v>2767</v>
      </c>
      <c r="R443" s="22" t="s">
        <v>3799</v>
      </c>
    </row>
    <row r="444" spans="15:18">
      <c r="O444" s="22" t="s">
        <v>2768</v>
      </c>
      <c r="R444" s="22" t="s">
        <v>3800</v>
      </c>
    </row>
    <row r="445" spans="15:18">
      <c r="O445" s="22" t="s">
        <v>2769</v>
      </c>
      <c r="R445" s="22" t="s">
        <v>3801</v>
      </c>
    </row>
    <row r="446" spans="15:18">
      <c r="O446" s="22" t="s">
        <v>2770</v>
      </c>
      <c r="R446" s="22" t="s">
        <v>3802</v>
      </c>
    </row>
    <row r="447" spans="15:18">
      <c r="O447" s="22" t="s">
        <v>2845</v>
      </c>
      <c r="R447" s="22" t="s">
        <v>3803</v>
      </c>
    </row>
    <row r="448" spans="15:18">
      <c r="O448" s="22" t="s">
        <v>2771</v>
      </c>
      <c r="R448" s="22" t="s">
        <v>3804</v>
      </c>
    </row>
    <row r="449" spans="15:18">
      <c r="O449" s="22" t="s">
        <v>2772</v>
      </c>
      <c r="R449" s="22" t="s">
        <v>3805</v>
      </c>
    </row>
    <row r="450" spans="15:18">
      <c r="O450" s="22" t="s">
        <v>2773</v>
      </c>
      <c r="R450" s="22" t="s">
        <v>3806</v>
      </c>
    </row>
    <row r="451" spans="15:18">
      <c r="O451" s="22" t="s">
        <v>2774</v>
      </c>
      <c r="R451" s="22" t="s">
        <v>3807</v>
      </c>
    </row>
    <row r="452" spans="15:18">
      <c r="O452" s="22" t="s">
        <v>2775</v>
      </c>
      <c r="R452" s="22" t="s">
        <v>3808</v>
      </c>
    </row>
    <row r="453" spans="15:18">
      <c r="O453" s="22" t="s">
        <v>3169</v>
      </c>
      <c r="R453" s="22" t="s">
        <v>3809</v>
      </c>
    </row>
    <row r="454" spans="15:18">
      <c r="O454" s="22" t="s">
        <v>2776</v>
      </c>
      <c r="R454" s="22" t="s">
        <v>3810</v>
      </c>
    </row>
    <row r="455" spans="15:18">
      <c r="O455" s="22" t="s">
        <v>2777</v>
      </c>
      <c r="R455" s="22" t="s">
        <v>3811</v>
      </c>
    </row>
    <row r="456" spans="15:18">
      <c r="O456" s="22" t="s">
        <v>2778</v>
      </c>
      <c r="R456" s="22" t="s">
        <v>3812</v>
      </c>
    </row>
    <row r="457" spans="15:18">
      <c r="O457" s="22" t="s">
        <v>2779</v>
      </c>
      <c r="R457" s="22" t="s">
        <v>3813</v>
      </c>
    </row>
    <row r="458" spans="15:18">
      <c r="O458" s="22" t="s">
        <v>2846</v>
      </c>
      <c r="R458" s="22" t="s">
        <v>3814</v>
      </c>
    </row>
    <row r="459" spans="15:18">
      <c r="O459" s="22" t="s">
        <v>2367</v>
      </c>
      <c r="R459" s="22" t="s">
        <v>3815</v>
      </c>
    </row>
    <row r="460" spans="15:18">
      <c r="O460" s="22" t="s">
        <v>2780</v>
      </c>
      <c r="R460" s="22" t="s">
        <v>3816</v>
      </c>
    </row>
    <row r="461" spans="15:18">
      <c r="O461" s="22" t="s">
        <v>2781</v>
      </c>
      <c r="R461" s="22" t="s">
        <v>3817</v>
      </c>
    </row>
    <row r="462" spans="15:18">
      <c r="O462" s="22" t="s">
        <v>2782</v>
      </c>
      <c r="R462" s="22" t="s">
        <v>3818</v>
      </c>
    </row>
    <row r="463" spans="15:18">
      <c r="O463" s="22" t="s">
        <v>2783</v>
      </c>
      <c r="R463" s="22" t="s">
        <v>3819</v>
      </c>
    </row>
    <row r="464" spans="15:18">
      <c r="O464" s="22" t="s">
        <v>3168</v>
      </c>
      <c r="R464" s="22" t="s">
        <v>3820</v>
      </c>
    </row>
    <row r="465" spans="15:18">
      <c r="O465" s="22" t="s">
        <v>2784</v>
      </c>
      <c r="R465" s="22" t="s">
        <v>3821</v>
      </c>
    </row>
    <row r="466" spans="15:18">
      <c r="O466" s="22" t="s">
        <v>2785</v>
      </c>
      <c r="R466" s="22" t="s">
        <v>3822</v>
      </c>
    </row>
    <row r="467" spans="15:18">
      <c r="O467" s="22" t="s">
        <v>2786</v>
      </c>
      <c r="R467" s="22" t="s">
        <v>3823</v>
      </c>
    </row>
    <row r="468" spans="15:18">
      <c r="O468" s="22" t="s">
        <v>2787</v>
      </c>
      <c r="R468" s="22" t="s">
        <v>3824</v>
      </c>
    </row>
    <row r="469" spans="15:18">
      <c r="O469" s="22" t="s">
        <v>2788</v>
      </c>
      <c r="R469" s="22" t="s">
        <v>3825</v>
      </c>
    </row>
    <row r="470" spans="15:18">
      <c r="O470" s="22" t="s">
        <v>2789</v>
      </c>
      <c r="R470" s="22" t="s">
        <v>3826</v>
      </c>
    </row>
    <row r="471" spans="15:18">
      <c r="O471" s="22" t="s">
        <v>2790</v>
      </c>
      <c r="R471" s="22" t="s">
        <v>3827</v>
      </c>
    </row>
    <row r="472" spans="15:18">
      <c r="O472" s="22" t="s">
        <v>2847</v>
      </c>
      <c r="R472" s="22" t="s">
        <v>3828</v>
      </c>
    </row>
    <row r="473" spans="15:18">
      <c r="O473" s="22" t="s">
        <v>2791</v>
      </c>
      <c r="R473" s="22" t="s">
        <v>3829</v>
      </c>
    </row>
    <row r="474" spans="15:18">
      <c r="O474" s="22" t="s">
        <v>2848</v>
      </c>
      <c r="R474" s="22" t="s">
        <v>3830</v>
      </c>
    </row>
    <row r="475" spans="15:18">
      <c r="O475" s="22" t="s">
        <v>2849</v>
      </c>
      <c r="R475" s="22" t="s">
        <v>3831</v>
      </c>
    </row>
    <row r="476" spans="15:18">
      <c r="O476" s="22" t="s">
        <v>2792</v>
      </c>
      <c r="R476" s="22" t="s">
        <v>3832</v>
      </c>
    </row>
    <row r="477" spans="15:18">
      <c r="O477" s="22" t="s">
        <v>2793</v>
      </c>
      <c r="R477" s="22" t="s">
        <v>3833</v>
      </c>
    </row>
    <row r="478" spans="15:18">
      <c r="O478" s="22" t="s">
        <v>2794</v>
      </c>
      <c r="R478" s="22" t="s">
        <v>3834</v>
      </c>
    </row>
    <row r="479" spans="15:18">
      <c r="O479" s="22" t="s">
        <v>2795</v>
      </c>
      <c r="R479" s="22" t="s">
        <v>3835</v>
      </c>
    </row>
    <row r="480" spans="15:18">
      <c r="O480" s="22" t="s">
        <v>3171</v>
      </c>
      <c r="R480" s="22" t="s">
        <v>3836</v>
      </c>
    </row>
    <row r="481" spans="15:18">
      <c r="O481" s="22" t="s">
        <v>2796</v>
      </c>
      <c r="R481" s="22" t="s">
        <v>3837</v>
      </c>
    </row>
    <row r="482" spans="15:18">
      <c r="O482" s="22" t="s">
        <v>2797</v>
      </c>
      <c r="R482" s="22" t="s">
        <v>3838</v>
      </c>
    </row>
    <row r="483" spans="15:18">
      <c r="O483" s="22" t="s">
        <v>2798</v>
      </c>
      <c r="R483" s="22" t="s">
        <v>3839</v>
      </c>
    </row>
    <row r="484" spans="15:18">
      <c r="O484" s="22" t="s">
        <v>2799</v>
      </c>
      <c r="R484" s="22" t="s">
        <v>3840</v>
      </c>
    </row>
    <row r="485" spans="15:18">
      <c r="O485" s="22" t="s">
        <v>2800</v>
      </c>
      <c r="R485" s="22" t="s">
        <v>3841</v>
      </c>
    </row>
    <row r="486" spans="15:18">
      <c r="O486" s="22" t="s">
        <v>2365</v>
      </c>
      <c r="R486" s="22" t="s">
        <v>3842</v>
      </c>
    </row>
    <row r="487" spans="15:18">
      <c r="O487" s="22" t="s">
        <v>2801</v>
      </c>
      <c r="R487" s="22" t="s">
        <v>3843</v>
      </c>
    </row>
    <row r="488" spans="15:18">
      <c r="O488" s="22" t="s">
        <v>2802</v>
      </c>
      <c r="R488" s="22" t="s">
        <v>3844</v>
      </c>
    </row>
    <row r="489" spans="15:18">
      <c r="O489" s="22" t="s">
        <v>2803</v>
      </c>
      <c r="R489" s="22" t="s">
        <v>3845</v>
      </c>
    </row>
    <row r="490" spans="15:18">
      <c r="O490" s="22" t="s">
        <v>3167</v>
      </c>
      <c r="R490" s="22" t="s">
        <v>3846</v>
      </c>
    </row>
    <row r="491" spans="15:18">
      <c r="O491" s="22" t="s">
        <v>2804</v>
      </c>
      <c r="R491" s="22" t="s">
        <v>3847</v>
      </c>
    </row>
    <row r="492" spans="15:18">
      <c r="O492" s="22" t="s">
        <v>2805</v>
      </c>
      <c r="R492" s="22" t="s">
        <v>3848</v>
      </c>
    </row>
    <row r="493" spans="15:18">
      <c r="O493" s="22" t="s">
        <v>2806</v>
      </c>
      <c r="R493" s="22" t="s">
        <v>3849</v>
      </c>
    </row>
    <row r="494" spans="15:18">
      <c r="O494" s="22" t="s">
        <v>2807</v>
      </c>
      <c r="R494" s="22" t="s">
        <v>3850</v>
      </c>
    </row>
    <row r="495" spans="15:18">
      <c r="O495" s="22" t="s">
        <v>2808</v>
      </c>
      <c r="R495" s="22" t="s">
        <v>3851</v>
      </c>
    </row>
    <row r="496" spans="15:18">
      <c r="O496" s="22" t="s">
        <v>2844</v>
      </c>
      <c r="R496" s="22" t="s">
        <v>3852</v>
      </c>
    </row>
    <row r="497" spans="15:18">
      <c r="O497" s="22" t="s">
        <v>2809</v>
      </c>
      <c r="R497" s="22" t="s">
        <v>3853</v>
      </c>
    </row>
    <row r="498" spans="15:18">
      <c r="O498" s="22" t="s">
        <v>2810</v>
      </c>
      <c r="R498" s="22" t="s">
        <v>3854</v>
      </c>
    </row>
    <row r="499" spans="15:18">
      <c r="O499" s="22" t="s">
        <v>2811</v>
      </c>
      <c r="R499" s="22" t="s">
        <v>3855</v>
      </c>
    </row>
    <row r="500" spans="15:18">
      <c r="O500" s="22" t="s">
        <v>2812</v>
      </c>
      <c r="R500" s="22" t="s">
        <v>3856</v>
      </c>
    </row>
    <row r="501" spans="15:18">
      <c r="O501" s="22" t="s">
        <v>2813</v>
      </c>
      <c r="R501" s="22" t="s">
        <v>3857</v>
      </c>
    </row>
    <row r="502" spans="15:18">
      <c r="O502" s="22" t="s">
        <v>2814</v>
      </c>
      <c r="R502" s="22" t="s">
        <v>3858</v>
      </c>
    </row>
    <row r="503" spans="15:18">
      <c r="O503" s="22" t="s">
        <v>2815</v>
      </c>
      <c r="R503" s="22" t="s">
        <v>3859</v>
      </c>
    </row>
    <row r="504" spans="15:18">
      <c r="O504" s="22" t="s">
        <v>2850</v>
      </c>
      <c r="R504" s="22" t="s">
        <v>3860</v>
      </c>
    </row>
    <row r="505" spans="15:18">
      <c r="O505" s="22" t="s">
        <v>2816</v>
      </c>
      <c r="R505" s="22" t="s">
        <v>3861</v>
      </c>
    </row>
    <row r="506" spans="15:18">
      <c r="O506" s="22" t="s">
        <v>2817</v>
      </c>
      <c r="R506" s="22" t="s">
        <v>3862</v>
      </c>
    </row>
    <row r="507" spans="15:18">
      <c r="O507" s="22" t="s">
        <v>2818</v>
      </c>
      <c r="R507" s="22" t="s">
        <v>3863</v>
      </c>
    </row>
    <row r="508" spans="15:18">
      <c r="O508" s="22" t="s">
        <v>2819</v>
      </c>
      <c r="R508" s="22" t="s">
        <v>3864</v>
      </c>
    </row>
    <row r="509" spans="15:18">
      <c r="O509" s="22" t="s">
        <v>2820</v>
      </c>
      <c r="R509" s="22" t="s">
        <v>3865</v>
      </c>
    </row>
    <row r="510" spans="15:18">
      <c r="O510" s="22" t="s">
        <v>2821</v>
      </c>
      <c r="R510" s="22" t="s">
        <v>3866</v>
      </c>
    </row>
    <row r="511" spans="15:18">
      <c r="O511" s="22" t="s">
        <v>2822</v>
      </c>
      <c r="R511" s="22" t="s">
        <v>3867</v>
      </c>
    </row>
    <row r="512" spans="15:18">
      <c r="O512" s="22" t="s">
        <v>2823</v>
      </c>
      <c r="R512" s="22" t="s">
        <v>3868</v>
      </c>
    </row>
    <row r="513" spans="15:18">
      <c r="O513" s="22" t="s">
        <v>2824</v>
      </c>
      <c r="R513" s="22" t="s">
        <v>3869</v>
      </c>
    </row>
    <row r="514" spans="15:18">
      <c r="O514" s="22" t="s">
        <v>2825</v>
      </c>
      <c r="R514" s="22" t="s">
        <v>3870</v>
      </c>
    </row>
    <row r="515" spans="15:18">
      <c r="O515" s="22" t="s">
        <v>2826</v>
      </c>
      <c r="R515" s="22" t="s">
        <v>3871</v>
      </c>
    </row>
    <row r="516" spans="15:18">
      <c r="O516" s="22" t="s">
        <v>2827</v>
      </c>
      <c r="R516" s="22" t="s">
        <v>3872</v>
      </c>
    </row>
    <row r="517" spans="15:18">
      <c r="O517" s="22" t="s">
        <v>2828</v>
      </c>
      <c r="R517" s="22" t="s">
        <v>3873</v>
      </c>
    </row>
    <row r="518" spans="15:18">
      <c r="O518" s="22" t="s">
        <v>2829</v>
      </c>
      <c r="R518" s="22" t="s">
        <v>3874</v>
      </c>
    </row>
    <row r="519" spans="15:18">
      <c r="O519" s="22" t="s">
        <v>2830</v>
      </c>
      <c r="R519" s="22" t="s">
        <v>3875</v>
      </c>
    </row>
    <row r="520" spans="15:18">
      <c r="O520" s="22" t="s">
        <v>2831</v>
      </c>
      <c r="R520" s="22" t="s">
        <v>3876</v>
      </c>
    </row>
    <row r="521" spans="15:18">
      <c r="O521" s="22" t="s">
        <v>4381</v>
      </c>
      <c r="R521" s="22" t="s">
        <v>3877</v>
      </c>
    </row>
    <row r="522" spans="15:18">
      <c r="O522" s="22" t="s">
        <v>2832</v>
      </c>
      <c r="R522" s="22" t="s">
        <v>3878</v>
      </c>
    </row>
    <row r="523" spans="15:18">
      <c r="O523" s="22" t="s">
        <v>2833</v>
      </c>
      <c r="R523" s="22" t="s">
        <v>3879</v>
      </c>
    </row>
    <row r="524" spans="15:18">
      <c r="O524" s="22" t="s">
        <v>2834</v>
      </c>
      <c r="R524" s="22" t="s">
        <v>3880</v>
      </c>
    </row>
    <row r="525" spans="15:18">
      <c r="O525" s="22" t="s">
        <v>2835</v>
      </c>
      <c r="R525" s="22" t="s">
        <v>3881</v>
      </c>
    </row>
    <row r="526" spans="15:18">
      <c r="O526" s="22" t="s">
        <v>2836</v>
      </c>
      <c r="R526" s="22" t="s">
        <v>3882</v>
      </c>
    </row>
    <row r="527" spans="15:18">
      <c r="O527" s="22" t="s">
        <v>2837</v>
      </c>
      <c r="R527" s="22" t="s">
        <v>3883</v>
      </c>
    </row>
    <row r="528" spans="15:18">
      <c r="O528" s="22" t="s">
        <v>2838</v>
      </c>
      <c r="R528" s="22" t="s">
        <v>3884</v>
      </c>
    </row>
    <row r="529" spans="15:18">
      <c r="O529" s="22" t="s">
        <v>2839</v>
      </c>
      <c r="R529" s="22" t="s">
        <v>3885</v>
      </c>
    </row>
    <row r="530" spans="15:18">
      <c r="R530" s="22" t="s">
        <v>3886</v>
      </c>
    </row>
    <row r="531" spans="15:18">
      <c r="R531" s="22" t="s">
        <v>3887</v>
      </c>
    </row>
    <row r="532" spans="15:18">
      <c r="R532" s="22" t="s">
        <v>3888</v>
      </c>
    </row>
    <row r="533" spans="15:18">
      <c r="R533" s="22" t="s">
        <v>3889</v>
      </c>
    </row>
    <row r="534" spans="15:18">
      <c r="R534" s="22" t="s">
        <v>3890</v>
      </c>
    </row>
    <row r="535" spans="15:18">
      <c r="R535" s="22" t="s">
        <v>3891</v>
      </c>
    </row>
    <row r="536" spans="15:18">
      <c r="R536" s="22" t="s">
        <v>3892</v>
      </c>
    </row>
    <row r="537" spans="15:18">
      <c r="R537" s="22" t="s">
        <v>3893</v>
      </c>
    </row>
    <row r="538" spans="15:18">
      <c r="R538" s="22" t="s">
        <v>3894</v>
      </c>
    </row>
    <row r="539" spans="15:18">
      <c r="R539" s="22" t="s">
        <v>3895</v>
      </c>
    </row>
    <row r="540" spans="15:18">
      <c r="R540" s="22" t="s">
        <v>3896</v>
      </c>
    </row>
    <row r="541" spans="15:18">
      <c r="R541" s="22" t="s">
        <v>3897</v>
      </c>
    </row>
    <row r="542" spans="15:18">
      <c r="R542" s="22" t="s">
        <v>3898</v>
      </c>
    </row>
    <row r="543" spans="15:18">
      <c r="R543" s="22" t="s">
        <v>3899</v>
      </c>
    </row>
    <row r="544" spans="15:18">
      <c r="R544" s="22" t="s">
        <v>3900</v>
      </c>
    </row>
    <row r="545" spans="18:18">
      <c r="R545" s="22" t="s">
        <v>3901</v>
      </c>
    </row>
    <row r="546" spans="18:18">
      <c r="R546" s="22" t="s">
        <v>3902</v>
      </c>
    </row>
    <row r="547" spans="18:18">
      <c r="R547" s="22" t="s">
        <v>3903</v>
      </c>
    </row>
    <row r="548" spans="18:18">
      <c r="R548" s="22" t="s">
        <v>3904</v>
      </c>
    </row>
    <row r="549" spans="18:18">
      <c r="R549" s="22" t="s">
        <v>3905</v>
      </c>
    </row>
    <row r="550" spans="18:18">
      <c r="R550" s="22" t="s">
        <v>3906</v>
      </c>
    </row>
    <row r="551" spans="18:18">
      <c r="R551" s="22" t="s">
        <v>3907</v>
      </c>
    </row>
    <row r="552" spans="18:18">
      <c r="R552" s="22" t="s">
        <v>3908</v>
      </c>
    </row>
    <row r="553" spans="18:18">
      <c r="R553" s="22" t="s">
        <v>3909</v>
      </c>
    </row>
    <row r="554" spans="18:18">
      <c r="R554" s="22" t="s">
        <v>3910</v>
      </c>
    </row>
    <row r="555" spans="18:18">
      <c r="R555" s="22" t="s">
        <v>3911</v>
      </c>
    </row>
    <row r="556" spans="18:18">
      <c r="R556" s="22" t="s">
        <v>3912</v>
      </c>
    </row>
    <row r="557" spans="18:18">
      <c r="R557" s="22" t="s">
        <v>3913</v>
      </c>
    </row>
    <row r="558" spans="18:18">
      <c r="R558" s="22" t="s">
        <v>3914</v>
      </c>
    </row>
    <row r="559" spans="18:18">
      <c r="R559" s="22" t="s">
        <v>3915</v>
      </c>
    </row>
    <row r="560" spans="18:18">
      <c r="R560" s="22" t="s">
        <v>3916</v>
      </c>
    </row>
    <row r="561" spans="18:18">
      <c r="R561" s="22" t="s">
        <v>3917</v>
      </c>
    </row>
    <row r="562" spans="18:18">
      <c r="R562" s="22" t="s">
        <v>3918</v>
      </c>
    </row>
    <row r="563" spans="18:18">
      <c r="R563" s="22" t="s">
        <v>3919</v>
      </c>
    </row>
    <row r="564" spans="18:18">
      <c r="R564" s="22" t="s">
        <v>3920</v>
      </c>
    </row>
    <row r="565" spans="18:18">
      <c r="R565" s="22" t="s">
        <v>3921</v>
      </c>
    </row>
    <row r="566" spans="18:18">
      <c r="R566" s="22" t="s">
        <v>3922</v>
      </c>
    </row>
    <row r="567" spans="18:18">
      <c r="R567" s="22" t="s">
        <v>3923</v>
      </c>
    </row>
    <row r="568" spans="18:18">
      <c r="R568" s="22" t="s">
        <v>3924</v>
      </c>
    </row>
    <row r="569" spans="18:18">
      <c r="R569" s="22" t="s">
        <v>3925</v>
      </c>
    </row>
    <row r="570" spans="18:18">
      <c r="R570" s="22" t="s">
        <v>3926</v>
      </c>
    </row>
    <row r="571" spans="18:18">
      <c r="R571" s="22" t="s">
        <v>3927</v>
      </c>
    </row>
    <row r="572" spans="18:18">
      <c r="R572" s="22" t="s">
        <v>3928</v>
      </c>
    </row>
    <row r="573" spans="18:18">
      <c r="R573" s="22" t="s">
        <v>3929</v>
      </c>
    </row>
    <row r="574" spans="18:18">
      <c r="R574" s="22" t="s">
        <v>3930</v>
      </c>
    </row>
    <row r="575" spans="18:18">
      <c r="R575" s="22" t="s">
        <v>3931</v>
      </c>
    </row>
    <row r="576" spans="18:18">
      <c r="R576" s="22" t="s">
        <v>3932</v>
      </c>
    </row>
    <row r="577" spans="18:18">
      <c r="R577" s="22" t="s">
        <v>3933</v>
      </c>
    </row>
    <row r="578" spans="18:18">
      <c r="R578" s="22" t="s">
        <v>3934</v>
      </c>
    </row>
    <row r="579" spans="18:18">
      <c r="R579" s="22" t="s">
        <v>3935</v>
      </c>
    </row>
    <row r="580" spans="18:18">
      <c r="R580" s="22" t="s">
        <v>3936</v>
      </c>
    </row>
    <row r="581" spans="18:18">
      <c r="R581" s="22" t="s">
        <v>3937</v>
      </c>
    </row>
    <row r="582" spans="18:18">
      <c r="R582" s="22" t="s">
        <v>3938</v>
      </c>
    </row>
    <row r="583" spans="18:18">
      <c r="R583" s="22" t="s">
        <v>3939</v>
      </c>
    </row>
    <row r="584" spans="18:18">
      <c r="R584" s="22" t="s">
        <v>3940</v>
      </c>
    </row>
    <row r="585" spans="18:18">
      <c r="R585" s="22" t="s">
        <v>3941</v>
      </c>
    </row>
    <row r="586" spans="18:18">
      <c r="R586" s="22" t="s">
        <v>3942</v>
      </c>
    </row>
    <row r="587" spans="18:18">
      <c r="R587" s="22" t="s">
        <v>3943</v>
      </c>
    </row>
    <row r="588" spans="18:18">
      <c r="R588" s="22" t="s">
        <v>3944</v>
      </c>
    </row>
    <row r="589" spans="18:18">
      <c r="R589" s="22" t="s">
        <v>3945</v>
      </c>
    </row>
    <row r="590" spans="18:18">
      <c r="R590" s="22" t="s">
        <v>3946</v>
      </c>
    </row>
    <row r="591" spans="18:18">
      <c r="R591" s="22" t="s">
        <v>3947</v>
      </c>
    </row>
    <row r="592" spans="18:18">
      <c r="R592" s="22" t="s">
        <v>3948</v>
      </c>
    </row>
    <row r="593" spans="18:18">
      <c r="R593" s="22" t="s">
        <v>3949</v>
      </c>
    </row>
    <row r="594" spans="18:18">
      <c r="R594" s="22" t="s">
        <v>3950</v>
      </c>
    </row>
    <row r="595" spans="18:18">
      <c r="R595" s="22" t="s">
        <v>3951</v>
      </c>
    </row>
    <row r="596" spans="18:18">
      <c r="R596" s="22" t="s">
        <v>3952</v>
      </c>
    </row>
    <row r="597" spans="18:18">
      <c r="R597" s="22" t="s">
        <v>3953</v>
      </c>
    </row>
    <row r="598" spans="18:18">
      <c r="R598" s="22" t="s">
        <v>3954</v>
      </c>
    </row>
    <row r="599" spans="18:18">
      <c r="R599" s="22" t="s">
        <v>3955</v>
      </c>
    </row>
    <row r="600" spans="18:18">
      <c r="R600" s="22" t="s">
        <v>3956</v>
      </c>
    </row>
    <row r="601" spans="18:18">
      <c r="R601" s="22" t="s">
        <v>3957</v>
      </c>
    </row>
    <row r="602" spans="18:18">
      <c r="R602" s="22" t="s">
        <v>3958</v>
      </c>
    </row>
    <row r="603" spans="18:18">
      <c r="R603" s="22" t="s">
        <v>3959</v>
      </c>
    </row>
    <row r="604" spans="18:18">
      <c r="R604" s="22" t="s">
        <v>3960</v>
      </c>
    </row>
    <row r="605" spans="18:18">
      <c r="R605" s="22" t="s">
        <v>3961</v>
      </c>
    </row>
    <row r="606" spans="18:18">
      <c r="R606" s="22" t="s">
        <v>3962</v>
      </c>
    </row>
    <row r="607" spans="18:18">
      <c r="R607" s="22" t="s">
        <v>3963</v>
      </c>
    </row>
    <row r="608" spans="18:18">
      <c r="R608" s="22" t="s">
        <v>3964</v>
      </c>
    </row>
    <row r="609" spans="18:18">
      <c r="R609" s="22" t="s">
        <v>3965</v>
      </c>
    </row>
    <row r="610" spans="18:18">
      <c r="R610" s="22" t="s">
        <v>3966</v>
      </c>
    </row>
    <row r="611" spans="18:18">
      <c r="R611" s="22" t="s">
        <v>3967</v>
      </c>
    </row>
    <row r="612" spans="18:18">
      <c r="R612" s="22" t="s">
        <v>3968</v>
      </c>
    </row>
    <row r="613" spans="18:18">
      <c r="R613" s="22" t="s">
        <v>3969</v>
      </c>
    </row>
    <row r="614" spans="18:18">
      <c r="R614" s="22" t="s">
        <v>3970</v>
      </c>
    </row>
    <row r="615" spans="18:18">
      <c r="R615" s="22" t="s">
        <v>3971</v>
      </c>
    </row>
    <row r="616" spans="18:18">
      <c r="R616" s="22" t="s">
        <v>3972</v>
      </c>
    </row>
    <row r="617" spans="18:18">
      <c r="R617" s="22" t="s">
        <v>3973</v>
      </c>
    </row>
    <row r="618" spans="18:18">
      <c r="R618" s="22" t="s">
        <v>3974</v>
      </c>
    </row>
    <row r="619" spans="18:18">
      <c r="R619" s="22" t="s">
        <v>3975</v>
      </c>
    </row>
    <row r="620" spans="18:18">
      <c r="R620" s="22" t="s">
        <v>3976</v>
      </c>
    </row>
    <row r="621" spans="18:18">
      <c r="R621" s="22" t="s">
        <v>3977</v>
      </c>
    </row>
    <row r="622" spans="18:18">
      <c r="R622" s="22" t="s">
        <v>3978</v>
      </c>
    </row>
    <row r="623" spans="18:18">
      <c r="R623" s="22" t="s">
        <v>3979</v>
      </c>
    </row>
    <row r="624" spans="18:18">
      <c r="R624" s="22" t="s">
        <v>3980</v>
      </c>
    </row>
    <row r="625" spans="18:18">
      <c r="R625" s="22" t="s">
        <v>3981</v>
      </c>
    </row>
    <row r="626" spans="18:18">
      <c r="R626" s="22" t="s">
        <v>3982</v>
      </c>
    </row>
    <row r="627" spans="18:18">
      <c r="R627" s="22" t="s">
        <v>3983</v>
      </c>
    </row>
    <row r="628" spans="18:18">
      <c r="R628" s="22" t="s">
        <v>3984</v>
      </c>
    </row>
    <row r="629" spans="18:18">
      <c r="R629" s="22" t="s">
        <v>3985</v>
      </c>
    </row>
    <row r="630" spans="18:18">
      <c r="R630" s="22" t="s">
        <v>3986</v>
      </c>
    </row>
    <row r="631" spans="18:18">
      <c r="R631" s="22" t="s">
        <v>3987</v>
      </c>
    </row>
    <row r="632" spans="18:18">
      <c r="R632" s="22" t="s">
        <v>3988</v>
      </c>
    </row>
    <row r="633" spans="18:18">
      <c r="R633" s="22" t="s">
        <v>3978</v>
      </c>
    </row>
    <row r="634" spans="18:18">
      <c r="R634" s="22" t="s">
        <v>3979</v>
      </c>
    </row>
    <row r="635" spans="18:18">
      <c r="R635" s="22" t="s">
        <v>3980</v>
      </c>
    </row>
    <row r="636" spans="18:18">
      <c r="R636" s="22" t="s">
        <v>4236</v>
      </c>
    </row>
    <row r="637" spans="18:18">
      <c r="R637" s="22" t="s">
        <v>4237</v>
      </c>
    </row>
    <row r="638" spans="18:18">
      <c r="R638" s="22" t="s">
        <v>4238</v>
      </c>
    </row>
    <row r="639" spans="18:18">
      <c r="R639" s="22" t="s">
        <v>3981</v>
      </c>
    </row>
    <row r="640" spans="18:18">
      <c r="R640" s="22" t="s">
        <v>3982</v>
      </c>
    </row>
    <row r="641" spans="18:18">
      <c r="R641" s="22" t="s">
        <v>3983</v>
      </c>
    </row>
    <row r="642" spans="18:18">
      <c r="R642" s="22" t="s">
        <v>3984</v>
      </c>
    </row>
    <row r="643" spans="18:18">
      <c r="R643" s="22" t="s">
        <v>3985</v>
      </c>
    </row>
    <row r="644" spans="18:18">
      <c r="R644" s="22" t="s">
        <v>3986</v>
      </c>
    </row>
    <row r="645" spans="18:18">
      <c r="R645" s="22" t="s">
        <v>3987</v>
      </c>
    </row>
    <row r="646" spans="18:18">
      <c r="R646" s="22" t="s">
        <v>3988</v>
      </c>
    </row>
    <row r="647" spans="18:18">
      <c r="R647" s="22" t="s">
        <v>3984</v>
      </c>
    </row>
    <row r="648" spans="18:18">
      <c r="R648" s="22" t="s">
        <v>3985</v>
      </c>
    </row>
    <row r="649" spans="18:18">
      <c r="R649" s="22" t="s">
        <v>3986</v>
      </c>
    </row>
    <row r="650" spans="18:18">
      <c r="R650" s="22" t="s">
        <v>3987</v>
      </c>
    </row>
    <row r="651" spans="18:18">
      <c r="R651" s="22" t="s">
        <v>3988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10</vt:i4>
      </vt:variant>
    </vt:vector>
  </HeadingPairs>
  <TitlesOfParts>
    <vt:vector size="22" baseType="lpstr">
      <vt:lpstr>메인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2021-11-09T08:20:57Z</dcterms:modified>
</cp:coreProperties>
</file>