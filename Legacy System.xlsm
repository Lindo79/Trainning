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14FE7FED-F867-4611-A45A-84E8103C5C25}" xr6:coauthVersionLast="47" xr6:coauthVersionMax="47" xr10:uidLastSave="{00000000-0000-0000-0000-000000000000}"/>
  <bookViews>
    <workbookView xWindow="38290" yWindow="-110" windowWidth="29020" windowHeight="15820" activeTab="3" xr2:uid="{76938E8D-66E0-49BD-A941-AB682D8F9E78}"/>
  </bookViews>
  <sheets>
    <sheet name="메인" sheetId="8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r:id="rId6"/>
    <sheet name="회사관리" sheetId="33" r:id="rId7"/>
    <sheet name="Order Recap" sheetId="14" state="hidden" r:id="rId8"/>
    <sheet name="dupl_po" sheetId="12" state="hidden" r:id="rId9"/>
    <sheet name="code" sheetId="7" state="hidden" r:id="rId10"/>
    <sheet name="validation" sheetId="11" state="hidden" r:id="rId11"/>
    <sheet name="매출채권" sheetId="4" state="hidden" r:id="rId12"/>
  </sheets>
  <functionGroups builtInGroupCount="19"/>
  <definedNames>
    <definedName name="_xlnm._FilterDatabase" localSheetId="3" hidden="1">PO관리!$A$4:$M$99</definedName>
    <definedName name="_xlnm._FilterDatabase" localSheetId="4" hidden="1">PO관리툴!$B$6:$Q$33</definedName>
    <definedName name="_xlnm._FilterDatabase" localSheetId="2" hidden="1">인덴트관리!$A$4:$N$4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code!$B$2:$B$7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" i="8" l="1"/>
  <c r="I5" i="13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<sst xmlns="http://schemas.openxmlformats.org/spreadsheetml/2006/main" count="13496" uniqueCount="4319">
  <si>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</si>
  <si>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</si>
  <si>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</si>
  <si>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</si>
  <si>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</si>
  <si>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</si>
  <si>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</si>
  <si>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</si>
  <si>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</si>
  <si>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</si>
  <si>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</si>
  <si>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</si>
  <si>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</si>
  <si>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</si>
  <si>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</si>
  <si>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</si>
  <si>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</si>
  <si>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</si>
  <si>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</si>
  <si>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</si>
  <si>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</si>
  <si>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</si>
  <si>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</si>
  <si>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</si>
  <si>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</si>
  <si>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</si>
  <si>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</si>
  <si>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</si>
  <si>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</si>
  <si>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</si>
  <si>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</si>
  <si>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</si>
  <si>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</si>
  <si>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</si>
  <si>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</si>
  <si>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</si>
  <si>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</si>
  <si>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</si>
  <si>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</si>
  <si>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</si>
  <si>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</si>
  <si>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</si>
  <si>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</si>
  <si>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</si>
  <si>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</si>
  <si>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</si>
  <si>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</si>
  <si>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</si>
  <si>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</si>
  <si>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</si>
  <si>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</si>
  <si>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</si>
  <si>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</si>
  <si>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</si>
  <si>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</si>
  <si>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</si>
  <si>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</si>
  <si>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</si>
  <si>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</si>
  <si>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</si>
  <si>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</si>
  <si>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</si>
  <si>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</si>
  <si>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</si>
  <si>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</si>
  <si>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</si>
  <si>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</si>
  <si>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</si>
  <si>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</si>
  <si>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</si>
  <si>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</si>
  <si>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</si>
  <si>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</si>
  <si>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</si>
  <si>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</si>
  <si>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</si>
  <si>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</si>
  <si>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</si>
  <si>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</si>
  <si>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</si>
  <si>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</si>
  <si>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</si>
  <si>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</si>
  <si>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</si>
  <si>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</si>
  <si>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</si>
  <si>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</si>
  <si>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</si>
  <si>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</si>
  <si>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</si>
  <si>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</si>
  <si>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</si>
  <si>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</si>
  <si>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</si>
  <si>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</si>
  <si>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</si>
  <si>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</si>
  <si>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</si>
  <si>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</si>
  <si>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</si>
  <si>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</si>
  <si>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</si>
  <si>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</si>
  <si>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</si>
  <si>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</si>
  <si>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</si>
  <si>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</si>
  <si>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</si>
  <si>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</si>
  <si>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</si>
  <si>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</si>
  <si>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</si>
  <si>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</si>
  <si>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</si>
  <si>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</si>
  <si>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</si>
  <si>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</si>
  <si>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</si>
  <si>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</si>
  <si>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</si>
  <si>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</si>
  <si>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</si>
  <si>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</si>
  <si>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</si>
  <si>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</si>
  <si>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</si>
  <si>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</si>
  <si>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</si>
  <si>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</si>
  <si>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</si>
  <si>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</si>
  <si>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</si>
  <si>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</si>
  <si>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</si>
  <si>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</si>
  <si>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</si>
  <si>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</si>
  <si>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</si>
  <si>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</si>
  <si>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</si>
  <si>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</si>
  <si>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</si>
  <si>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</si>
  <si>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</si>
  <si>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</si>
  <si>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</si>
  <si>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</si>
  <si>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</si>
  <si>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</si>
  <si>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</si>
  <si>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</si>
  <si>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</si>
  <si>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</si>
  <si>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</si>
  <si>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</si>
  <si>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</si>
  <si>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</si>
  <si>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</si>
  <si>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</si>
  <si>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</si>
  <si>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</si>
  <si>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</si>
  <si>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</si>
  <si>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</si>
  <si>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</si>
  <si>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</si>
  <si>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</si>
  <si>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</si>
  <si>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</si>
  <si>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</si>
  <si>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</si>
  <si>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</si>
  <si>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</si>
  <si>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</si>
  <si>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</si>
  <si>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</si>
  <si>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</si>
  <si>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</si>
  <si>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</si>
  <si>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</si>
  <si>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</si>
  <si>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</si>
  <si>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</si>
  <si>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</si>
  <si>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</si>
  <si>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</si>
  <si>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</si>
  <si>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</si>
  <si>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</si>
  <si>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</si>
  <si>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</si>
  <si>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</si>
  <si>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</si>
  <si>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</si>
  <si>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</si>
  <si>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</si>
  <si>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</si>
  <si>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</si>
  <si>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</si>
  <si>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</si>
  <si>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</si>
  <si>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</si>
  <si>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</si>
  <si>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</si>
  <si>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</si>
  <si>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</si>
  <si>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</si>
  <si>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</si>
  <si>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</si>
  <si>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</si>
  <si>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</si>
  <si>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</si>
  <si>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</si>
  <si>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</si>
  <si>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</si>
  <si>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</si>
  <si>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</si>
  <si>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</si>
  <si>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</si>
  <si>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</si>
  <si>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</si>
  <si>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</si>
  <si>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</si>
  <si>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</si>
  <si>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</si>
  <si>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</si>
  <si>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</si>
  <si>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</si>
  <si>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</si>
  <si>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</si>
  <si>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</si>
  <si>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</si>
  <si>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</si>
  <si>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</si>
  <si>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</si>
  <si>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</si>
  <si>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</si>
  <si>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</si>
  <si>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</si>
  <si>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</si>
  <si>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</si>
  <si>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</si>
  <si>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</si>
  <si>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</si>
  <si>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</si>
  <si>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</si>
  <si>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</si>
  <si>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</si>
  <si>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</si>
  <si>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</si>
  <si>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</si>
  <si>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</si>
  <si>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</si>
  <si>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</si>
  <si>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</si>
  <si>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</si>
  <si>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</si>
  <si>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</si>
  <si>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</si>
  <si>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</si>
  <si>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</si>
  <si>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</si>
  <si>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</si>
  <si>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</si>
  <si>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</si>
  <si>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</si>
  <si>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</si>
  <si>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</si>
  <si>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</si>
  <si>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</si>
  <si>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</si>
  <si>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</si>
  <si>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</si>
  <si>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</si>
  <si>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</si>
  <si>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</si>
  <si>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</si>
  <si>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</si>
  <si>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</si>
  <si>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</si>
  <si>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</si>
  <si>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</si>
  <si>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</si>
  <si>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</si>
  <si>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</si>
  <si>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</si>
  <si>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</si>
  <si>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</si>
  <si>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</si>
  <si>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</si>
  <si>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</si>
  <si>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</si>
  <si>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</si>
  <si>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</si>
  <si>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</si>
  <si>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</si>
  <si>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</si>
  <si>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</si>
  <si>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</si>
  <si>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</si>
  <si>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</si>
  <si>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</si>
  <si>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</si>
  <si>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</si>
  <si>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</si>
  <si>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</si>
  <si>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</si>
  <si>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</si>
  <si>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</si>
  <si>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</si>
  <si>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</si>
  <si>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</si>
  <si>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</si>
  <si>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</si>
  <si>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</si>
  <si>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</si>
  <si>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</si>
  <si>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</si>
  <si>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</si>
  <si>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</si>
  <si>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</si>
  <si>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</si>
  <si>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</si>
  <si>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</si>
  <si>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</si>
  <si>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</si>
  <si>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</si>
  <si>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</si>
  <si>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</si>
  <si>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</si>
  <si>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</si>
  <si>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</si>
  <si>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</si>
  <si>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</si>
  <si>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</si>
  <si>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</si>
  <si>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</si>
  <si>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</si>
  <si>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</si>
  <si>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</si>
  <si>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</si>
  <si>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</si>
  <si>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</si>
  <si>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</si>
  <si>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</si>
  <si>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</si>
  <si>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</si>
  <si>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</si>
  <si>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</si>
  <si>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</si>
  <si>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</si>
  <si>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</si>
  <si>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</si>
  <si>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</si>
  <si>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</si>
  <si>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</si>
  <si>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</si>
  <si>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</si>
  <si>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</si>
  <si>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</si>
  <si>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</si>
  <si>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</si>
  <si>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</si>
  <si>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</si>
  <si>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</si>
  <si>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</si>
  <si>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</si>
  <si>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</si>
  <si>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</si>
  <si>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</si>
  <si>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</si>
  <si>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</si>
  <si>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</si>
  <si>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</si>
  <si>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</si>
  <si>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</si>
  <si>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</si>
  <si>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</si>
  <si>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</si>
  <si>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</si>
  <si>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</si>
  <si>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</si>
  <si>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</si>
  <si>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</si>
  <si>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</si>
  <si>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</si>
  <si>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</si>
  <si>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</si>
  <si>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</si>
  <si>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</si>
  <si>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</si>
  <si>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</si>
  <si>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</si>
  <si>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</si>
  <si>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</si>
  <si>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</si>
  <si>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</si>
  <si>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</si>
  <si>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</si>
  <si>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</si>
  <si>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</si>
  <si>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</si>
  <si>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</si>
  <si>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</si>
  <si>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</si>
  <si>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</si>
  <si>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</si>
  <si>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</si>
  <si>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</si>
  <si>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</si>
  <si>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</si>
  <si>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</si>
  <si>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</si>
  <si>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</si>
  <si>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</si>
  <si>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</si>
  <si>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</si>
  <si>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</si>
  <si>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</si>
  <si>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</si>
  <si>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</si>
  <si>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</si>
  <si>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</si>
  <si>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</si>
  <si>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</si>
  <si>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</si>
  <si>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</si>
  <si>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</si>
  <si>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</si>
  <si>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</si>
  <si>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</si>
  <si>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</si>
  <si>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</si>
  <si>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</si>
  <si>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</si>
  <si>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</si>
  <si>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</si>
  <si>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</si>
  <si>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</si>
  <si>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</si>
  <si>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</si>
  <si>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</si>
  <si>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</si>
  <si>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</si>
  <si>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</si>
  <si>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</si>
  <si>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</si>
  <si>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</si>
  <si>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</si>
  <si>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</si>
  <si>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</si>
  <si>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</si>
  <si>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</si>
  <si>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</si>
  <si>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</si>
  <si>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</si>
  <si>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</si>
  <si>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</si>
  <si>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</si>
  <si>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</si>
  <si>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</si>
  <si>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</si>
  <si>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</si>
  <si>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</si>
  <si>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</si>
  <si>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</si>
  <si>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</si>
  <si>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</si>
  <si>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</si>
  <si>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</si>
  <si>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</si>
  <si>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</si>
  <si>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</si>
  <si>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</si>
  <si>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</si>
  <si>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</si>
  <si>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</si>
  <si>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</si>
  <si>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</si>
  <si>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</si>
  <si>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</si>
  <si>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</si>
  <si>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</si>
  <si>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</si>
  <si>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</si>
  <si>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</si>
  <si>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</si>
  <si>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</si>
  <si>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</si>
  <si>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</si>
  <si>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</si>
  <si>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</si>
  <si>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</si>
  <si>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</si>
  <si>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</si>
  <si>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</si>
  <si>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</si>
  <si>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</si>
  <si>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</si>
  <si>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</si>
  <si>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</si>
  <si>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</si>
  <si>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</si>
  <si>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</si>
  <si>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</si>
  <si>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</si>
  <si>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</si>
  <si>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</si>
  <si>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</si>
  <si>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</si>
  <si>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</si>
  <si>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</si>
  <si>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</si>
  <si>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</si>
  <si>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</si>
  <si>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</si>
  <si>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</si>
  <si>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</si>
  <si>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</si>
  <si>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</si>
  <si>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</si>
  <si>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</si>
  <si>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</si>
  <si>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</si>
  <si>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</si>
  <si>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</si>
  <si>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</si>
  <si>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</si>
  <si>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</si>
  <si>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</si>
  <si>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</si>
  <si>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</si>
  <si>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</si>
  <si>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</si>
  <si>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</si>
  <si>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</si>
  <si>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</si>
  <si>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</si>
  <si>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</si>
  <si>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</si>
  <si>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</si>
  <si>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</si>
  <si>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</si>
  <si>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</si>
  <si>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</si>
  <si>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</si>
  <si>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</si>
  <si>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</si>
  <si>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</si>
  <si>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</si>
  <si>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</si>
  <si>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</si>
  <si>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</si>
  <si>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</si>
  <si>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</si>
  <si>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</si>
  <si>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</si>
  <si>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</si>
  <si>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</si>
  <si>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</si>
  <si>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</si>
  <si>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</si>
  <si>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</si>
  <si>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</si>
  <si>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</si>
  <si>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</si>
  <si>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</si>
  <si>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</si>
  <si>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</si>
  <si>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</si>
  <si>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</si>
  <si>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</si>
  <si>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</si>
  <si>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</si>
  <si>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</si>
  <si>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</si>
  <si>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</si>
  <si>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</si>
  <si>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</si>
  <si>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</si>
  <si>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</si>
  <si>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</si>
  <si>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</si>
  <si>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</si>
  <si>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</si>
  <si>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</si>
  <si>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</si>
  <si>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</si>
  <si>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</si>
  <si>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</si>
  <si>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</si>
  <si>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</si>
  <si>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</si>
  <si>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</si>
  <si>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</si>
  <si>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</si>
  <si>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</si>
  <si>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</si>
  <si>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</si>
  <si>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</si>
  <si>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</si>
  <si>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</si>
  <si>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</si>
  <si>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</si>
  <si>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</si>
  <si>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</si>
  <si>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</si>
  <si>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</si>
  <si>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</si>
  <si>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</si>
  <si>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</si>
  <si>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</si>
  <si>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</si>
  <si>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</si>
  <si>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</si>
  <si>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</si>
  <si>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</si>
  <si>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</si>
  <si>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</si>
  <si>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</si>
  <si>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</si>
  <si>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</si>
  <si>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</si>
  <si>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</si>
  <si>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</si>
  <si>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</si>
  <si>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</si>
  <si>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</si>
  <si>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</si>
  <si>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</si>
  <si>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</si>
  <si>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</si>
  <si>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</si>
  <si>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</si>
  <si>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</si>
  <si>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</si>
  <si>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</si>
  <si>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</si>
  <si>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</si>
  <si>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</si>
  <si>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</si>
  <si>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</si>
  <si>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</si>
  <si>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</si>
  <si>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</si>
  <si>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</si>
  <si>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</si>
  <si>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</si>
  <si>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</si>
  <si>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</si>
  <si>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</si>
  <si>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</si>
  <si>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</si>
  <si>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</si>
  <si>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</si>
  <si>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</si>
  <si>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</si>
  <si>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</si>
  <si>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</si>
  <si>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</si>
  <si>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</si>
  <si>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</si>
  <si>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</si>
  <si>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</si>
  <si>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</si>
  <si>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</si>
  <si>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</si>
  <si>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</si>
  <si>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</si>
  <si>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</si>
  <si>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</si>
  <si>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</si>
  <si>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</si>
  <si>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</si>
  <si>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</si>
  <si>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</si>
  <si>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</si>
  <si>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</si>
  <si>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</si>
  <si>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</si>
  <si>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</si>
  <si>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</si>
  <si>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</si>
  <si>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</si>
  <si>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</si>
  <si>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</si>
  <si>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</si>
  <si>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</si>
  <si>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</si>
  <si>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</si>
  <si>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</si>
  <si>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</si>
  <si>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</si>
  <si>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</si>
  <si>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</si>
  <si>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</si>
  <si>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</si>
  <si>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</si>
  <si>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</si>
  <si>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</si>
  <si>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</si>
  <si>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</si>
  <si>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</si>
  <si>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</si>
  <si>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</si>
  <si>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</si>
  <si>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</si>
  <si>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</si>
  <si>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</si>
  <si>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</si>
  <si>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</si>
  <si>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</si>
  <si>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</si>
  <si>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</si>
  <si>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</si>
  <si>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</si>
  <si>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</si>
  <si>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</si>
  <si>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</si>
  <si>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</si>
  <si>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</si>
  <si>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</si>
  <si>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</si>
  <si>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</si>
  <si>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</si>
  <si>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</si>
  <si>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</si>
  <si>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</si>
  <si>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</si>
  <si>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</si>
  <si>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</si>
  <si>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</si>
  <si>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</si>
  <si>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</si>
  <si>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</si>
  <si>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</si>
  <si>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</si>
  <si>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</si>
  <si>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</si>
  <si>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</si>
  <si>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</si>
  <si>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</si>
  <si>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</si>
  <si>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</si>
  <si>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</si>
  <si>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</si>
  <si>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</si>
  <si>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</si>
  <si>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</si>
  <si>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</si>
  <si>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</si>
  <si>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</si>
  <si>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</si>
  <si>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</si>
  <si>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</si>
  <si>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</si>
  <si>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</si>
  <si>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</si>
  <si>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</si>
  <si>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</si>
  <si>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</si>
  <si>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</si>
  <si>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</si>
  <si>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</si>
  <si>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</si>
  <si>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</si>
  <si>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</si>
  <si>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</si>
  <si>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</si>
  <si>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</si>
  <si>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</si>
  <si>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</si>
  <si>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</si>
  <si>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</si>
  <si>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</si>
  <si>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</si>
  <si>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</si>
  <si>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</si>
  <si>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</si>
  <si>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</si>
  <si>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</si>
  <si>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</si>
  <si>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</si>
  <si>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</si>
  <si>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</si>
  <si>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</si>
  <si>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</si>
  <si>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</si>
  <si>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</si>
  <si>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</si>
  <si>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</si>
  <si>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</si>
  <si>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</si>
  <si>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</si>
  <si>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</si>
  <si>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</si>
  <si>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</si>
  <si>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</si>
  <si>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</si>
  <si>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</si>
  <si>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</si>
  <si>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</si>
  <si>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</si>
  <si>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</si>
  <si>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</si>
  <si>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</si>
  <si>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</si>
  <si>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</si>
  <si>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</si>
  <si>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</si>
  <si>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</si>
  <si>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</si>
  <si>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</si>
  <si>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</si>
  <si>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</si>
  <si>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</si>
  <si>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</si>
  <si>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</si>
  <si>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</si>
  <si>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</si>
  <si>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</si>
  <si>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</si>
  <si>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</si>
  <si>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</si>
  <si>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</si>
  <si>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</si>
  <si>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</si>
  <si>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</si>
  <si>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</si>
  <si>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</si>
  <si>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</si>
  <si>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</si>
  <si>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</si>
  <si>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</si>
  <si>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</si>
  <si>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</si>
  <si>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</si>
  <si>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</si>
  <si>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</si>
  <si>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</si>
  <si>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</si>
  <si>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</si>
  <si>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</si>
  <si>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</si>
  <si>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</si>
  <si>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</si>
  <si>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</si>
  <si>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</si>
  <si>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</si>
  <si>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</si>
  <si>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</si>
  <si>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</si>
  <si>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</si>
  <si>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</si>
  <si>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</si>
  <si>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</si>
  <si>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</si>
  <si>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</si>
  <si>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</si>
  <si>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</si>
  <si>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</si>
  <si>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</si>
  <si>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</si>
  <si>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</si>
  <si>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</si>
  <si>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</si>
  <si>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</si>
  <si>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</si>
  <si>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</si>
  <si>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</si>
  <si>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</si>
  <si>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</si>
  <si>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</si>
  <si>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</si>
  <si>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</si>
  <si>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</si>
  <si>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</si>
  <si>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</si>
  <si>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</si>
  <si>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</si>
  <si>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</si>
  <si>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</si>
  <si>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</si>
  <si>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</si>
  <si>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</si>
  <si>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</si>
  <si>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</si>
  <si>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</si>
  <si>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</si>
  <si>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</si>
  <si>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</si>
  <si>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</si>
  <si>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</si>
  <si>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</si>
  <si>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</si>
  <si>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</si>
  <si>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</si>
  <si>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</si>
  <si>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</si>
  <si>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</si>
  <si>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</si>
  <si>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</si>
  <si>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</si>
  <si>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</si>
  <si>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</si>
  <si>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</si>
  <si>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</si>
  <si>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</si>
  <si>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</si>
  <si>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</si>
  <si>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</si>
  <si>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</si>
  <si>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</si>
  <si>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</si>
  <si>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</si>
  <si>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</si>
  <si>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</si>
  <si>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</si>
  <si>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</si>
  <si>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</si>
  <si>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</si>
  <si>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</si>
  <si>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</si>
  <si>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</si>
  <si>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</si>
  <si>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</si>
  <si>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</si>
  <si>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</si>
  <si>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</si>
  <si>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</si>
  <si>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</si>
  <si>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</si>
  <si>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</si>
  <si>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</si>
  <si>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</si>
  <si>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</si>
  <si>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</si>
  <si>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</si>
  <si>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</si>
  <si>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</si>
  <si>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</si>
  <si>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</si>
  <si>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</si>
  <si>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</si>
  <si>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</si>
  <si>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</si>
  <si>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</si>
  <si>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</si>
  <si>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</si>
  <si>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</si>
  <si>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</si>
  <si>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</si>
  <si>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</si>
  <si>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</si>
  <si>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</si>
  <si>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</si>
  <si>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</si>
  <si>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</si>
  <si>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</si>
  <si>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</si>
  <si>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</si>
  <si>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</si>
  <si>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</si>
  <si>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</si>
  <si>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</si>
  <si>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</si>
  <si>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</si>
  <si>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</si>
  <si>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</si>
  <si>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</si>
  <si>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</si>
  <si>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</si>
  <si>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</si>
  <si>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</si>
  <si>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</si>
  <si>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</si>
  <si>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</si>
  <si>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</si>
  <si>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</si>
  <si>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</si>
  <si>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</si>
  <si>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</si>
  <si>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</si>
  <si>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</si>
  <si>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</si>
  <si>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</si>
  <si>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</si>
  <si>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</si>
  <si>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</si>
  <si>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</si>
  <si>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</si>
  <si>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</si>
  <si>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</si>
  <si>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</si>
  <si>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</si>
  <si>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</si>
  <si>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</si>
  <si>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</si>
  <si>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</si>
  <si>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</si>
  <si>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</si>
  <si>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</si>
  <si>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</si>
  <si>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</si>
  <si>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</si>
  <si>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</si>
  <si>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</si>
  <si>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</si>
  <si>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</si>
  <si>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</si>
  <si>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</si>
  <si>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</si>
  <si>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</si>
  <si>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</si>
  <si>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</si>
  <si>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</si>
  <si>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</si>
  <si>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</si>
  <si>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</si>
  <si>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</si>
  <si>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</si>
  <si>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</si>
  <si>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</si>
  <si>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</si>
  <si>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</si>
  <si>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</si>
  <si>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</si>
  <si>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</si>
  <si>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</si>
  <si>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</si>
  <si>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</si>
  <si>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</si>
  <si>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</si>
  <si>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</si>
  <si>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</si>
  <si>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</si>
  <si>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</si>
  <si>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</si>
  <si>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</si>
  <si>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</si>
  <si>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</si>
  <si>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</si>
  <si>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</si>
  <si>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</si>
  <si>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</si>
  <si>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</si>
  <si>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</si>
  <si>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</si>
  <si>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</si>
  <si>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</si>
  <si>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</si>
  <si>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</si>
  <si>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</si>
  <si>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</si>
  <si>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</si>
  <si>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</si>
  <si>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</si>
  <si>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</si>
  <si>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</si>
  <si>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</si>
  <si>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</si>
  <si>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</si>
  <si>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</si>
  <si>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</si>
  <si>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</si>
  <si>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</si>
  <si>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</si>
  <si>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</si>
  <si>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</si>
  <si>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</si>
  <si>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</si>
  <si>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</si>
  <si>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</si>
  <si>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</si>
  <si>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</si>
  <si>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</si>
  <si>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</si>
  <si>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</si>
  <si>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</si>
  <si>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</si>
  <si>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</si>
  <si>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</si>
  <si>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</si>
  <si>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</si>
  <si>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</si>
  <si>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</si>
  <si>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</si>
  <si>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</si>
  <si>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</si>
  <si>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</si>
  <si>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</si>
  <si>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</si>
  <si>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</si>
  <si>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</si>
  <si>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</si>
  <si>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</si>
  <si>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</si>
  <si>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</si>
  <si>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</si>
  <si>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</si>
  <si>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</si>
  <si>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</si>
  <si>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</si>
  <si>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</si>
  <si>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</si>
  <si>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</si>
  <si>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</si>
  <si>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</si>
  <si>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</si>
  <si>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</si>
  <si>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</si>
  <si>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</si>
  <si>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</si>
  <si>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</si>
  <si>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</si>
  <si>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</si>
  <si>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</si>
  <si>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</si>
  <si>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</si>
  <si>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</si>
  <si>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</si>
  <si>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</si>
  <si>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</si>
  <si>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</si>
  <si>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</si>
  <si>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</si>
  <si>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</si>
  <si>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</si>
  <si>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</si>
  <si>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</si>
  <si>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</si>
  <si>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</si>
  <si>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</si>
  <si>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</si>
  <si>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</si>
  <si>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</si>
  <si>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</si>
  <si>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</si>
  <si>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</si>
  <si>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</si>
  <si>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</si>
  <si>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</si>
  <si>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</si>
  <si>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</si>
  <si>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</si>
  <si>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</si>
  <si>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</si>
  <si>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</si>
  <si>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</si>
  <si>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</si>
  <si>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</si>
  <si>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</si>
  <si>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</si>
  <si>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</si>
  <si>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</si>
  <si>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</si>
  <si>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</si>
  <si>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</si>
  <si>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</si>
  <si>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</si>
  <si>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</si>
  <si>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</si>
  <si>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</si>
  <si>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</si>
  <si>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</si>
  <si>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</si>
  <si>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</si>
  <si>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</si>
  <si>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</si>
  <si>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</si>
  <si>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</si>
  <si>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</si>
  <si>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</si>
  <si>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</si>
  <si>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</si>
  <si>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</si>
  <si>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</si>
  <si>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</si>
  <si>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</si>
  <si>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</si>
  <si>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</si>
  <si>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</si>
  <si>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</si>
  <si>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</si>
  <si>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</si>
  <si>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</si>
  <si>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</si>
  <si>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</si>
  <si>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</si>
  <si>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</si>
  <si>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</si>
  <si>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</si>
  <si>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</si>
  <si>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</si>
  <si>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</si>
  <si>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</si>
  <si>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</si>
  <si>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</si>
  <si>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</si>
  <si>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</si>
  <si>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</si>
  <si>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</si>
  <si>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</si>
  <si>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</si>
  <si>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</si>
  <si>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</si>
  <si>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</si>
  <si>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</si>
  <si>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</si>
  <si>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</si>
  <si>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</si>
  <si>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</si>
  <si>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</si>
  <si>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</si>
  <si>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</si>
  <si>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</si>
  <si>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</si>
  <si>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</si>
  <si>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</si>
  <si>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</si>
  <si>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</si>
  <si>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</si>
  <si>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</si>
  <si>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</si>
  <si>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</si>
  <si>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</si>
  <si>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</si>
  <si>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</si>
  <si>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</si>
  <si>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</si>
  <si>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</si>
  <si>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</si>
  <si>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</si>
  <si>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</si>
  <si>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</si>
  <si>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</si>
  <si>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</si>
  <si>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</si>
  <si>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</si>
  <si>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</si>
  <si>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</si>
  <si>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</si>
  <si>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</si>
  <si>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</si>
  <si>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</si>
  <si>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</si>
  <si>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</si>
  <si>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</si>
  <si>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</si>
  <si>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</si>
  <si>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</si>
  <si>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</si>
  <si>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</si>
  <si>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</si>
  <si>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</si>
  <si>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</si>
  <si>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</si>
  <si>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</si>
  <si>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</si>
  <si>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</si>
  <si>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</si>
  <si>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</si>
  <si>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</si>
  <si>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</si>
  <si>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</si>
  <si>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</si>
  <si>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</si>
  <si>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</si>
  <si>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</si>
  <si>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</si>
  <si>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</si>
  <si>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</si>
  <si>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</si>
  <si>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</si>
  <si>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</si>
  <si>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</si>
  <si>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</si>
  <si>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</si>
  <si>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</si>
  <si>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</si>
  <si>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</si>
  <si>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</si>
  <si>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</si>
  <si>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</si>
  <si>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</si>
  <si>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</si>
  <si>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</si>
  <si>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</si>
  <si>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</si>
  <si>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</si>
  <si>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</si>
  <si>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</si>
  <si>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</si>
  <si>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</si>
  <si>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</si>
  <si>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</si>
  <si>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</si>
  <si>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</si>
  <si>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</si>
  <si>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</si>
  <si>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</si>
  <si>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</si>
  <si>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</si>
  <si>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</si>
  <si>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</si>
  <si>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</si>
  <si>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</si>
  <si>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</si>
  <si>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</si>
  <si>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</si>
  <si>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</si>
  <si>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</si>
  <si>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</si>
  <si>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</si>
  <si>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</si>
  <si>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</si>
  <si>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</si>
  <si>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</si>
  <si>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</si>
  <si>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</si>
  <si>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</si>
  <si>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</si>
  <si>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</si>
  <si>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</si>
  <si>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</si>
  <si>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</si>
  <si>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</si>
  <si>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</si>
  <si>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</si>
  <si>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</si>
  <si>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</si>
  <si>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</si>
  <si>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</si>
  <si>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</si>
  <si>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</si>
  <si>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</si>
  <si>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</si>
  <si>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</si>
  <si>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</si>
  <si>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</si>
  <si>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</si>
  <si>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</si>
  <si>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</si>
  <si>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</si>
  <si>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</si>
  <si>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</si>
  <si>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</si>
  <si>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</si>
  <si>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</si>
  <si>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</si>
  <si>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</si>
  <si>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</si>
  <si>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</si>
  <si>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</si>
  <si>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</si>
  <si>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</si>
  <si>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</si>
  <si>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</si>
  <si>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</si>
  <si>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</si>
  <si>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</si>
  <si>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</si>
  <si>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</si>
  <si>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</si>
  <si>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</si>
  <si>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</si>
  <si>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</si>
  <si>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</si>
  <si>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</si>
  <si>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</si>
  <si>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</si>
  <si>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</si>
  <si>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</si>
  <si>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</si>
  <si>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</si>
  <si>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</si>
  <si>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</si>
  <si>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</si>
  <si>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</si>
  <si>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</si>
  <si>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</si>
  <si>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</si>
  <si>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</si>
  <si>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</si>
  <si>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</si>
  <si>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</si>
  <si>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</si>
  <si>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</si>
  <si>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</si>
  <si>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</si>
  <si>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</si>
  <si>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</si>
  <si>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</si>
  <si>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</si>
  <si>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</si>
  <si>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</si>
  <si>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</si>
  <si>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</si>
  <si>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</si>
  <si>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</si>
  <si>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</si>
  <si>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</si>
  <si>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</si>
  <si>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</si>
  <si>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</si>
  <si>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</si>
  <si>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</si>
  <si>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</si>
  <si>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</si>
  <si>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</si>
  <si>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</si>
  <si>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</si>
  <si>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</si>
  <si>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</si>
  <si>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</si>
  <si>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</si>
  <si>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</si>
  <si>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</si>
  <si>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</si>
  <si>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</si>
  <si>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</si>
  <si>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</si>
  <si>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</si>
  <si>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</si>
  <si>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</si>
  <si>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</si>
  <si>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</si>
  <si>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</si>
  <si>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</si>
  <si>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</si>
  <si>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</si>
  <si>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</si>
  <si>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</si>
  <si>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</si>
  <si>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</si>
  <si>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</si>
  <si>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</si>
  <si>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</si>
  <si>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</si>
  <si>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</si>
  <si>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</si>
  <si>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</si>
  <si>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</si>
  <si>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</si>
  <si>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</si>
  <si>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</si>
  <si>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</si>
  <si>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</si>
  <si>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</si>
  <si>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</si>
  <si>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</si>
  <si>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</si>
  <si>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</si>
  <si>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</si>
  <si>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</si>
  <si>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</si>
  <si>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</si>
  <si>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</si>
  <si>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</si>
  <si>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</si>
  <si>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</si>
  <si>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</si>
  <si>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</si>
  <si>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</si>
  <si>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</si>
  <si>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</si>
  <si>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</si>
  <si>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</si>
  <si>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</si>
  <si>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</si>
  <si>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</si>
  <si>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</si>
  <si>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</si>
  <si>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</si>
  <si>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</si>
  <si>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</si>
  <si>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</si>
  <si>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</si>
  <si>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</si>
  <si>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</si>
  <si>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</si>
  <si>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</si>
  <si>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</si>
  <si>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</si>
  <si>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</si>
  <si>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</si>
  <si>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</si>
  <si>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</si>
  <si>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</si>
  <si>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</si>
  <si>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</si>
  <si>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</si>
  <si>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</si>
  <si>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</si>
  <si>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</si>
  <si>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</si>
  <si>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</si>
  <si>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</si>
  <si>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</si>
  <si>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</si>
  <si>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</si>
  <si>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</si>
  <si>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</si>
  <si>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</si>
  <si>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</si>
  <si>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</si>
  <si>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</si>
  <si>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</si>
  <si>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</si>
  <si>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</si>
  <si>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</si>
  <si>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</si>
  <si>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</si>
  <si>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</si>
  <si>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</si>
  <si>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</si>
  <si>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</si>
  <si>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</si>
  <si>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</si>
  <si>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</si>
  <si>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</si>
  <si>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</si>
  <si>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</si>
  <si>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</si>
  <si>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</si>
  <si>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</si>
  <si>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</si>
  <si>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</si>
  <si>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</si>
  <si>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</si>
  <si>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</si>
  <si>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</si>
  <si>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</si>
  <si>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</si>
  <si>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</si>
  <si>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</si>
  <si>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</si>
  <si>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</si>
  <si>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</si>
  <si>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</si>
  <si>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</si>
  <si>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</si>
  <si>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</si>
  <si>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</si>
  <si>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</si>
  <si>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</si>
  <si>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</si>
  <si>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</si>
  <si>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</si>
  <si>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</si>
  <si>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</si>
  <si>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</si>
  <si>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</si>
  <si>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</si>
  <si>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</si>
  <si>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</si>
  <si>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</si>
  <si>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</si>
  <si>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</si>
  <si>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</si>
  <si>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</si>
  <si>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</si>
  <si>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</si>
  <si>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</si>
  <si>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</si>
  <si>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</si>
  <si>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</si>
  <si>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</si>
  <si>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</si>
  <si>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</si>
  <si>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</si>
  <si>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</si>
  <si>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</si>
  <si>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</si>
  <si>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</si>
  <si>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</si>
  <si>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</si>
  <si>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</si>
  <si>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</si>
  <si>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</si>
  <si>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</si>
  <si>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</si>
  <si>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</si>
  <si>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</si>
  <si>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</si>
  <si>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</si>
  <si>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</si>
  <si>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</si>
  <si>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</si>
  <si>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</si>
  <si>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</si>
  <si>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</si>
  <si>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</si>
  <si>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</si>
  <si>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</si>
  <si>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</si>
  <si>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</si>
  <si>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</si>
  <si>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</si>
  <si>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</si>
  <si>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</si>
  <si>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</si>
  <si>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</si>
  <si>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</si>
  <si>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</si>
  <si>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</si>
  <si>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</si>
  <si>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</si>
  <si>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</si>
  <si>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</si>
  <si>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</si>
  <si>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</si>
  <si>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</si>
  <si>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</si>
  <si>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</si>
  <si>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</si>
  <si>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</si>
  <si>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</si>
  <si>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</si>
  <si>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</si>
  <si>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</si>
  <si>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</si>
  <si>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</si>
  <si>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</si>
  <si>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</si>
  <si>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</si>
  <si>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</si>
  <si>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</si>
  <si>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</si>
  <si>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</si>
  <si>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</si>
  <si>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</si>
  <si>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</si>
  <si>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</si>
  <si>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</si>
  <si>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</si>
  <si>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</si>
  <si>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</si>
  <si>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</si>
  <si>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</si>
  <si>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</si>
  <si>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</si>
  <si>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</si>
  <si>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</si>
  <si>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</si>
  <si>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</si>
  <si>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</si>
  <si>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</si>
  <si>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</si>
  <si>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</si>
  <si>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</si>
  <si>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</si>
  <si>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</si>
  <si>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</si>
  <si>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</si>
  <si>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</si>
  <si>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</si>
  <si>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</si>
  <si>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</si>
  <si>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</si>
  <si>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</si>
  <si>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</si>
  <si>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</si>
  <si>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</si>
  <si>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</si>
  <si>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</si>
  <si>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</si>
  <si>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</si>
  <si>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</si>
  <si>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</si>
  <si>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</si>
  <si>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</si>
  <si>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</si>
  <si>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</si>
  <si>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</si>
  <si>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</si>
  <si>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</si>
  <si>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</si>
  <si>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</si>
  <si>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</si>
  <si>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</si>
  <si>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</si>
  <si>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</si>
  <si>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</si>
  <si>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</si>
  <si>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</si>
  <si>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</si>
  <si>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</si>
  <si>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</si>
  <si>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</si>
  <si>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</si>
  <si>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</si>
  <si>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</si>
  <si>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</si>
  <si>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</si>
  <si>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</si>
  <si>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</si>
  <si>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</si>
  <si>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</si>
  <si>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</si>
  <si>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</si>
  <si>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</si>
  <si>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</si>
  <si>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</si>
  <si>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</si>
  <si>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</si>
  <si>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</si>
  <si>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</si>
  <si>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</si>
  <si>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</si>
  <si>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</si>
  <si>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</si>
  <si>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</si>
  <si>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</si>
  <si>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</si>
  <si>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</si>
  <si>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</si>
  <si>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</si>
  <si>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</si>
  <si>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</si>
  <si>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</si>
  <si>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</si>
  <si>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</si>
  <si>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</si>
  <si>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</si>
  <si>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</si>
  <si>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</si>
  <si>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</si>
  <si>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</si>
  <si>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</si>
  <si>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</si>
  <si>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</si>
  <si>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</si>
  <si>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</si>
  <si>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</si>
  <si>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</si>
  <si>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</si>
  <si>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</si>
  <si>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</si>
  <si>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</si>
  <si>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</si>
  <si>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</si>
  <si>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</si>
  <si>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</si>
  <si>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</si>
  <si>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</si>
  <si>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</si>
  <si>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</si>
  <si>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</si>
  <si>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</si>
  <si>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</si>
  <si>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</si>
  <si>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</si>
  <si>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</si>
  <si>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</si>
  <si>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</si>
  <si>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</si>
  <si>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</si>
  <si>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</si>
  <si>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</si>
  <si>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</si>
  <si>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</si>
  <si>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</si>
  <si>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</si>
  <si>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</si>
  <si>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</si>
  <si>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</si>
  <si>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</si>
  <si>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</si>
  <si>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</si>
  <si>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</si>
  <si>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</si>
  <si>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</si>
  <si>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</si>
  <si>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</si>
  <si>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</si>
  <si>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</si>
  <si>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</si>
  <si>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</si>
  <si>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</si>
  <si>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</si>
  <si>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</si>
  <si>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</si>
  <si>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</si>
  <si>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</si>
  <si>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</si>
  <si>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</si>
  <si>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</si>
  <si>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</si>
  <si>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</si>
  <si>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</si>
  <si>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</si>
  <si>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</si>
  <si>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</si>
  <si>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</si>
  <si>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</si>
  <si>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</si>
  <si>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</si>
  <si>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</si>
  <si>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</si>
  <si>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</si>
  <si>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</si>
  <si>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</si>
  <si>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</si>
  <si>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</si>
  <si>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</si>
  <si>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</si>
  <si>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</si>
  <si>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</si>
  <si>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</si>
  <si>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</si>
  <si>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</si>
  <si>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</si>
  <si>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</si>
  <si>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</si>
  <si>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</si>
  <si>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</si>
  <si>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</si>
  <si>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</si>
  <si>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</si>
  <si>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</si>
  <si>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</si>
  <si>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</si>
  <si>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</si>
  <si>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</si>
  <si>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</si>
  <si>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</si>
  <si>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</si>
  <si>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</si>
  <si>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</si>
  <si>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</si>
  <si>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</si>
  <si>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</si>
  <si>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</si>
  <si>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</si>
  <si>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</si>
  <si>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</si>
  <si>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</si>
  <si>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</si>
  <si>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</si>
  <si>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</si>
  <si>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</si>
  <si>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</si>
  <si>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</si>
  <si>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</si>
  <si>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</si>
  <si>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</si>
  <si>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</si>
  <si>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</si>
  <si>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</si>
  <si>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</si>
  <si>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</si>
  <si>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</si>
  <si>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</si>
  <si>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</si>
  <si>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</si>
  <si>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</si>
  <si>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</si>
  <si>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</si>
  <si>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</si>
  <si>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</si>
  <si>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</si>
  <si>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</si>
  <si>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</si>
  <si>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</si>
  <si>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</si>
  <si>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</si>
  <si>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</si>
  <si>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</si>
  <si>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</si>
  <si>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</si>
  <si>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</si>
  <si>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</si>
  <si>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</si>
  <si>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</si>
  <si>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</si>
  <si>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</si>
  <si>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</si>
  <si>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</si>
  <si>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</si>
  <si>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</si>
  <si>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</si>
  <si>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</si>
  <si>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</si>
  <si>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</si>
  <si>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</si>
  <si>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</si>
  <si>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</si>
  <si>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</si>
  <si>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</si>
  <si>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</si>
  <si>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</si>
  <si>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</si>
  <si>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</si>
  <si>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</si>
  <si>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</si>
  <si>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</si>
  <si>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</si>
  <si>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</si>
  <si>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</si>
  <si>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</si>
  <si>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</si>
  <si>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</si>
  <si>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</si>
  <si>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</si>
  <si>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</si>
  <si>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</si>
  <si>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</si>
  <si>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</si>
  <si>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</si>
  <si>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</si>
  <si>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</si>
  <si>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</si>
  <si>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</si>
  <si>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</si>
  <si>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</si>
  <si>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</si>
  <si>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</si>
  <si>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</si>
  <si>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</si>
  <si>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</si>
  <si>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</si>
  <si>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</si>
  <si>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</si>
  <si>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</si>
  <si>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</si>
  <si>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</si>
  <si>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</si>
  <si>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</si>
  <si>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</si>
  <si>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</si>
  <si>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</si>
  <si>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</si>
  <si>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</si>
  <si>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</si>
  <si>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</si>
  <si>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</si>
  <si>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</si>
  <si>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</si>
  <si>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</si>
  <si>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</si>
  <si>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</si>
  <si>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</si>
  <si>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</si>
  <si>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</si>
  <si>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</si>
  <si>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</si>
  <si>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</si>
  <si>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</si>
  <si>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</si>
  <si>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</si>
  <si>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</si>
  <si>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</si>
  <si>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</si>
  <si>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</si>
  <si>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</si>
  <si>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</si>
  <si>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</si>
  <si>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</si>
  <si>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</si>
  <si>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</si>
  <si>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</si>
  <si>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</si>
  <si>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</si>
  <si>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</si>
  <si>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</si>
  <si>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</si>
  <si>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</si>
  <si>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</si>
  <si>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</si>
  <si>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</si>
  <si>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</si>
  <si>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</si>
  <si>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</si>
  <si>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</si>
  <si>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</si>
  <si>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</si>
  <si>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</si>
  <si>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</si>
  <si>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</si>
  <si>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</si>
  <si>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</si>
  <si>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</si>
  <si>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</si>
  <si>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</si>
  <si>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</si>
  <si>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</si>
  <si>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</si>
  <si>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</si>
  <si>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</si>
  <si>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</si>
  <si>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</si>
  <si>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</si>
  <si>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</si>
  <si>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</si>
  <si>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</si>
  <si>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</si>
  <si>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</si>
  <si>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</si>
  <si>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</si>
  <si>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</si>
  <si>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</si>
  <si>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</si>
  <si>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</si>
  <si>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</si>
  <si>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</si>
  <si>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</si>
  <si>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</si>
  <si>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</si>
  <si>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</si>
  <si>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</si>
  <si>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</si>
  <si>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</si>
  <si>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</si>
  <si>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</si>
  <si>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</si>
  <si>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</si>
  <si>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</si>
  <si>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</si>
  <si>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</si>
  <si>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</si>
  <si>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</si>
  <si>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</si>
  <si>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</si>
  <si>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</si>
  <si>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</si>
  <si>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</si>
  <si>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</si>
  <si>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</si>
  <si>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</si>
  <si>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</si>
  <si>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</si>
  <si>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</si>
  <si>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</si>
  <si>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</si>
  <si>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</si>
  <si>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</si>
  <si>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</si>
  <si>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</si>
  <si>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</si>
  <si>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</si>
  <si>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</si>
  <si>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</si>
  <si>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</si>
  <si>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</si>
  <si>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</si>
  <si>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</si>
  <si>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</si>
  <si>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</si>
  <si>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</si>
  <si>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</si>
  <si>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</si>
  <si>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</si>
  <si>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</si>
  <si>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</si>
  <si>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</si>
  <si>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</si>
  <si>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</si>
  <si>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</si>
  <si>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</si>
  <si>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</si>
  <si>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</si>
  <si>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</si>
  <si>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</si>
  <si>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</si>
  <si>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</si>
  <si>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</si>
  <si>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</si>
  <si>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</si>
  <si>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</si>
  <si>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</si>
  <si>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</si>
  <si>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</si>
  <si>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</si>
  <si>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</si>
  <si>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</si>
  <si>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</si>
  <si>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</si>
  <si>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</si>
  <si>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</si>
  <si>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</si>
  <si>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</si>
  <si>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</si>
  <si>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</si>
  <si>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</si>
  <si>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</si>
  <si>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</si>
  <si>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</si>
  <si>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</si>
  <si>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</si>
  <si>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</si>
  <si>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</si>
  <si>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</si>
  <si>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</si>
  <si>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</si>
  <si>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</si>
  <si>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</si>
  <si>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</si>
  <si>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</si>
  <si>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</si>
  <si>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</si>
  <si>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</si>
  <si>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</si>
  <si>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</si>
  <si>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</si>
  <si>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</si>
  <si>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</si>
  <si>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</si>
  <si>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</si>
  <si>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</si>
  <si>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</si>
  <si>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</si>
  <si>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</si>
  <si>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</si>
  <si>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</si>
  <si>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</si>
  <si>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</si>
  <si>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</si>
  <si>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</si>
  <si>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</si>
  <si>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</si>
  <si>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</si>
  <si>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</si>
  <si>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</si>
  <si>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</si>
  <si>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</si>
  <si>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</si>
  <si>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</si>
  <si>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</si>
  <si>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</si>
  <si>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</si>
  <si>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</si>
  <si>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</si>
  <si>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</si>
  <si>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</si>
  <si>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</si>
  <si>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</si>
  <si>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</si>
  <si>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</si>
  <si>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</si>
  <si>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</si>
  <si>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</si>
  <si>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</si>
  <si>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</si>
  <si>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</si>
  <si>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</si>
  <si>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</si>
  <si>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</si>
  <si>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</si>
  <si>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</si>
  <si>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</si>
  <si>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</si>
  <si>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</si>
  <si>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</si>
  <si>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</si>
  <si>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</si>
  <si>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</si>
  <si>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</si>
  <si>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</si>
  <si>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</si>
  <si>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</si>
  <si>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</si>
  <si>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</si>
  <si>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</si>
  <si>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</si>
  <si>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</si>
  <si>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</si>
  <si>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</si>
  <si>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</si>
  <si>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</si>
  <si>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</si>
  <si>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</si>
  <si>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</si>
  <si>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</si>
  <si>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</si>
  <si>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</si>
  <si>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</si>
  <si>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</si>
  <si>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</si>
  <si>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</si>
  <si>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</si>
  <si>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</si>
  <si>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</si>
  <si>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</si>
  <si>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</si>
  <si>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</si>
  <si>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</si>
  <si>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</si>
  <si>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</si>
  <si>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</si>
  <si>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</si>
  <si>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</si>
  <si>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</si>
  <si>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</si>
  <si>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</si>
  <si>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</si>
  <si>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</si>
  <si>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</si>
  <si>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</si>
  <si>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</si>
  <si>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</si>
  <si>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</si>
  <si>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</si>
  <si>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</si>
  <si>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</si>
  <si>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</si>
  <si>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 Garment Joint Stock Company</t>
    <phoneticPr fontId="2" type="noConversion"/>
  </si>
  <si>
    <t>Hung Yen Garment Corporation- Joint Stock Com</t>
    <phoneticPr fontId="2" type="noConversion"/>
  </si>
  <si>
    <t>Namlee</t>
    <phoneticPr fontId="2" type="noConversion"/>
  </si>
  <si>
    <t>Phu Hung Joint Stock Company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</si>
  <si>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</si>
  <si>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</si>
  <si>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</si>
  <si>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</si>
  <si>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</si>
  <si>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</si>
  <si>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</si>
  <si>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</si>
  <si>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</si>
  <si>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</si>
  <si>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</si>
  <si>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</si>
  <si>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</si>
  <si>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</si>
  <si>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</si>
  <si>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</si>
  <si>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</si>
  <si>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</si>
  <si>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</si>
  <si>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</si>
  <si>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</si>
  <si>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</si>
  <si>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</si>
  <si>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</si>
  <si>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</si>
  <si>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</si>
  <si>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</si>
  <si>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</si>
  <si>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</si>
  <si>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</si>
  <si>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</si>
  <si>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</si>
  <si>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</si>
  <si>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</si>
  <si>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</si>
  <si>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</si>
  <si>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</si>
  <si>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</si>
  <si>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</si>
  <si>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</si>
  <si>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</si>
  <si>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</si>
  <si>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</si>
  <si>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</si>
  <si>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</si>
  <si>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</si>
  <si>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</si>
  <si>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</si>
  <si>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</si>
  <si>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</si>
  <si>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</si>
  <si>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</si>
  <si>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</si>
  <si>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</si>
  <si>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</si>
  <si>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</si>
  <si>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</si>
  <si>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</si>
  <si>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</si>
  <si>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</si>
  <si>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</si>
  <si>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</si>
  <si>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</si>
  <si>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</si>
  <si>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</si>
  <si>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</si>
  <si>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</si>
  <si>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</si>
  <si>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</si>
  <si>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</si>
  <si>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</si>
  <si>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</si>
  <si>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</si>
  <si>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</si>
  <si>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</si>
  <si>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</si>
  <si>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</si>
  <si>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</si>
  <si>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</si>
  <si>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</si>
  <si>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</si>
  <si>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</si>
  <si>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</si>
  <si>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</si>
  <si>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</si>
  <si>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</si>
  <si>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</si>
  <si>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</si>
  <si>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</si>
  <si>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</si>
  <si>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</si>
  <si>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</si>
  <si>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</si>
  <si>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</si>
  <si>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</si>
  <si>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</si>
  <si>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</si>
  <si>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</si>
  <si>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</si>
  <si>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</si>
  <si>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</si>
  <si>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</si>
  <si>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</si>
  <si>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</si>
  <si>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</si>
  <si>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</si>
  <si>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</si>
  <si>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</si>
  <si>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</si>
  <si>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</si>
  <si>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</si>
  <si>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</si>
  <si>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</si>
  <si>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</si>
  <si>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</si>
  <si>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</si>
  <si>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</si>
  <si>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</si>
  <si>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</si>
  <si>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</si>
  <si>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</si>
  <si>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</si>
  <si>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</si>
  <si>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</si>
  <si>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</si>
  <si>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</si>
  <si>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</si>
  <si>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</si>
  <si>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</si>
  <si>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</si>
  <si>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</si>
  <si>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</si>
  <si>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</si>
  <si>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</si>
  <si>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</si>
  <si>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</si>
  <si>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</si>
  <si>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</si>
  <si>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</si>
  <si>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</si>
  <si>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</si>
  <si>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</si>
  <si>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</si>
  <si>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</si>
  <si>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</si>
  <si>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</si>
  <si>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</si>
  <si>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</si>
  <si>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</si>
  <si>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</si>
  <si>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</si>
  <si>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</si>
  <si>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</si>
  <si>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</si>
  <si>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</si>
  <si>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</si>
  <si>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</si>
  <si>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</si>
  <si>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</si>
  <si>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</si>
  <si>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</si>
  <si>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</si>
  <si>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</si>
  <si>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</si>
  <si>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</si>
  <si>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</si>
  <si>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</si>
  <si>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</si>
  <si>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</si>
  <si>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</si>
  <si>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</si>
  <si>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</si>
  <si>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</si>
  <si>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</si>
  <si>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</si>
  <si>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</si>
  <si>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</si>
  <si>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</si>
  <si>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</si>
  <si>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</si>
  <si>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</si>
  <si>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</si>
  <si>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</si>
  <si>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</si>
  <si>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</si>
  <si>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</si>
  <si>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</si>
  <si>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</si>
  <si>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</si>
  <si>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</si>
  <si>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</si>
  <si>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</si>
  <si>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</si>
  <si>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</si>
  <si>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</si>
  <si>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</si>
  <si>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</si>
  <si>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</si>
  <si>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</si>
  <si>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</si>
  <si>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</si>
  <si>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</si>
  <si>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</si>
  <si>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</si>
  <si>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</si>
  <si>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</si>
  <si>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</si>
  <si>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</si>
  <si>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</si>
  <si>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</si>
  <si>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</si>
  <si>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</si>
  <si>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</si>
  <si>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</si>
  <si>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</si>
  <si>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</si>
  <si>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</si>
  <si>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</si>
  <si>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</si>
  <si>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</si>
  <si>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</si>
  <si>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</si>
  <si>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</si>
  <si>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</si>
  <si>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</si>
  <si>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</si>
  <si>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</si>
  <si>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</si>
  <si>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</si>
  <si>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</si>
  <si>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</si>
  <si>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</si>
  <si>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</si>
  <si>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</si>
  <si>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</si>
  <si>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</si>
  <si>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</si>
  <si>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</si>
  <si>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</si>
  <si>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</si>
  <si>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</si>
  <si>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</si>
  <si>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</si>
  <si>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</si>
  <si>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</si>
  <si>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</si>
  <si>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</si>
  <si>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</si>
  <si>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</si>
  <si>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</si>
  <si>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</si>
  <si>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</si>
  <si>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</si>
  <si>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</si>
  <si>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</si>
  <si>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</si>
  <si>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</si>
  <si>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</si>
  <si>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</si>
  <si>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</si>
  <si>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</si>
  <si>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</si>
  <si>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</si>
  <si>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</si>
  <si>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</si>
  <si>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</si>
  <si>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</si>
  <si>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</si>
  <si>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</si>
  <si>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</si>
  <si>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</si>
  <si>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</si>
  <si>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</si>
  <si>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</si>
  <si>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</si>
  <si>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</si>
  <si>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</si>
  <si>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</si>
  <si>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</si>
  <si>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</si>
  <si>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</si>
  <si>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</si>
  <si>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</si>
  <si>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</si>
  <si>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</si>
  <si>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</si>
  <si>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</si>
  <si>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</si>
  <si>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</si>
  <si>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</si>
  <si>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</si>
  <si>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</si>
  <si>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</si>
  <si>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</si>
  <si>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</si>
  <si>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</si>
  <si>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</si>
  <si>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</si>
  <si>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</si>
  <si>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</si>
  <si>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</si>
  <si>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</si>
  <si>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</si>
  <si>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</si>
  <si>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</si>
  <si>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</si>
  <si>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</si>
  <si>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</si>
  <si>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</si>
  <si>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</si>
  <si>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</si>
  <si>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</si>
  <si>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</si>
  <si>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</si>
  <si>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</si>
  <si>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</si>
  <si>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</si>
  <si>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</si>
  <si>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</si>
  <si>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</si>
  <si>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</si>
  <si>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</si>
  <si>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</si>
  <si>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</si>
  <si>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</si>
  <si>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</si>
  <si>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</si>
  <si>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</si>
  <si>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</si>
  <si>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</si>
  <si>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</si>
  <si>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</si>
  <si>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</si>
  <si>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</si>
  <si>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</si>
  <si>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</si>
  <si>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</si>
  <si>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</si>
  <si>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</si>
  <si>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</si>
  <si>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</si>
  <si>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</si>
  <si>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</si>
  <si>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</si>
  <si>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</si>
  <si>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</si>
  <si>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</si>
  <si>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</si>
  <si>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</si>
  <si>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</si>
  <si>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</si>
  <si>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</si>
  <si>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</si>
  <si>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</si>
  <si>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</si>
  <si>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</si>
  <si>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</si>
  <si>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</si>
  <si>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</si>
  <si>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</si>
  <si>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</si>
  <si>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</si>
  <si>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</si>
  <si>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</si>
  <si>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</si>
  <si>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</si>
  <si>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</si>
  <si>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</si>
  <si>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</si>
  <si>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</si>
  <si>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</si>
  <si>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</si>
  <si>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</si>
  <si>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</si>
  <si>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</si>
  <si>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</si>
  <si>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</si>
  <si>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</si>
  <si>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</si>
  <si>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</si>
  <si>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</si>
  <si>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</si>
  <si>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</si>
  <si>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</si>
  <si>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</si>
  <si>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</si>
  <si>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</si>
  <si>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</si>
  <si>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</si>
  <si>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</si>
  <si>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</si>
  <si>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</si>
  <si>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</si>
  <si>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</si>
  <si>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</si>
  <si>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</si>
  <si>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</si>
  <si>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</si>
  <si>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</si>
  <si>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</si>
  <si>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</si>
  <si>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</si>
  <si>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</si>
  <si>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</si>
  <si>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</si>
  <si>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</si>
  <si>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</si>
  <si>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</si>
  <si>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</si>
  <si>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</si>
  <si>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</si>
  <si>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</si>
  <si>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</si>
  <si>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</si>
  <si>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</si>
  <si>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</si>
  <si>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</si>
  <si>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</si>
  <si>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</si>
  <si>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</si>
  <si>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</si>
  <si>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</si>
  <si>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</si>
  <si>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</si>
  <si>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</si>
  <si>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</si>
  <si>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</si>
  <si>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</si>
  <si>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</si>
  <si>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</si>
  <si>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</si>
  <si>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</si>
  <si>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</si>
  <si>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</si>
  <si>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</si>
  <si>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</si>
  <si>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</si>
  <si>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</si>
  <si>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</si>
  <si>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</si>
  <si>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</si>
  <si>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</si>
  <si>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</si>
  <si>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</si>
  <si>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</si>
  <si>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</si>
  <si>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</si>
  <si>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</si>
  <si>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</si>
  <si>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</si>
  <si>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</si>
  <si>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</si>
  <si>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</si>
  <si>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</si>
  <si>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</si>
  <si>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</si>
  <si>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</si>
  <si>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</si>
  <si>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</si>
  <si>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</si>
  <si>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</si>
  <si>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</si>
  <si>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</si>
  <si>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</si>
  <si>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</si>
  <si>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</si>
  <si>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</si>
  <si>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</si>
  <si>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</si>
  <si>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</si>
  <si>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</si>
  <si>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</si>
  <si>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</si>
  <si>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</si>
  <si>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</si>
  <si>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</si>
  <si>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</si>
  <si>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</si>
  <si>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</si>
  <si>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</si>
  <si>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</si>
  <si>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</si>
  <si>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</si>
  <si>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</si>
  <si>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</si>
  <si>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</si>
  <si>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</si>
  <si>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</si>
  <si>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</si>
  <si>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</si>
  <si>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</si>
  <si>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</si>
  <si>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</si>
  <si>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</si>
  <si>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</si>
  <si>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</si>
  <si>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</si>
  <si>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</si>
  <si>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</si>
  <si>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</si>
  <si>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</si>
  <si>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</si>
  <si>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</si>
  <si>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</si>
  <si>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</si>
  <si>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</si>
  <si>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</si>
  <si>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</si>
  <si>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</si>
  <si>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</si>
  <si>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</si>
  <si>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</si>
  <si>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</si>
  <si>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</si>
  <si>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</si>
  <si>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</si>
  <si>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</si>
  <si>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</si>
  <si>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</si>
  <si>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</si>
  <si>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</si>
  <si>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</si>
  <si>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</si>
  <si>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</si>
  <si>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</si>
  <si>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</si>
  <si>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</si>
  <si>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</si>
  <si>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</si>
  <si>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</si>
  <si>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</si>
  <si>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</si>
  <si>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</si>
  <si>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</si>
  <si>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</si>
  <si>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</si>
  <si>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</si>
  <si>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</si>
  <si>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</si>
  <si>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</si>
  <si>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</si>
  <si>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</si>
  <si>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</si>
  <si>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</si>
  <si>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</si>
  <si>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</si>
  <si>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</si>
  <si>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</si>
  <si>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</si>
  <si>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</si>
  <si>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</si>
  <si>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</si>
  <si>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</si>
  <si>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</si>
  <si>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</si>
  <si>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</si>
  <si>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</si>
  <si>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</si>
  <si>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</si>
  <si>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</si>
  <si>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</si>
  <si>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</si>
  <si>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</si>
  <si>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</si>
  <si>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</si>
  <si>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</si>
  <si>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</si>
  <si>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</si>
  <si>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</si>
  <si>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</si>
  <si>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</si>
  <si>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</si>
  <si>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</si>
  <si>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</si>
  <si>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</si>
  <si>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</si>
  <si>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</si>
  <si>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</si>
  <si>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</si>
  <si>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</si>
  <si>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</si>
  <si>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</si>
  <si>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</si>
  <si>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</si>
  <si>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</si>
  <si>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</si>
  <si>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</si>
  <si>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</si>
  <si>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</si>
  <si>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</si>
  <si>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</si>
  <si>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</si>
  <si>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</si>
  <si>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</si>
  <si>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</si>
  <si>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</si>
  <si>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</si>
  <si>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</si>
  <si>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</si>
  <si>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</si>
  <si>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</si>
  <si>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</si>
  <si>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</si>
  <si>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</si>
  <si>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</si>
  <si>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</si>
  <si>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</si>
  <si>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</si>
  <si>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</si>
  <si>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</si>
  <si>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</si>
  <si>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</si>
  <si>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</si>
  <si>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</si>
  <si>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</si>
  <si>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</si>
  <si>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</si>
  <si>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</si>
  <si>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</si>
  <si>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</si>
  <si>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</si>
  <si>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</si>
  <si>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</si>
  <si>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</si>
  <si>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</si>
  <si>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</si>
  <si>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</si>
  <si>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</si>
  <si>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</si>
  <si>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</si>
  <si>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</si>
  <si>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</si>
  <si>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</si>
  <si>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</si>
  <si>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</si>
  <si>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</si>
  <si>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</si>
  <si>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</si>
  <si>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서류종류</t>
    <phoneticPr fontId="2" type="noConversion"/>
  </si>
  <si>
    <t>Yellow</t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</si>
  <si>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</si>
  <si>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</si>
  <si>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</si>
  <si>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</si>
  <si>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</si>
  <si>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</si>
  <si>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</si>
  <si>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</si>
  <si>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</si>
  <si>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</si>
  <si>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</si>
  <si>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</si>
  <si>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</si>
  <si>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</si>
  <si>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</si>
  <si>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</si>
  <si>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</si>
  <si>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</si>
  <si>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</si>
  <si>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</si>
  <si>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</si>
  <si>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</si>
  <si>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</si>
  <si>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</si>
  <si>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</si>
  <si>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</si>
  <si>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</si>
  <si>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</si>
  <si>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</si>
  <si>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</si>
  <si>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</si>
  <si>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</si>
  <si>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</si>
  <si>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</si>
  <si>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</si>
  <si>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</si>
  <si>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</si>
  <si>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</si>
  <si>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</si>
  <si>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</si>
  <si>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</si>
  <si>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</si>
  <si>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</si>
  <si>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</si>
  <si>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</si>
  <si>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</si>
  <si>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</si>
  <si>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</si>
  <si>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</si>
  <si>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</si>
  <si>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</si>
  <si>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</si>
  <si>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</si>
  <si>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</si>
  <si>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</si>
  <si>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</si>
  <si>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</si>
  <si>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</si>
  <si>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</si>
  <si>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</si>
  <si>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</si>
  <si>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</si>
  <si>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</si>
  <si>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</si>
  <si>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</si>
  <si>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</si>
  <si>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</si>
  <si>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</si>
  <si>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</si>
  <si>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</si>
  <si>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</si>
  <si>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</si>
  <si>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</si>
  <si>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</si>
  <si>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</si>
  <si>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</si>
  <si>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</si>
  <si>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</si>
  <si>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</si>
  <si>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</si>
  <si>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</si>
  <si>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</si>
  <si>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</si>
  <si>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</si>
  <si>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</si>
  <si>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</si>
  <si>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</si>
  <si>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</si>
  <si>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</si>
  <si>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</si>
  <si>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</si>
  <si>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</si>
  <si>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</si>
  <si>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</si>
  <si>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</si>
  <si>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</si>
  <si>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</si>
  <si>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</si>
  <si>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</si>
  <si>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</si>
  <si>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</si>
  <si>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</si>
  <si>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</si>
  <si>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</si>
  <si>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</si>
  <si>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</si>
  <si>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</si>
  <si>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</si>
  <si>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</si>
  <si>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</si>
  <si>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</si>
  <si>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</si>
  <si>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</si>
  <si>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</si>
  <si>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</si>
  <si>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</si>
  <si>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</si>
  <si>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</si>
  <si>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</si>
  <si>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</si>
  <si>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</si>
  <si>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</si>
  <si>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</si>
  <si>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</si>
  <si>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</si>
  <si>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</si>
  <si>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</si>
  <si>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</si>
  <si>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</si>
  <si>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</si>
  <si>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</si>
  <si>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</si>
  <si>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</si>
  <si>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</si>
  <si>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</si>
  <si>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</si>
  <si>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</si>
  <si>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</si>
  <si>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</si>
  <si>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</si>
  <si>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</si>
  <si>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</si>
  <si>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</si>
  <si>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</si>
  <si>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</si>
  <si>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</si>
  <si>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</si>
  <si>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</si>
  <si>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</si>
  <si>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</si>
  <si>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</si>
  <si>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</si>
  <si>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</si>
  <si>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</si>
  <si>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</si>
  <si>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</si>
  <si>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</si>
  <si>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</si>
  <si>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</si>
  <si>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</si>
  <si>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</si>
  <si>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</si>
  <si>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</si>
  <si>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</si>
  <si>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</si>
  <si>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</si>
  <si>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</si>
  <si>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</si>
  <si>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</si>
  <si>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</si>
  <si>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</si>
  <si>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</si>
  <si>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</si>
  <si>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</si>
  <si>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</si>
  <si>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</si>
  <si>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</si>
  <si>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</si>
  <si>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</si>
  <si>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</si>
  <si>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</si>
  <si>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</si>
  <si>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</si>
  <si>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</si>
  <si>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</si>
  <si>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</si>
  <si>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</si>
  <si>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</si>
  <si>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</si>
  <si>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</si>
  <si>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</si>
  <si>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</si>
  <si>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</si>
  <si>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</si>
  <si>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</si>
  <si>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</si>
  <si>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</si>
  <si>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</si>
  <si>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</si>
  <si>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</si>
  <si>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</si>
  <si>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</si>
  <si>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</si>
  <si>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</si>
  <si>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</si>
  <si>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</si>
  <si>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</si>
  <si>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</si>
  <si>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</si>
  <si>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</si>
  <si>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</si>
  <si>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</si>
  <si>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</si>
  <si>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</si>
  <si>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</si>
  <si>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</si>
  <si>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</si>
  <si>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</si>
  <si>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</si>
  <si>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</si>
  <si>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</si>
  <si>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</si>
  <si>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</si>
  <si>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</si>
  <si>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</si>
  <si>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</si>
  <si>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</si>
  <si>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</si>
  <si>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</si>
  <si>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</si>
  <si>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</si>
  <si>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</si>
  <si>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</si>
  <si>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</si>
  <si>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</si>
  <si>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</si>
  <si>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</si>
  <si>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</si>
  <si>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</si>
  <si>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</si>
  <si>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</si>
  <si>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</si>
  <si>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</si>
  <si>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</si>
  <si>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</si>
  <si>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</si>
  <si>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</si>
  <si>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</si>
  <si>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</si>
  <si>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</si>
  <si>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</si>
  <si>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</si>
  <si>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</si>
  <si>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</si>
  <si>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</si>
  <si>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</si>
  <si>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</si>
  <si>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</si>
  <si>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</si>
  <si>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</si>
  <si>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</si>
  <si>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</si>
  <si>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</si>
  <si>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</si>
  <si>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</si>
  <si>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</si>
  <si>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</si>
  <si>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</si>
  <si>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</si>
  <si>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</si>
  <si>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</si>
  <si>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</si>
  <si>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</si>
  <si>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</si>
  <si>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</si>
  <si>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</si>
  <si>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</si>
  <si>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</si>
  <si>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</si>
  <si>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</si>
  <si>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</si>
  <si>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</si>
  <si>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</si>
  <si>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</si>
  <si>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</si>
  <si>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</si>
  <si>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</si>
  <si>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</si>
  <si>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</si>
  <si>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</si>
  <si>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</si>
  <si>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</si>
  <si>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</si>
  <si>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</si>
  <si>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</si>
  <si>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</si>
  <si>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</si>
  <si>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</si>
  <si>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</si>
  <si>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</si>
  <si>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</si>
  <si>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</si>
  <si>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</si>
  <si>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</si>
  <si>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</si>
  <si>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</si>
  <si>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</si>
  <si>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</si>
  <si>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</si>
  <si>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</si>
  <si>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</si>
  <si>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</si>
  <si>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</si>
  <si>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</si>
  <si>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</si>
  <si>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</si>
  <si>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</si>
  <si>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</si>
  <si>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</si>
  <si>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</si>
  <si>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</si>
  <si>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</si>
  <si>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</si>
  <si>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</si>
  <si>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</si>
  <si>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</si>
  <si>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</si>
  <si>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</si>
  <si>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</si>
  <si>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</si>
  <si>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</si>
  <si>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</si>
  <si>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</si>
  <si>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</si>
  <si>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</si>
  <si>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</si>
  <si>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</si>
  <si>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</si>
  <si>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</si>
  <si>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</si>
  <si>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</si>
  <si>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</si>
  <si>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</si>
  <si>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</si>
  <si>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</si>
  <si>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</si>
  <si>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</si>
  <si>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</si>
  <si>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</si>
  <si>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</si>
  <si>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</si>
  <si>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</si>
  <si>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</si>
  <si>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</si>
  <si>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</si>
  <si>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</si>
  <si>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</si>
  <si>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</si>
  <si>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</si>
  <si>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</si>
  <si>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</si>
  <si>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</si>
  <si>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</si>
  <si>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</si>
  <si>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</si>
  <si>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</si>
  <si>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</si>
  <si>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</si>
  <si>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</si>
  <si>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</si>
  <si>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</si>
  <si>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</si>
  <si>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</si>
  <si>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</si>
  <si>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</si>
  <si>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</si>
  <si>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</si>
  <si>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</si>
  <si>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</si>
  <si>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</si>
  <si>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</si>
  <si>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</si>
  <si>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</si>
  <si>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</si>
  <si>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</si>
  <si>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</si>
  <si>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</si>
  <si>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</si>
  <si>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</si>
  <si>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</si>
  <si>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</si>
  <si>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</si>
  <si>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</si>
  <si>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</si>
  <si>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</si>
  <si>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</si>
  <si>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</si>
  <si>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</si>
  <si>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</si>
  <si>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</si>
  <si>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Test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</si>
  <si>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</si>
  <si>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</si>
  <si>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</si>
  <si>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</si>
  <si>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</si>
  <si>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</si>
  <si>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</si>
  <si>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</si>
  <si>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</si>
  <si>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</si>
  <si>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</si>
  <si>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</si>
  <si>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</si>
  <si>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</si>
  <si>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</si>
  <si>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</si>
  <si>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</si>
  <si>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</si>
  <si>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</si>
  <si>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</si>
  <si>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</si>
  <si>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</si>
  <si>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</si>
  <si>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</si>
  <si>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</si>
  <si>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</si>
  <si>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</si>
  <si>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</si>
  <si>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</si>
  <si>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</si>
  <si>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</si>
  <si>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</si>
  <si>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</si>
  <si>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</si>
  <si>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</si>
  <si>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</si>
  <si>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</si>
  <si>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</si>
  <si>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</si>
  <si>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</si>
  <si>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</si>
  <si>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</si>
  <si>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</si>
  <si>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</si>
  <si>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</si>
  <si>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</si>
  <si>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</si>
  <si>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</si>
  <si>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</si>
  <si>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</si>
  <si>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</si>
  <si>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</si>
  <si>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</si>
  <si>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</si>
  <si>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</si>
  <si>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</si>
  <si>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</si>
  <si>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</si>
  <si>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</si>
  <si>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</si>
  <si>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</si>
  <si>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</si>
  <si>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</si>
  <si>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</si>
  <si>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</si>
  <si>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</si>
  <si>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</si>
  <si>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</si>
  <si>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</si>
  <si>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</si>
  <si>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</si>
  <si>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</si>
  <si>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</si>
  <si>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</si>
  <si>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</si>
  <si>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</si>
  <si>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</si>
  <si>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</si>
  <si>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</si>
  <si>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</si>
  <si>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</si>
  <si>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</si>
  <si>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</si>
  <si>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</si>
  <si>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</si>
  <si>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</si>
  <si>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</si>
  <si>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</si>
  <si>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</si>
  <si>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</si>
  <si>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</si>
  <si>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</si>
  <si>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</si>
  <si>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</si>
  <si>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</si>
  <si>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</si>
  <si>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</si>
  <si>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</si>
  <si>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</si>
  <si>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</si>
  <si>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</si>
  <si>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</si>
  <si>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</si>
  <si>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</si>
  <si>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</si>
  <si>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</si>
  <si>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</si>
  <si>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</si>
  <si>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</si>
  <si>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</si>
  <si>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</si>
  <si>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</si>
  <si>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</si>
  <si>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</si>
  <si>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</si>
  <si>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</si>
  <si>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</si>
  <si>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</si>
  <si>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</si>
  <si>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</si>
  <si>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</si>
  <si>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</si>
  <si>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</si>
  <si>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</si>
  <si>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</si>
  <si>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</si>
  <si>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</si>
  <si>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</si>
  <si>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</si>
  <si>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</si>
  <si>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</si>
  <si>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</si>
  <si>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</si>
  <si>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</si>
  <si>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</si>
  <si>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</si>
  <si>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</si>
  <si>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</si>
  <si>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</si>
  <si>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</si>
  <si>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</si>
  <si>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</si>
  <si>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</si>
  <si>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</si>
  <si>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</si>
  <si>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</si>
  <si>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</si>
  <si>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</si>
  <si>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</si>
  <si>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</si>
  <si>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</si>
  <si>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</si>
  <si>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</si>
  <si>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</si>
  <si>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</si>
  <si>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</si>
  <si>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</si>
  <si>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</si>
  <si>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</si>
  <si>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</si>
  <si>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</si>
  <si>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</si>
  <si>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</si>
  <si>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</si>
  <si>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</si>
  <si>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</si>
  <si>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</si>
  <si>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</si>
  <si>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</si>
  <si>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</si>
  <si>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</si>
  <si>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</si>
  <si>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</si>
  <si>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</si>
  <si>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</si>
  <si>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</si>
  <si>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</si>
  <si>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</si>
  <si>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</si>
  <si>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</si>
  <si>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</si>
  <si>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</si>
  <si>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</si>
  <si>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</si>
  <si>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</si>
  <si>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</si>
  <si>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</si>
  <si>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</si>
  <si>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</si>
  <si>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</si>
  <si>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</si>
  <si>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</si>
  <si>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</si>
  <si>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</si>
  <si>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</si>
  <si>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</si>
  <si>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</si>
  <si>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</si>
  <si>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</si>
  <si>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</si>
  <si>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</si>
  <si>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</si>
  <si>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</si>
  <si>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</si>
  <si>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</si>
  <si>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</si>
  <si>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</si>
  <si>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</si>
  <si>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</si>
  <si>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</si>
  <si>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</si>
  <si>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</si>
  <si>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</si>
  <si>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</si>
  <si>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</si>
  <si>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</si>
  <si>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</si>
  <si>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</si>
  <si>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</si>
  <si>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</si>
  <si>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</si>
  <si>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</si>
  <si>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</si>
  <si>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</si>
  <si>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</si>
  <si>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</si>
  <si>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</si>
  <si>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</si>
  <si>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</si>
  <si>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</si>
  <si>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</si>
  <si>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</si>
  <si>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</si>
  <si>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</si>
  <si>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</si>
  <si>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</si>
  <si>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</si>
  <si>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</si>
  <si>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</si>
  <si>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</si>
  <si>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</si>
  <si>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</si>
  <si>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</si>
  <si>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</si>
  <si>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</si>
  <si>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</si>
  <si>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</si>
  <si>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</si>
  <si>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</si>
  <si>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</si>
  <si>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</si>
  <si>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</si>
  <si>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</si>
  <si>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</si>
  <si>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</si>
  <si>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</si>
  <si>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</si>
  <si>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</si>
  <si>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</si>
  <si>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</si>
  <si>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</si>
  <si>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</si>
  <si>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</si>
  <si>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</si>
  <si>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</si>
  <si>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</si>
  <si>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</si>
  <si>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</si>
  <si>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</si>
  <si>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</si>
  <si>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</si>
  <si>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</si>
  <si>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</si>
  <si>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</si>
  <si>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</si>
  <si>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</si>
  <si>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</si>
  <si>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</si>
  <si>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</si>
  <si>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</si>
  <si>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</si>
  <si>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</si>
  <si>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</si>
  <si>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</si>
  <si>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</si>
  <si>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</si>
  <si>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</si>
  <si>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</si>
  <si>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</si>
  <si>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</si>
  <si>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</si>
  <si>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</si>
  <si>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</si>
  <si>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</si>
  <si>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</si>
  <si>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</si>
  <si>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</si>
  <si>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</si>
  <si>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</si>
  <si>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</si>
  <si>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</si>
  <si>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</si>
  <si>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</si>
  <si>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</si>
  <si>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</si>
  <si>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</si>
  <si>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</si>
  <si>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</si>
  <si>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</si>
  <si>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</si>
  <si>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</si>
  <si>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</si>
  <si>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</si>
  <si>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</si>
  <si>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</si>
  <si>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</si>
  <si>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</si>
  <si>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</si>
  <si>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</si>
  <si>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</si>
  <si>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</si>
  <si>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</si>
  <si>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</si>
  <si>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</si>
  <si>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</si>
  <si>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</si>
  <si>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</si>
  <si>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</si>
  <si>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</si>
  <si>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</si>
  <si>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</si>
  <si>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</si>
  <si>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</si>
  <si>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</si>
  <si>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</si>
  <si>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</si>
  <si>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</si>
  <si>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</si>
  <si>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</si>
  <si>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</si>
  <si>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</si>
  <si>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</si>
  <si>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</si>
  <si>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</si>
  <si>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</si>
  <si>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</si>
  <si>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</si>
  <si>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</si>
  <si>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</si>
  <si>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</si>
  <si>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</si>
  <si>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</si>
  <si>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</si>
  <si>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</si>
  <si>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</si>
  <si>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</si>
  <si>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</si>
  <si>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</si>
  <si>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</si>
  <si>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</si>
  <si>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</si>
  <si>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</si>
  <si>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</si>
  <si>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</si>
  <si>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</si>
  <si>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</si>
  <si>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</si>
  <si>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</si>
  <si>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</si>
  <si>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</si>
  <si>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</si>
  <si>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</si>
  <si>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</si>
  <si>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</si>
  <si>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</si>
  <si>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</si>
  <si>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</si>
  <si>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</si>
  <si>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</si>
  <si>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</si>
  <si>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</si>
  <si>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</si>
  <si>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</si>
  <si>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</si>
  <si>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</si>
  <si>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</si>
  <si>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</si>
  <si>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</si>
  <si>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</si>
  <si>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</si>
  <si>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</si>
  <si>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</si>
  <si>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</si>
  <si>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</si>
  <si>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</si>
  <si>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</si>
  <si>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</si>
  <si>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</si>
  <si>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</si>
  <si>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</si>
  <si>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</si>
  <si>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</si>
  <si>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</si>
  <si>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</si>
  <si>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</si>
  <si>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</si>
  <si>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</si>
  <si>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</si>
  <si>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</si>
  <si>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</si>
  <si>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</si>
  <si>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</si>
  <si>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</si>
  <si>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</si>
  <si>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</si>
  <si>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</si>
  <si>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</si>
  <si>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</si>
  <si>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</si>
  <si>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</si>
  <si>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</si>
  <si>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</si>
  <si>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</si>
  <si>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</si>
  <si>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</si>
  <si>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</si>
  <si>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</si>
  <si>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</si>
  <si>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</si>
  <si>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</si>
  <si>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</si>
  <si>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</si>
  <si>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</si>
  <si>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</si>
  <si>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</si>
  <si>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</si>
  <si>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</si>
  <si>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</si>
  <si>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</si>
  <si>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</si>
  <si>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</si>
  <si>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</si>
  <si>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</si>
  <si>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</si>
  <si>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</si>
  <si>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</si>
  <si>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</si>
  <si>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</si>
  <si>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</si>
  <si>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</si>
  <si>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</si>
  <si>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</si>
  <si>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</si>
  <si>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</si>
  <si>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</si>
  <si>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</si>
  <si>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</si>
  <si>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</si>
  <si>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</si>
  <si>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</si>
  <si>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</si>
  <si>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</si>
  <si>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</si>
  <si>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</si>
  <si>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</si>
  <si>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</si>
  <si>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</si>
  <si>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</si>
  <si>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</si>
  <si>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</si>
  <si>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</si>
  <si>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</si>
  <si>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</si>
  <si>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</si>
  <si>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</si>
  <si>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</si>
  <si>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</si>
  <si>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</si>
  <si>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</si>
  <si>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</si>
  <si>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</si>
  <si>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</si>
  <si>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</si>
  <si>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</si>
  <si>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</si>
  <si>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</si>
  <si>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</si>
  <si>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</si>
  <si>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</si>
  <si>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</si>
  <si>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</si>
  <si>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</si>
  <si>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</si>
  <si>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</si>
  <si>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</si>
  <si>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</si>
  <si>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</si>
  <si>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</si>
  <si>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</si>
  <si>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</si>
  <si>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</si>
  <si>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</si>
  <si>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</si>
  <si>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</si>
  <si>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</si>
  <si>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</si>
  <si>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</si>
  <si>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</si>
  <si>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</si>
  <si>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</si>
  <si>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</si>
  <si>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</si>
  <si>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</si>
  <si>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</si>
  <si>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</si>
  <si>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</si>
  <si>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</si>
  <si>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</si>
  <si>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</si>
  <si>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</si>
  <si>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</si>
  <si>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</si>
  <si>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</si>
  <si>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</si>
  <si>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</si>
  <si>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</si>
  <si>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</si>
  <si>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</si>
  <si>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</si>
  <si>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</si>
  <si>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</si>
  <si>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</si>
  <si>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</si>
  <si>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</si>
  <si>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</si>
  <si>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</si>
  <si>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</si>
  <si>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</si>
  <si>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</si>
  <si>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</si>
  <si>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</si>
  <si>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</si>
  <si>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</si>
  <si>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</si>
  <si>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</si>
  <si>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</si>
  <si>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</si>
  <si>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</si>
  <si>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</si>
  <si>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</si>
  <si>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</si>
  <si>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</si>
  <si>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</si>
  <si>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</si>
  <si>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</si>
  <si>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</si>
  <si>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</si>
  <si>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</si>
  <si>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</si>
  <si>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</si>
  <si>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</si>
  <si>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</si>
  <si>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</si>
  <si>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</si>
  <si>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</si>
  <si>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</si>
  <si>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</si>
  <si>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</si>
  <si>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</si>
  <si>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</si>
  <si>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</si>
  <si>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</si>
  <si>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</si>
  <si>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</si>
  <si>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</si>
  <si>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</si>
  <si>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</si>
  <si>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</si>
  <si>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</si>
  <si>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</si>
  <si>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</si>
  <si>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</si>
  <si>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</si>
  <si>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</si>
  <si>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</si>
  <si>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</si>
  <si>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</si>
  <si>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</si>
  <si>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</si>
  <si>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</si>
  <si>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</si>
  <si>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</si>
  <si>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</si>
  <si>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</si>
  <si>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</si>
  <si>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</si>
  <si>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</si>
  <si>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</si>
  <si>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</si>
  <si>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</si>
  <si>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</si>
  <si>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</si>
  <si>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</si>
  <si>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</si>
  <si>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</si>
  <si>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</si>
  <si>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</si>
  <si>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</si>
  <si>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</si>
  <si>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</si>
  <si>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</si>
  <si>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</si>
  <si>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</si>
  <si>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</si>
  <si>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</si>
  <si>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</si>
  <si>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</si>
  <si>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</si>
  <si>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</si>
  <si>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</si>
  <si>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</si>
  <si>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</si>
  <si>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</si>
  <si>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</si>
  <si>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</si>
  <si>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</si>
  <si>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</si>
  <si>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</si>
  <si>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</si>
  <si>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</si>
  <si>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</si>
  <si>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</si>
  <si>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</si>
  <si>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</si>
  <si>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</si>
  <si>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</si>
  <si>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</si>
  <si>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</si>
  <si>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</si>
  <si>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</si>
  <si>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</si>
  <si>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</si>
  <si>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</si>
  <si>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</si>
  <si>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</si>
  <si>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</si>
  <si>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</si>
  <si>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</si>
  <si>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</si>
  <si>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</si>
  <si>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</si>
  <si>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</si>
  <si>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</si>
  <si>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</si>
  <si>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</si>
  <si>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</si>
  <si>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</si>
  <si>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</si>
  <si>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</si>
  <si>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</si>
  <si>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</si>
  <si>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</si>
  <si>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</si>
  <si>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</si>
  <si>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</si>
  <si>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</si>
  <si>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</si>
  <si>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</si>
  <si>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</si>
  <si>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</si>
  <si>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</si>
  <si>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</si>
  <si>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</si>
  <si>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</si>
  <si>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</si>
  <si>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</si>
  <si>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</si>
  <si>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</si>
  <si>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</si>
  <si>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</si>
  <si>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</si>
  <si>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</si>
  <si>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</si>
  <si>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</si>
  <si>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</si>
  <si>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</si>
  <si>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</si>
  <si>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</si>
  <si>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</si>
  <si>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</si>
  <si>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</si>
  <si>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</si>
  <si>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</si>
  <si>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</si>
  <si>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</si>
  <si>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</si>
  <si>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</si>
  <si>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</si>
  <si>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</si>
  <si>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</si>
  <si>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</si>
  <si>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</si>
  <si>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</si>
  <si>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</si>
  <si>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</si>
  <si>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</si>
  <si>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</si>
  <si>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</si>
  <si>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</si>
  <si>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</si>
  <si>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</si>
  <si>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</si>
  <si>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</si>
  <si>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</si>
  <si>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</si>
  <si>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</si>
  <si>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</si>
  <si>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</si>
  <si>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</si>
  <si>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</si>
  <si>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</si>
  <si>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</si>
  <si>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</si>
  <si>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</si>
  <si>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</si>
  <si>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</si>
  <si>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</si>
  <si>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</si>
  <si>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</si>
  <si>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</si>
  <si>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</si>
  <si>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</si>
  <si>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</si>
  <si>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</si>
  <si>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</si>
  <si>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</si>
  <si>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</si>
  <si>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</si>
  <si>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</si>
  <si>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</si>
  <si>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</si>
  <si>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</si>
  <si>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</si>
  <si>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</si>
  <si>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</si>
  <si>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</si>
  <si>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</si>
  <si>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</si>
  <si>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</si>
  <si>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</si>
  <si>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</si>
  <si>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</si>
  <si>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</si>
  <si>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</si>
  <si>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</si>
  <si>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</si>
  <si>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</si>
  <si>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</si>
  <si>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</si>
  <si>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</si>
  <si>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</si>
  <si>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</si>
  <si>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</si>
  <si>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</si>
  <si>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</si>
  <si>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</si>
  <si>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</si>
  <si>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</si>
  <si>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</si>
  <si>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</si>
  <si>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</si>
  <si>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</si>
  <si>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</si>
  <si>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</si>
  <si>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</si>
  <si>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</si>
  <si>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</si>
  <si>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</si>
  <si>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</si>
  <si>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</si>
  <si>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</si>
  <si>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</si>
  <si>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</si>
  <si>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</si>
  <si>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</si>
  <si>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</si>
  <si>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</si>
  <si>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</si>
  <si>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</si>
  <si>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</si>
  <si>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</si>
  <si>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</si>
  <si>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</si>
  <si>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</si>
  <si>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</si>
  <si>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</si>
  <si>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</si>
  <si>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</si>
  <si>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</si>
  <si>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</si>
  <si>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</si>
  <si>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</si>
  <si>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</si>
  <si>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</si>
  <si>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</si>
  <si>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</si>
  <si>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</si>
  <si>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</si>
  <si>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</si>
  <si>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</si>
  <si>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</si>
  <si>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</si>
  <si>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</si>
  <si>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</si>
  <si>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</si>
  <si>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</si>
  <si>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</si>
  <si>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</si>
  <si>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</si>
  <si>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</si>
  <si>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</si>
  <si>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</si>
  <si>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</si>
  <si>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</si>
  <si>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</si>
  <si>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</si>
  <si>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</si>
  <si>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</si>
  <si>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</si>
  <si>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</si>
  <si>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</si>
  <si>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</si>
  <si>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</si>
  <si>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</si>
  <si>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</si>
  <si>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</si>
  <si>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</si>
  <si>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</si>
  <si>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</si>
  <si>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</si>
  <si>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</si>
  <si>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</si>
  <si>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</si>
  <si>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</si>
  <si>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</si>
  <si>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</si>
  <si>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</si>
  <si>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</si>
  <si>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</si>
  <si>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</si>
  <si>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</si>
  <si>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</si>
  <si>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</si>
  <si>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</si>
  <si>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</si>
  <si>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</si>
  <si>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</si>
  <si>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</si>
  <si>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</si>
  <si>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</si>
  <si>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</si>
  <si>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</si>
  <si>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</si>
  <si>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</si>
  <si>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</si>
  <si>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</si>
  <si>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</si>
  <si>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</si>
  <si>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</si>
  <si>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</si>
  <si>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</si>
  <si>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</si>
  <si>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</si>
  <si>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</si>
  <si>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</si>
  <si>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</si>
  <si>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</si>
  <si>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</si>
  <si>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</si>
  <si>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</si>
  <si>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</si>
  <si>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</si>
  <si>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</si>
  <si>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</si>
  <si>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</si>
  <si>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</si>
  <si>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</si>
  <si>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</si>
  <si>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</si>
  <si>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</si>
  <si>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</si>
  <si>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</si>
  <si>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</si>
  <si>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</si>
  <si>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</si>
  <si>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</si>
  <si>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</si>
  <si>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</si>
  <si>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</si>
  <si>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</si>
  <si>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</si>
  <si>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</si>
  <si>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</si>
  <si>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</si>
  <si>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</si>
  <si>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</si>
  <si>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</si>
  <si>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</si>
  <si>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</si>
  <si>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</si>
  <si>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</si>
  <si>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</si>
  <si>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</si>
  <si>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</si>
  <si>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</si>
  <si>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</si>
  <si>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</si>
  <si>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</si>
  <si>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</si>
  <si>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</si>
  <si>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</si>
  <si>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</si>
  <si>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</si>
  <si>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</si>
  <si>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</si>
  <si>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</si>
  <si>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</si>
  <si>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</si>
  <si>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</si>
  <si>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</si>
  <si>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</si>
  <si>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</si>
  <si>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</si>
  <si>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</si>
  <si>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</si>
  <si>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</si>
  <si>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</si>
  <si>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</si>
  <si>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</si>
  <si>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</si>
  <si>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</si>
  <si>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</si>
  <si>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</si>
  <si>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</si>
  <si>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</si>
  <si>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</si>
  <si>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</si>
  <si>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</si>
  <si>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</si>
  <si>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</si>
  <si>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</si>
  <si>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</si>
  <si>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</si>
  <si>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</si>
  <si>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</si>
  <si>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</si>
  <si>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</si>
  <si>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</si>
  <si>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</si>
  <si>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</si>
  <si>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</si>
  <si>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</si>
  <si>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</si>
  <si>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</si>
  <si>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</si>
  <si>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</si>
  <si>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</si>
  <si>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</si>
  <si>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</si>
  <si>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</si>
  <si>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</si>
  <si>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</si>
  <si>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</si>
  <si>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</si>
  <si>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</si>
  <si>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</si>
  <si>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</si>
  <si>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</si>
  <si>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</si>
  <si>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</si>
  <si>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</si>
  <si>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</si>
  <si>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</si>
  <si>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</si>
  <si>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</si>
  <si>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</si>
  <si>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</si>
  <si>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</si>
  <si>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</si>
  <si>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</si>
  <si>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</si>
  <si>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</si>
  <si>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</si>
  <si>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</si>
  <si>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</si>
  <si>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</si>
  <si>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</si>
  <si>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</si>
  <si>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</si>
  <si>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</si>
  <si>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</si>
  <si>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</si>
  <si>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</si>
  <si>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</si>
  <si>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</si>
  <si>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</si>
  <si>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</si>
  <si>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</si>
  <si>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</si>
  <si>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</si>
  <si>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</si>
  <si>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</si>
  <si>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</si>
  <si>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</si>
  <si>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</si>
  <si>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</si>
  <si>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</si>
  <si>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</si>
  <si>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</si>
  <si>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</si>
  <si>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</si>
  <si>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</si>
  <si>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</si>
  <si>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LTV-22001</t>
    <phoneticPr fontId="2" type="noConversion"/>
  </si>
  <si>
    <t>LTV-22002</t>
    <phoneticPr fontId="2" type="noConversion"/>
  </si>
  <si>
    <t>LTV-22003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</si>
  <si>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</si>
  <si>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</si>
  <si>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</si>
  <si>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Holiday</t>
    <phoneticPr fontId="2" type="noConversion"/>
  </si>
  <si>
    <t>2389224-NL1TT</t>
  </si>
  <si>
    <t>DHGK-2113-1</t>
    <phoneticPr fontId="2" type="noConversion"/>
  </si>
  <si>
    <t>SP</t>
  </si>
  <si>
    <t>DHGI-2190</t>
  </si>
  <si>
    <t>BTS</t>
  </si>
  <si>
    <t>FA</t>
  </si>
  <si>
    <t>HO</t>
  </si>
  <si>
    <t>Holiday</t>
  </si>
  <si>
    <t>XMAS</t>
  </si>
  <si>
    <t>Pt. Koin Baju Global</t>
  </si>
  <si>
    <t>DHGV-2200</t>
    <phoneticPr fontId="2" type="noConversion"/>
  </si>
  <si>
    <t>133S0175</t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</si>
  <si>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</si>
  <si>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</si>
  <si>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</si>
  <si>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</si>
  <si>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</si>
  <si>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</si>
  <si>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</si>
  <si>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BLUE BLOCKED</t>
  </si>
  <si>
    <t>133S0184</t>
  </si>
  <si>
    <t>2390633-US1TT</t>
  </si>
  <si>
    <t>2390634-NL1TT</t>
  </si>
  <si>
    <t>국내 원부자재</t>
  </si>
  <si>
    <t>KRW</t>
  </si>
  <si>
    <t>과세</t>
  </si>
  <si>
    <t>T/T</t>
  </si>
  <si>
    <t>삼성고무</t>
  </si>
  <si>
    <t>우리은행</t>
  </si>
  <si>
    <t>DHGI-2207T</t>
    <phoneticPr fontId="2" type="noConversion"/>
  </si>
  <si>
    <t>Updated</t>
    <phoneticPr fontId="2" type="noConversion"/>
  </si>
  <si>
    <t>Costco</t>
  </si>
  <si>
    <t>FLOW</t>
  </si>
  <si>
    <t>FLOW2</t>
  </si>
  <si>
    <t>AAAAAA</t>
    <phoneticPr fontId="2" type="noConversion"/>
  </si>
  <si>
    <t>t</t>
    <phoneticPr fontId="2" type="noConversion"/>
  </si>
  <si>
    <t>CI#</t>
    <phoneticPr fontId="2" type="noConversion"/>
  </si>
  <si>
    <t>133S0132-T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</si>
</sst>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9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1598930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44451</xdr:rowOff>
    </xdr:from>
    <xdr:to>
      <xdr:col>2</xdr:col>
      <xdr:colOff>323850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384175</xdr:colOff>
      <xdr:row>0</xdr:row>
      <xdr:rowOff>47626</xdr:rowOff>
    </xdr:from>
    <xdr:to>
      <xdr:col>3</xdr:col>
      <xdr:colOff>508000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184150</xdr:colOff>
          <xdr:row>1</xdr:row>
          <xdr:rowOff>222250</xdr:rowOff>
        </xdr:from>
        <xdr:to>
          <xdr:col>2</xdr:col>
          <xdr:colOff>933450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</xdr:row>
          <xdr:rowOff>222250</xdr:rowOff>
        </xdr:from>
        <xdr:to>
          <xdr:col>5</xdr:col>
          <xdr:colOff>95250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1</xdr:row>
          <xdr:rowOff>222250</xdr:rowOff>
        </xdr:from>
        <xdr:to>
          <xdr:col>7</xdr:col>
          <xdr:colOff>69850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989966</xdr:colOff>
      <xdr:row>1</xdr:row>
      <xdr:rowOff>206375</xdr:rowOff>
    </xdr:from>
    <xdr:to>
      <xdr:col>9</xdr:col>
      <xdr:colOff>244476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254001</xdr:colOff>
      <xdr:row>1</xdr:row>
      <xdr:rowOff>209551</xdr:rowOff>
    </xdr:from>
    <xdr:to>
      <xdr:col>11</xdr:col>
      <xdr:colOff>365126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755650</xdr:colOff>
          <xdr:row>0</xdr:row>
          <xdr:rowOff>25400</xdr:rowOff>
        </xdr:from>
        <xdr:to>
          <xdr:col>9</xdr:col>
          <xdr:colOff>260350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344171</xdr:colOff>
      <xdr:row>0</xdr:row>
      <xdr:rowOff>12700</xdr:rowOff>
    </xdr:from>
    <xdr:to>
      <xdr:col>9</xdr:col>
      <xdr:colOff>623571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225425</xdr:colOff>
      <xdr:row>0</xdr:row>
      <xdr:rowOff>47626</xdr:rowOff>
    </xdr:from>
    <xdr:to>
      <xdr:col>11</xdr:col>
      <xdr:colOff>728980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412750</xdr:colOff>
      <xdr:row>1</xdr:row>
      <xdr:rowOff>177800</xdr:rowOff>
    </xdr:from>
    <xdr:to>
      <xdr:col>11</xdr:col>
      <xdr:colOff>760730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191991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127000</xdr:colOff>
      <xdr:row>1</xdr:row>
      <xdr:rowOff>215900</xdr:rowOff>
    </xdr:from>
    <xdr:to>
      <xdr:col>3</xdr:col>
      <xdr:colOff>842452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5</xdr:col>
      <xdr:colOff>190500</xdr:colOff>
      <xdr:row>1</xdr:row>
      <xdr:rowOff>209550</xdr:rowOff>
    </xdr:from>
    <xdr:to>
      <xdr:col>6</xdr:col>
      <xdr:colOff>99587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1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9</xdr:col>
      <xdr:colOff>368300</xdr:colOff>
      <xdr:row>1</xdr:row>
      <xdr:rowOff>209550</xdr:rowOff>
    </xdr:from>
    <xdr:to>
      <xdr:col>10</xdr:col>
      <xdr:colOff>181610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25400</xdr:colOff>
          <xdr:row>1</xdr:row>
          <xdr:rowOff>215900</xdr:rowOff>
        </xdr:from>
        <xdr:to>
          <xdr:col>8</xdr:col>
          <xdr:colOff>914400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152400</xdr:colOff>
      <xdr:row>1</xdr:row>
      <xdr:rowOff>200660</xdr:rowOff>
    </xdr:from>
    <xdr:to>
      <xdr:col>8</xdr:col>
      <xdr:colOff>25400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9</xdr:col>
          <xdr:colOff>317500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402591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560705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584200</xdr:colOff>
      <xdr:row>0</xdr:row>
      <xdr:rowOff>47626</xdr:rowOff>
    </xdr:from>
    <xdr:to>
      <xdr:col>4</xdr:col>
      <xdr:colOff>242570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2562860</xdr:colOff>
      <xdr:row>1</xdr:row>
      <xdr:rowOff>194310</xdr:rowOff>
    </xdr:from>
    <xdr:to>
      <xdr:col>7</xdr:col>
      <xdr:colOff>135890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0</xdr:rowOff>
        </xdr:from>
        <xdr:to>
          <xdr:col>11</xdr:col>
          <xdr:colOff>863600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641350</xdr:colOff>
          <xdr:row>0</xdr:row>
          <xdr:rowOff>0</xdr:rowOff>
        </xdr:from>
        <xdr:to>
          <xdr:col>13</xdr:col>
          <xdr:colOff>400050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702310</xdr:colOff>
      <xdr:row>1</xdr:row>
      <xdr:rowOff>233680</xdr:rowOff>
    </xdr:from>
    <xdr:to>
      <xdr:col>6</xdr:col>
      <xdr:colOff>1577975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215900</xdr:rowOff>
        </xdr:from>
        <xdr:to>
          <xdr:col>5</xdr:col>
          <xdr:colOff>190500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661670</xdr:colOff>
      <xdr:row>1</xdr:row>
      <xdr:rowOff>209550</xdr:rowOff>
    </xdr:from>
    <xdr:to>
      <xdr:col>4</xdr:col>
      <xdr:colOff>518160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311150</xdr:colOff>
      <xdr:row>1</xdr:row>
      <xdr:rowOff>210820</xdr:rowOff>
    </xdr:from>
    <xdr:to>
      <xdr:col>5</xdr:col>
      <xdr:colOff>617220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81500" y="598170"/>
          <a:ext cx="30607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452121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565150</xdr:colOff>
          <xdr:row>1</xdr:row>
          <xdr:rowOff>215900</xdr:rowOff>
        </xdr:from>
        <xdr:to>
          <xdr:col>2</xdr:col>
          <xdr:colOff>577850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559264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81281</xdr:colOff>
      <xdr:row>1</xdr:row>
      <xdr:rowOff>234950</xdr:rowOff>
    </xdr:from>
    <xdr:to>
      <xdr:col>6</xdr:col>
      <xdr:colOff>641351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1635760</xdr:colOff>
      <xdr:row>1</xdr:row>
      <xdr:rowOff>233680</xdr:rowOff>
    </xdr:from>
    <xdr:to>
      <xdr:col>6</xdr:col>
      <xdr:colOff>2511425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302260</xdr:colOff>
      <xdr:row>0</xdr:row>
      <xdr:rowOff>57150</xdr:rowOff>
    </xdr:from>
    <xdr:to>
      <xdr:col>4</xdr:col>
      <xdr:colOff>1376045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25400</xdr:colOff>
          <xdr:row>1</xdr:row>
          <xdr:rowOff>25400</xdr:rowOff>
        </xdr:from>
        <xdr:to>
          <xdr:col>6</xdr:col>
          <xdr:colOff>31750</xdr:colOff>
          <xdr:row>2</xdr:row>
          <xdr:rowOff>177800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367764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1559453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381842</xdr:colOff>
      <xdr:row>1</xdr:row>
      <xdr:rowOff>63500</xdr:rowOff>
    </xdr:from>
    <xdr:to>
      <xdr:col>11</xdr:col>
      <xdr:colOff>1411689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1449789</xdr:colOff>
      <xdr:row>1</xdr:row>
      <xdr:rowOff>38100</xdr:rowOff>
    </xdr:from>
    <xdr:to>
      <xdr:col>11</xdr:col>
      <xdr:colOff>1826979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307907</xdr:colOff>
      <xdr:row>0</xdr:row>
      <xdr:rowOff>323616</xdr:rowOff>
    </xdr:from>
    <xdr:to>
      <xdr:col>23</xdr:col>
      <xdr:colOff>282218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263413</xdr:colOff>
      <xdr:row>0</xdr:row>
      <xdr:rowOff>323616</xdr:rowOff>
    </xdr:from>
    <xdr:to>
      <xdr:col>22</xdr:col>
      <xdr:colOff>244407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259802</xdr:colOff>
      <xdr:row>0</xdr:row>
      <xdr:rowOff>323616</xdr:rowOff>
    </xdr:from>
    <xdr:to>
      <xdr:col>21</xdr:col>
      <xdr:colOff>149113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412813</xdr:colOff>
      <xdr:row>0</xdr:row>
      <xdr:rowOff>323616</xdr:rowOff>
    </xdr:from>
    <xdr:to>
      <xdr:col>20</xdr:col>
      <xdr:colOff>158202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311150</xdr:colOff>
          <xdr:row>0</xdr:row>
          <xdr:rowOff>69850</xdr:rowOff>
        </xdr:from>
        <xdr:to>
          <xdr:col>23</xdr:col>
          <xdr:colOff>349250</xdr:colOff>
          <xdr:row>1</xdr:row>
          <xdr:rowOff>374650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W1:W3"/>
  <sheetViews>
    <sheetView showGridLines="0" zoomScaleNormal="100" workbookViewId="0">
      <selection activeCell="H29" sqref="H29"/>
    </sheetView>
  </sheetViews>
  <sheetFormatPr defaultColWidth="8.796875" defaultRowHeight="14.5" customHeight="1"/>
  <cols>
    <col min="1" max="16384" width="8.796875" style="20"/>
  </cols>
  <sheetData>
    <row r="1" spans="23:23" s="45" customFormat="1" ht="30.5" customHeight="1">
      <c r="W1" s="45">
        <f>COUNTIF(dupl_po!$A:$A,C2&amp;"-"&amp;E2)</f>
        <v>0</v>
      </c>
    </row>
    <row r="2" spans="23:23" ht="14.5" customHeight="1">
      <c r="W2" s="20">
        <v>0</v>
      </c>
    </row>
    <row r="3" spans="23:23" ht="14.5" customHeight="1">
      <c r="W3" s="20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59" customWidth="1"/>
    <col min="2" max="2" width="19.8984375" style="59" bestFit="1" customWidth="1"/>
    <col min="3" max="4" width="14.296875" style="59" customWidth="1"/>
    <col min="5" max="5" width="12.69921875" style="59" customWidth="1"/>
    <col min="6" max="6" width="14.296875" style="59" customWidth="1"/>
    <col min="7" max="16384" width="8.796875" style="59"/>
  </cols>
  <sheetData>
    <row r="1" spans="1:11">
      <c r="A1" s="75" t="s">
        <v>3263</v>
      </c>
      <c r="B1" s="74" t="s">
        <v>3264</v>
      </c>
      <c r="C1" s="74" t="s">
        <v>2089</v>
      </c>
      <c r="D1" s="74" t="s">
        <v>2096</v>
      </c>
      <c r="E1" s="74" t="s">
        <v>3273</v>
      </c>
      <c r="F1" s="74" t="s">
        <v>3272</v>
      </c>
      <c r="K1" s="78" t="e" cm="1">
        <f t="array" aca="1" ref="K1" ca="1">OFFSET(#REF!,,,COUNTA(#REF!)-1)</f>
        <v>#REF!</v>
      </c>
    </row>
    <row r="2" spans="1:11">
      <c r="A2" s="76" t="e">
        <f>SUM(#REF!)</f>
        <v>#REF!</v>
      </c>
      <c r="B2" s="59" t="e" cm="1">
        <f t="array" aca="1" ref="B2" ca="1">IF(메인!#REF!="O",_xlfn.UNIQUE(OFFSET(#REF!,,,COUNTA(#REF!)-1)),메인!#REF!)</f>
        <v>#REF!</v>
      </c>
      <c r="C2" s="59" t="e" cm="1">
        <f t="array" aca="1" ref="C2" ca="1">IF(메인!#REF!="O",_xlfn.UNIQUE(OFFSET(#REF!,,,COUNTA(#REF!)-1)),메인!#REF!)</f>
        <v>#REF!</v>
      </c>
      <c r="D2" s="59" t="e" cm="1">
        <f t="array" aca="1" ref="D2" ca="1">IF(메인!#REF!="O",_xlfn.UNIQUE(OFFSET(#REF!,,,COUNTA(#REF!)-1)),메인!#REF!)</f>
        <v>#REF!</v>
      </c>
      <c r="E2" s="73" t="e">
        <f ca="1">SUMIFS(#REF!,#REF!,B2,#REF!,C2,#REF!,D2)</f>
        <v>#REF!</v>
      </c>
    </row>
    <row r="3" spans="1:11">
      <c r="E3" s="73"/>
    </row>
    <row r="4" spans="1:11">
      <c r="A4" s="75" t="s">
        <v>3271</v>
      </c>
    </row>
    <row r="5" spans="1:11">
      <c r="A5" s="77" t="e">
        <f>SUM(#REF!)</f>
        <v>#REF!</v>
      </c>
    </row>
    <row r="27" spans="1:4">
      <c r="A27" s="60" t="s">
        <v>3264</v>
      </c>
      <c r="B27" s="61" t="s">
        <v>3260</v>
      </c>
      <c r="C27" s="62" t="s">
        <v>3258</v>
      </c>
      <c r="D27" s="63" t="s">
        <v>3259</v>
      </c>
    </row>
    <row r="28" spans="1:4">
      <c r="A28" s="64" t="s">
        <v>3255</v>
      </c>
      <c r="B28" s="65">
        <v>44409</v>
      </c>
      <c r="C28" s="66">
        <v>5000000</v>
      </c>
      <c r="D28" s="67">
        <v>2000000</v>
      </c>
    </row>
    <row r="29" spans="1:4">
      <c r="A29" s="64" t="s">
        <v>3257</v>
      </c>
      <c r="B29" s="65">
        <v>44409</v>
      </c>
      <c r="C29" s="66">
        <v>10000000</v>
      </c>
      <c r="D29" s="67">
        <v>7000000</v>
      </c>
    </row>
    <row r="30" spans="1:4">
      <c r="A30" s="64" t="s">
        <v>3256</v>
      </c>
      <c r="B30" s="65">
        <v>44409</v>
      </c>
      <c r="C30" s="66">
        <v>1000000</v>
      </c>
      <c r="D30" s="67">
        <v>1000000</v>
      </c>
    </row>
    <row r="31" spans="1:4">
      <c r="A31" s="68"/>
      <c r="B31" s="69"/>
      <c r="C31" s="70"/>
      <c r="D31" s="71"/>
    </row>
    <row r="32" spans="1:4">
      <c r="A32" s="68"/>
      <c r="B32" s="69"/>
      <c r="C32" s="70"/>
      <c r="D32" s="71"/>
    </row>
    <row r="33" spans="1:4">
      <c r="A33" s="68"/>
      <c r="B33" s="69"/>
      <c r="C33" s="70"/>
      <c r="D33" s="71"/>
    </row>
    <row r="34" spans="1:4">
      <c r="A34" s="68"/>
      <c r="B34" s="69"/>
      <c r="C34" s="70"/>
      <c r="D34" s="71"/>
    </row>
    <row r="35" spans="1:4">
      <c r="A35" s="60" t="s">
        <v>3261</v>
      </c>
      <c r="B35" s="61" t="s">
        <v>3260</v>
      </c>
      <c r="C35" s="62" t="s">
        <v>3258</v>
      </c>
      <c r="D35" s="63" t="s">
        <v>3259</v>
      </c>
    </row>
    <row r="36" spans="1:4">
      <c r="A36" s="64" t="e" cm="1">
        <f t="array" ref="A36">_xlfn.UNIQUE(#REF!)</f>
        <v>#REF!</v>
      </c>
      <c r="B36" s="65"/>
      <c r="C36" s="66" t="e">
        <f>SUMIF(#REF!,A36,#REF!)</f>
        <v>#REF!</v>
      </c>
      <c r="D36" s="67" t="e">
        <f>SUMIF(#REF!,A36,#REF!)</f>
        <v>#REF!</v>
      </c>
    </row>
    <row r="37" spans="1:4">
      <c r="A37" s="64"/>
      <c r="B37" s="65"/>
      <c r="C37" s="66" t="e">
        <f>SUMIF(#REF!,A37,#REF!)</f>
        <v>#REF!</v>
      </c>
      <c r="D37" s="67" t="e">
        <f>SUMIF(#REF!,A37,#REF!)</f>
        <v>#REF!</v>
      </c>
    </row>
    <row r="38" spans="1:4">
      <c r="A38" s="64"/>
      <c r="B38" s="65"/>
      <c r="C38" s="66" t="e">
        <f>SUMIF(#REF!,A38,#REF!)</f>
        <v>#REF!</v>
      </c>
      <c r="D38" s="67" t="e">
        <f>SUMIF(#REF!,A38,#REF!)</f>
        <v>#REF!</v>
      </c>
    </row>
    <row r="39" spans="1:4">
      <c r="A39" s="64"/>
      <c r="B39" s="65"/>
      <c r="C39" s="66" t="e">
        <f>SUMIF(#REF!,A39,#REF!)</f>
        <v>#REF!</v>
      </c>
      <c r="D39" s="67" t="e">
        <f>SUMIF(#REF!,A39,#REF!)</f>
        <v>#REF!</v>
      </c>
    </row>
    <row r="40" spans="1:4">
      <c r="A40" s="64"/>
      <c r="B40" s="65"/>
      <c r="C40" s="66" t="e">
        <f>SUMIF(#REF!,A40,#REF!)</f>
        <v>#REF!</v>
      </c>
      <c r="D40" s="67" t="e">
        <f>SUMIF(#REF!,A40,#REF!)</f>
        <v>#REF!</v>
      </c>
    </row>
    <row r="41" spans="1:4">
      <c r="A41" s="64"/>
      <c r="B41" s="65"/>
      <c r="C41" s="66" t="e">
        <f>SUMIF(#REF!,A41,#REF!)</f>
        <v>#REF!</v>
      </c>
      <c r="D41" s="67" t="e">
        <f>SUMIF(#REF!,A41,#REF!)</f>
        <v>#REF!</v>
      </c>
    </row>
    <row r="42" spans="1:4">
      <c r="A42" s="64"/>
      <c r="B42" s="65"/>
      <c r="C42" s="66" t="e">
        <f>SUMIF(#REF!,A42,#REF!)</f>
        <v>#REF!</v>
      </c>
      <c r="D42" s="67" t="e">
        <f>SUMIF(#REF!,A42,#REF!)</f>
        <v>#REF!</v>
      </c>
    </row>
    <row r="43" spans="1:4">
      <c r="A43" s="64"/>
      <c r="B43" s="65"/>
      <c r="C43" s="66" t="e">
        <f>SUMIF(#REF!,A43,#REF!)</f>
        <v>#REF!</v>
      </c>
      <c r="D43" s="67" t="e">
        <f>SUMIF(#REF!,A43,#REF!)</f>
        <v>#REF!</v>
      </c>
    </row>
    <row r="44" spans="1:4">
      <c r="A44" s="68"/>
      <c r="B44" s="69"/>
      <c r="C44" s="70"/>
      <c r="D44" s="71"/>
    </row>
    <row r="45" spans="1:4">
      <c r="A45" s="68"/>
      <c r="B45" s="69"/>
      <c r="C45" s="70"/>
      <c r="D45" s="71"/>
    </row>
    <row r="46" spans="1:4">
      <c r="A46" s="68"/>
      <c r="B46" s="69"/>
      <c r="C46" s="70"/>
      <c r="D46" s="71"/>
    </row>
    <row r="47" spans="1:4">
      <c r="A47" s="68"/>
      <c r="B47" s="69"/>
      <c r="C47" s="70"/>
      <c r="D47" s="71"/>
    </row>
    <row r="48" spans="1:4">
      <c r="A48" s="68"/>
      <c r="B48" s="69"/>
      <c r="C48" s="70"/>
      <c r="D48" s="71"/>
    </row>
    <row r="49" spans="1:4">
      <c r="A49" s="60" t="s">
        <v>2096</v>
      </c>
      <c r="B49" s="61" t="s">
        <v>3262</v>
      </c>
      <c r="C49" s="62" t="s">
        <v>3258</v>
      </c>
      <c r="D49" s="63" t="s">
        <v>3259</v>
      </c>
    </row>
    <row r="50" spans="1:4">
      <c r="A50" s="64" t="s">
        <v>3265</v>
      </c>
      <c r="B50" s="72"/>
      <c r="C50" s="66">
        <v>942719</v>
      </c>
      <c r="D50" s="67">
        <v>18222683.929999992</v>
      </c>
    </row>
    <row r="51" spans="1:4">
      <c r="A51" s="64" t="s">
        <v>3266</v>
      </c>
      <c r="B51" s="72"/>
      <c r="C51" s="66">
        <v>1042188</v>
      </c>
      <c r="D51" s="67">
        <v>7799645.3299999982</v>
      </c>
    </row>
    <row r="52" spans="1:4">
      <c r="A52" s="64" t="s">
        <v>3267</v>
      </c>
      <c r="B52" s="72"/>
      <c r="C52" s="66">
        <v>5319</v>
      </c>
      <c r="D52" s="67">
        <v>71987.34</v>
      </c>
    </row>
    <row r="53" spans="1:4">
      <c r="A53" s="64" t="s">
        <v>3268</v>
      </c>
      <c r="B53" s="72"/>
      <c r="C53" s="66">
        <v>0</v>
      </c>
      <c r="D53" s="67">
        <v>0</v>
      </c>
    </row>
    <row r="54" spans="1:4">
      <c r="A54" s="64" t="s">
        <v>3269</v>
      </c>
      <c r="B54" s="72"/>
      <c r="C54" s="66">
        <v>0</v>
      </c>
      <c r="D54" s="67">
        <v>0</v>
      </c>
    </row>
    <row r="55" spans="1:4">
      <c r="A55" s="64" t="s">
        <v>3270</v>
      </c>
      <c r="B55" s="72"/>
      <c r="C55" s="66">
        <v>585108</v>
      </c>
      <c r="D55" s="67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201"/>
  <sheetViews>
    <sheetView showGridLines="0" showRowColHeaders="0" workbookViewId="0">
      <pane ySplit="4" topLeftCell="A5" activePane="bottomLeft" state="frozen"/>
      <selection pane="bottomLeft" activeCell="B5" sqref="B5"/>
    </sheetView>
  </sheetViews>
  <sheetFormatPr defaultColWidth="8.796875" defaultRowHeight="12"/>
  <cols>
    <col min="1" max="1" width="8.3984375" style="20" customWidth="1"/>
    <col min="2" max="2" width="12.69921875" style="20" customWidth="1"/>
    <col min="3" max="4" width="15.69921875" style="20" customWidth="1"/>
    <col min="5" max="6" width="8.69921875" style="20" customWidth="1"/>
    <col min="7" max="8" width="13.69921875" style="20" customWidth="1"/>
    <col min="9" max="9" width="16.19921875" style="20" bestFit="1" customWidth="1"/>
    <col min="10" max="11" width="11.69921875" style="20" customWidth="1"/>
    <col min="12" max="12" width="38.3984375" style="20" bestFit="1" customWidth="1"/>
    <col min="13" max="13" width="25.3984375" style="20" customWidth="1"/>
    <col min="14" max="22" width="12.8984375" style="20" customWidth="1"/>
    <col min="23" max="16384" width="8.796875" style="20"/>
  </cols>
  <sheetData>
    <row r="1" spans="1:14" s="17" customFormat="1" ht="30.5" customHeight="1"/>
    <row r="2" spans="1:14" s="2" customFormat="1" ht="37.5" customHeight="1"/>
    <row r="3" spans="1:14" s="2" customFormat="1" ht="13">
      <c r="M3"/>
      <c r="N3"/>
    </row>
    <row r="4" spans="1:14" s="18" customFormat="1" ht="15" customHeight="1">
      <c r="A4" s="19" t="s">
        <v>2111</v>
      </c>
      <c r="B4" s="23" t="s">
        <v>2237</v>
      </c>
      <c r="C4" s="23" t="s">
        <v>2238</v>
      </c>
      <c r="D4" s="23" t="s">
        <v>2239</v>
      </c>
      <c r="E4" s="23" t="s">
        <v>2240</v>
      </c>
      <c r="F4" s="23" t="s">
        <v>2241</v>
      </c>
      <c r="G4" s="23" t="s">
        <v>2242</v>
      </c>
      <c r="H4" s="23" t="s">
        <v>2243</v>
      </c>
      <c r="I4" s="23" t="s">
        <v>2244</v>
      </c>
      <c r="J4" s="23" t="s">
        <v>2245</v>
      </c>
      <c r="K4" s="19" t="s">
        <v>2112</v>
      </c>
      <c r="L4" s="23" t="s">
        <v>2246</v>
      </c>
      <c r="M4" s="23" t="s">
        <v>2357</v>
      </c>
      <c r="N4" s="24" t="s">
        <v>2259</v>
      </c>
    </row>
    <row r="5" spans="1:14" s="45" customFormat="1" ht="15" customHeight="1">
      <c r="C5" s="20"/>
      <c r="I5" s="20"/>
    </row>
    <row r="6" spans="1:14" s="45" customFormat="1" ht="15" customHeight="1"/>
    <row r="7" spans="1:14" s="45" customFormat="1" ht="15" customHeight="1"/>
    <row r="8" spans="1:14" s="45" customFormat="1" ht="15" customHeight="1"/>
    <row r="9" spans="1:14" s="45" customFormat="1" ht="15" customHeight="1"/>
    <row r="10" spans="1:14" s="45" customFormat="1" ht="15" customHeight="1"/>
    <row r="11" spans="1:14" s="45" customFormat="1" ht="15" customHeight="1"/>
    <row r="12" spans="1:14" s="45" customFormat="1" ht="15" customHeight="1"/>
    <row r="13" spans="1:14" s="45" customFormat="1" ht="15" customHeight="1"/>
    <row r="14" spans="1:14" s="45" customFormat="1" ht="15" customHeight="1"/>
    <row r="15" spans="1:14" s="45" customFormat="1" ht="15" customHeight="1"/>
    <row r="16" spans="1:14" s="45" customFormat="1" ht="15" customHeight="1"/>
    <row r="17" spans="14:14" s="45" customFormat="1" ht="15" customHeight="1"/>
    <row r="18" spans="14:14" s="45" customFormat="1" ht="15" customHeight="1"/>
    <row r="19" spans="14:14" s="45" customFormat="1" ht="15" customHeight="1"/>
    <row r="20" spans="14:14" s="45" customFormat="1" ht="15" customHeight="1"/>
    <row r="21" spans="14:14" s="45" customFormat="1" ht="15" customHeight="1"/>
    <row r="22" spans="14:14" ht="15" customHeight="1">
      <c r="N22" s="45"/>
    </row>
    <row r="23" spans="14:14" ht="15" customHeight="1">
      <c r="N23" s="45"/>
    </row>
    <row r="24" spans="14:14" ht="15" customHeight="1">
      <c r="N24" s="45"/>
    </row>
    <row r="25" spans="14:14" ht="15" customHeight="1">
      <c r="N25" s="45"/>
    </row>
    <row r="26" spans="14:14" ht="15" customHeight="1">
      <c r="N26" s="45"/>
    </row>
    <row r="27" spans="14:14" ht="15" customHeight="1">
      <c r="N27" s="45"/>
    </row>
    <row r="28" spans="14:14" ht="15" customHeight="1">
      <c r="N28" s="45"/>
    </row>
    <row r="29" spans="14:14" ht="15" customHeight="1">
      <c r="N29" s="45"/>
    </row>
    <row r="30" spans="14:14" ht="15" customHeight="1"/>
    <row r="31" spans="14:14" ht="15" customHeight="1"/>
    <row r="32" spans="14:14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</sheetData>
  <autoFilter ref="A4:N4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25400</xdr:colOff>
                <xdr:row>1</xdr:row>
                <xdr:rowOff>215900</xdr:rowOff>
              </from>
              <to>
                <xdr:col>8</xdr:col>
                <xdr:colOff>914400</xdr:colOff>
                <xdr:row>1</xdr:row>
                <xdr:rowOff>469900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114300</xdr:colOff>
                <xdr:row>1</xdr:row>
                <xdr:rowOff>222250</xdr:rowOff>
              </from>
              <to>
                <xdr:col>7</xdr:col>
                <xdr:colOff>69850</xdr:colOff>
                <xdr:row>2</xdr:row>
                <xdr:rowOff>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3</xdr:col>
                <xdr:colOff>838200</xdr:colOff>
                <xdr:row>1</xdr:row>
                <xdr:rowOff>222250</xdr:rowOff>
              </from>
              <to>
                <xdr:col>5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184150</xdr:colOff>
                <xdr:row>1</xdr:row>
                <xdr:rowOff>222250</xdr:rowOff>
              </from>
              <to>
                <xdr:col>2</xdr:col>
                <xdr:colOff>933450</xdr:colOff>
                <xdr:row>2</xdr:row>
                <xdr:rowOff>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7</xdr:col>
                <xdr:colOff>755650</xdr:colOff>
                <xdr:row>0</xdr:row>
                <xdr:rowOff>25400</xdr:rowOff>
              </from>
              <to>
                <xdr:col>9</xdr:col>
                <xdr:colOff>260350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9</xdr:col>
                <xdr:colOff>317500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1001"/>
  <sheetViews>
    <sheetView showGridLines="0" tabSelected="1" topLeftCell="B1" workbookViewId="0">
      <pane ySplit="4" topLeftCell="A5" activePane="bottomLeft" state="frozen"/>
      <selection pane="bottomLeft" activeCell="G21" sqref="G21"/>
    </sheetView>
  </sheetViews>
  <sheetFormatPr defaultColWidth="8.796875" defaultRowHeight="13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5" customHeight="1">
      <c r="A4" s="19" t="s">
        <v>2111</v>
      </c>
      <c r="B4" s="23" t="s">
        <v>2345</v>
      </c>
      <c r="C4" s="23" t="s">
        <v>2346</v>
      </c>
      <c r="D4" s="19" t="s">
        <v>2348</v>
      </c>
      <c r="E4" s="19" t="s">
        <v>2356</v>
      </c>
      <c r="F4" s="19" t="s">
        <v>2350</v>
      </c>
      <c r="G4" s="19" t="s">
        <v>2360</v>
      </c>
      <c r="H4" s="19" t="s">
        <v>2352</v>
      </c>
      <c r="I4" s="37" t="s">
        <v>2358</v>
      </c>
      <c r="J4" s="42" t="s">
        <v>2353</v>
      </c>
      <c r="K4" s="42" t="s">
        <v>2354</v>
      </c>
      <c r="L4" s="19" t="s">
        <v>2357</v>
      </c>
      <c r="M4" s="24" t="s">
        <v>2259</v>
      </c>
    </row>
    <row r="5" spans="1:13" ht="15" customHeight="1"/>
    <row r="6" spans="1:13" ht="15" customHeight="1"/>
    <row r="7" spans="1:13" ht="15" customHeight="1"/>
    <row r="8" spans="1:13" ht="15" customHeight="1"/>
    <row r="9" spans="1:13" ht="15" customHeight="1"/>
    <row r="10" spans="1:13" ht="15" customHeight="1"/>
    <row r="11" spans="1:13" ht="15" customHeight="1">
      <c r="B11" s="56"/>
    </row>
    <row r="12" spans="1:13" ht="15" customHeight="1">
      <c r="B12" s="56"/>
    </row>
    <row r="13" spans="1:13" ht="15" customHeight="1">
      <c r="B13" s="56"/>
    </row>
    <row r="14" spans="1:13" ht="15" customHeight="1">
      <c r="B14" s="56"/>
    </row>
    <row r="15" spans="1:13" ht="15" customHeight="1">
      <c r="B15" s="56"/>
    </row>
    <row r="16" spans="1:13" ht="15" customHeight="1">
      <c r="B16" s="56"/>
    </row>
    <row r="17" spans="2:3" ht="15" customHeight="1">
      <c r="B17" s="56"/>
    </row>
    <row r="18" spans="2:3" ht="15" customHeight="1">
      <c r="B18" s="56"/>
    </row>
    <row r="19" spans="2:3" ht="15" customHeight="1">
      <c r="B19" s="56"/>
    </row>
    <row r="20" spans="2:3" ht="15" customHeight="1">
      <c r="B20" s="56"/>
      <c r="C20" s="56"/>
    </row>
    <row r="21" spans="2:3" ht="15" customHeight="1">
      <c r="B21" s="56"/>
      <c r="C21" s="56"/>
    </row>
    <row r="22" spans="2:3" ht="15" customHeight="1">
      <c r="B22" s="56"/>
      <c r="C22" s="56"/>
    </row>
    <row r="23" spans="2:3" ht="15" customHeight="1">
      <c r="B23" s="56"/>
      <c r="C23" s="56"/>
    </row>
    <row r="24" spans="2:3" ht="15" customHeight="1">
      <c r="B24" s="56"/>
      <c r="C24" s="56"/>
    </row>
    <row r="25" spans="2:3" ht="15" customHeight="1">
      <c r="B25" s="56"/>
      <c r="C25" s="56"/>
    </row>
    <row r="26" spans="2:3" ht="15" customHeight="1">
      <c r="B26" s="56"/>
      <c r="C26" s="56"/>
    </row>
    <row r="27" spans="2:3" ht="15" customHeight="1">
      <c r="B27" s="56"/>
      <c r="C27" s="56"/>
    </row>
    <row r="28" spans="2:3" ht="15" customHeight="1">
      <c r="B28" s="56"/>
      <c r="C28" s="56"/>
    </row>
    <row r="29" spans="2:3" ht="15" customHeight="1">
      <c r="B29" s="56"/>
      <c r="C29" s="56"/>
    </row>
    <row r="30" spans="2:3" ht="15" customHeight="1">
      <c r="B30" s="56"/>
      <c r="C30" s="56"/>
    </row>
    <row r="31" spans="2:3" ht="15" customHeight="1">
      <c r="C31" s="56"/>
    </row>
    <row r="32" spans="2:3" ht="15" customHeight="1">
      <c r="C32" s="56"/>
    </row>
    <row r="33" spans="3:3" ht="15" customHeight="1">
      <c r="C33" s="56"/>
    </row>
    <row r="34" spans="3:3" ht="15" customHeight="1">
      <c r="C34" s="56"/>
    </row>
    <row r="35" spans="3:3" ht="15" customHeight="1">
      <c r="C35" s="56"/>
    </row>
    <row r="36" spans="3:3" ht="15" customHeight="1">
      <c r="C36" s="56"/>
    </row>
    <row r="37" spans="3:3" ht="15" customHeight="1">
      <c r="C37" s="56"/>
    </row>
    <row r="38" spans="3:3" ht="15" customHeight="1">
      <c r="C38" s="56"/>
    </row>
    <row r="39" spans="3:3" ht="15" customHeight="1">
      <c r="C39" s="56"/>
    </row>
    <row r="40" spans="3:3" ht="15" customHeight="1"/>
    <row r="41" spans="3:3" ht="15" customHeight="1"/>
    <row r="42" spans="3:3" ht="15" customHeight="1"/>
    <row r="43" spans="3:3" ht="15" customHeight="1"/>
    <row r="44" spans="3:3" ht="15" customHeight="1"/>
    <row r="45" spans="3:3" ht="15" customHeight="1"/>
    <row r="46" spans="3:3" ht="15" customHeight="1"/>
    <row r="47" spans="3:3" ht="15" customHeight="1"/>
    <row r="48" spans="3:3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</sheetData>
  <autoFilter ref="A4:M99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215900</xdr:rowOff>
              </from>
              <to>
                <xdr:col>5</xdr:col>
                <xdr:colOff>190500</xdr:colOff>
                <xdr:row>2</xdr:row>
                <xdr:rowOff>101600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565150</xdr:colOff>
                <xdr:row>1</xdr:row>
                <xdr:rowOff>215900</xdr:rowOff>
              </from>
              <to>
                <xdr:col>2</xdr:col>
                <xdr:colOff>577850</xdr:colOff>
                <xdr:row>2</xdr:row>
                <xdr:rowOff>95250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304800</xdr:colOff>
                <xdr:row>0</xdr:row>
                <xdr:rowOff>0</xdr:rowOff>
              </from>
              <to>
                <xdr:col>11</xdr:col>
                <xdr:colOff>863600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641350</xdr:colOff>
                <xdr:row>0</xdr:row>
                <xdr:rowOff>0</xdr:rowOff>
              </from>
              <to>
                <xdr:col>13</xdr:col>
                <xdr:colOff>400050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1</xdr:col>
                <xdr:colOff>25400</xdr:colOff>
                <xdr:row>1</xdr:row>
                <xdr:rowOff>25400</xdr:rowOff>
              </from>
              <to>
                <xdr:col>6</xdr:col>
                <xdr:colOff>31750</xdr:colOff>
                <xdr:row>2</xdr:row>
                <xdr:rowOff>177800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B79A4039-CF8F-4397-9D9E-9E15C7F99A2A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1A1147D1-0D8A-4562-A77D-6CD22672B587}">
          <x14:formula1>
            <xm:f>validation!$N$2:$N$223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A2D47BC-DCCD-43B7-A9EE-0EADD99FA91A}">
          <x14:formula1>
            <xm:f>validation!$O$2:$O$510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zoomScale="85" zoomScaleNormal="85" workbookViewId="0">
      <pane ySplit="6" topLeftCell="A7" activePane="bottomLeft" state="frozen"/>
      <selection pane="bottomLeft" activeCell="H13" sqref="H13"/>
    </sheetView>
  </sheetViews>
  <sheetFormatPr defaultColWidth="8.796875" defaultRowHeight="14"/>
  <cols>
    <col min="1" max="1" width="2.69921875" style="46" customWidth="1"/>
    <col min="2" max="3" width="20.19921875" style="88" customWidth="1"/>
    <col min="4" max="4" width="11.19921875" style="49" bestFit="1" customWidth="1"/>
    <col min="5" max="5" width="12.3984375" style="46" bestFit="1" customWidth="1"/>
    <col min="6" max="6" width="11.59765625" style="87" bestFit="1" customWidth="1"/>
    <col min="7" max="7" width="10.69921875" style="89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0"/>
      <c r="I5" s="54">
        <f>SUM(I7:R999910)</f>
        <v>0</v>
      </c>
      <c r="J5" s="86">
        <f>SUM(PO관리!J5:J1048576)</f>
        <v>0</v>
      </c>
      <c r="K5" s="55" t="b">
        <f>I5=J5</f>
        <v>1</v>
      </c>
    </row>
    <row r="6" spans="2:18">
      <c r="B6" s="82" t="s">
        <v>3189</v>
      </c>
      <c r="C6" s="82" t="s">
        <v>4</v>
      </c>
      <c r="D6" s="50" t="s">
        <v>2348</v>
      </c>
      <c r="E6" s="50" t="s">
        <v>2356</v>
      </c>
      <c r="F6" s="80" t="s">
        <v>3183</v>
      </c>
      <c r="G6" s="91" t="s">
        <v>3190</v>
      </c>
      <c r="H6" s="53" t="s">
        <v>3182</v>
      </c>
      <c r="I6" s="84" t="s">
        <v>3247</v>
      </c>
      <c r="J6" s="84" t="s">
        <v>3246</v>
      </c>
      <c r="K6" s="84" t="s">
        <v>3245</v>
      </c>
      <c r="L6" s="84" t="s">
        <v>3248</v>
      </c>
      <c r="M6" s="84" t="s">
        <v>3249</v>
      </c>
      <c r="N6" s="84" t="s">
        <v>3307</v>
      </c>
      <c r="O6" s="84" t="s">
        <v>3339</v>
      </c>
      <c r="P6" s="84" t="s">
        <v>3340</v>
      </c>
      <c r="Q6" s="84"/>
      <c r="R6" s="84"/>
    </row>
    <row r="7" spans="2:18">
      <c r="B7" s="83"/>
      <c r="C7" s="83"/>
      <c r="D7" s="79"/>
      <c r="E7" s="51"/>
      <c r="F7" s="81"/>
      <c r="G7" s="52"/>
      <c r="H7" s="48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2:18">
      <c r="B8" s="83"/>
      <c r="C8" s="83"/>
      <c r="D8" s="79"/>
      <c r="E8" s="51"/>
      <c r="F8" s="81"/>
      <c r="G8" s="52"/>
      <c r="H8" s="48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2:18">
      <c r="B9" s="83"/>
      <c r="C9" s="83"/>
      <c r="D9" s="79"/>
      <c r="E9" s="51"/>
      <c r="F9" s="81"/>
      <c r="G9" s="52"/>
      <c r="H9" s="48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2:18">
      <c r="B10" s="83"/>
      <c r="C10" s="83"/>
      <c r="D10" s="79"/>
      <c r="E10" s="51"/>
      <c r="F10" s="81"/>
      <c r="G10" s="52"/>
      <c r="H10" s="48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2:18">
      <c r="B11" s="83"/>
      <c r="C11" s="83"/>
      <c r="D11" s="79"/>
      <c r="E11" s="51"/>
      <c r="F11" s="81"/>
      <c r="G11" s="52"/>
      <c r="H11" s="48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2:18">
      <c r="B12" s="83"/>
      <c r="C12" s="83"/>
      <c r="D12" s="79"/>
      <c r="E12" s="51"/>
      <c r="F12" s="81"/>
      <c r="G12" s="52"/>
      <c r="H12" s="48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2:18">
      <c r="B13" s="83"/>
      <c r="C13" s="83"/>
      <c r="D13" s="79"/>
      <c r="E13" s="51"/>
      <c r="F13" s="81"/>
      <c r="G13" s="52"/>
      <c r="H13" s="48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2:18">
      <c r="B14" s="83"/>
      <c r="C14" s="83"/>
      <c r="D14" s="79"/>
      <c r="E14" s="51"/>
      <c r="F14" s="81"/>
      <c r="G14" s="52"/>
      <c r="H14" s="48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2:18">
      <c r="B15" s="83"/>
      <c r="C15" s="83"/>
      <c r="D15" s="79"/>
      <c r="E15" s="51"/>
      <c r="F15" s="81"/>
      <c r="G15" s="52"/>
      <c r="H15" s="48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2:18">
      <c r="B16" s="83"/>
      <c r="C16" s="83"/>
      <c r="D16" s="79"/>
      <c r="E16" s="51"/>
      <c r="F16" s="81"/>
      <c r="G16" s="52"/>
      <c r="H16" s="48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2:18">
      <c r="B17" s="83"/>
      <c r="C17" s="83"/>
      <c r="D17" s="79"/>
      <c r="E17" s="51"/>
      <c r="F17" s="81"/>
      <c r="G17" s="52"/>
      <c r="H17" s="48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2:18">
      <c r="B18" s="83"/>
      <c r="C18" s="83"/>
      <c r="D18" s="79"/>
      <c r="E18" s="51"/>
      <c r="F18" s="81"/>
      <c r="G18" s="52"/>
      <c r="H18" s="48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2:18">
      <c r="B19" s="83"/>
      <c r="C19" s="83"/>
      <c r="D19" s="79"/>
      <c r="E19" s="51"/>
      <c r="F19" s="81"/>
      <c r="G19" s="52"/>
      <c r="H19" s="48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2:18">
      <c r="B20" s="83"/>
      <c r="C20" s="83"/>
      <c r="D20" s="79"/>
      <c r="E20" s="51"/>
      <c r="F20" s="81"/>
      <c r="G20" s="52"/>
      <c r="H20" s="48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2:18">
      <c r="B21" s="83"/>
      <c r="C21" s="83"/>
      <c r="D21" s="79"/>
      <c r="E21" s="51"/>
      <c r="F21" s="81"/>
      <c r="G21" s="52"/>
      <c r="H21" s="48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2:18">
      <c r="B22" s="83"/>
      <c r="C22" s="83"/>
      <c r="D22" s="79"/>
      <c r="E22" s="51"/>
      <c r="F22" s="81"/>
      <c r="G22" s="52"/>
      <c r="H22" s="48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2:18">
      <c r="B23" s="83"/>
      <c r="C23" s="83"/>
      <c r="D23" s="79"/>
      <c r="E23" s="51"/>
      <c r="F23" s="81"/>
      <c r="G23" s="52"/>
      <c r="H23" s="48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2:18">
      <c r="B24" s="83"/>
      <c r="C24" s="83"/>
      <c r="D24" s="79"/>
      <c r="E24" s="51"/>
      <c r="F24" s="81"/>
      <c r="G24" s="52"/>
      <c r="H24" s="48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2:18">
      <c r="B25" s="83"/>
      <c r="C25" s="83"/>
      <c r="D25" s="79"/>
      <c r="E25" s="51"/>
      <c r="F25" s="81"/>
      <c r="G25" s="52"/>
      <c r="H25" s="48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2:18">
      <c r="B26" s="83"/>
      <c r="C26" s="83"/>
      <c r="D26" s="79"/>
      <c r="E26" s="51"/>
      <c r="F26" s="81"/>
      <c r="G26" s="52"/>
      <c r="H26" s="48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2:18">
      <c r="B27" s="83"/>
      <c r="C27" s="83"/>
      <c r="D27" s="79"/>
      <c r="E27" s="51"/>
      <c r="F27" s="81"/>
      <c r="G27" s="52"/>
      <c r="H27" s="48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2:18">
      <c r="B28" s="83"/>
      <c r="C28" s="83"/>
      <c r="D28" s="79"/>
      <c r="E28" s="51"/>
      <c r="F28" s="81"/>
      <c r="G28" s="52"/>
      <c r="H28" s="48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2:18">
      <c r="B29" s="83"/>
      <c r="C29" s="83"/>
      <c r="D29" s="79"/>
      <c r="E29" s="51"/>
      <c r="F29" s="81"/>
      <c r="G29" s="52"/>
      <c r="H29" s="48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2:18">
      <c r="B30" s="83"/>
      <c r="C30" s="83"/>
      <c r="D30" s="79"/>
      <c r="E30" s="51"/>
      <c r="F30" s="81"/>
      <c r="G30" s="52"/>
      <c r="H30" s="48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2:18">
      <c r="B31" s="83"/>
      <c r="C31" s="83"/>
      <c r="D31" s="79"/>
      <c r="E31" s="51"/>
      <c r="F31" s="81"/>
      <c r="G31" s="52"/>
      <c r="H31" s="48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2:18">
      <c r="B32" s="83"/>
      <c r="C32" s="83"/>
      <c r="D32" s="79"/>
      <c r="E32" s="51"/>
      <c r="F32" s="81"/>
      <c r="G32" s="52"/>
      <c r="H32" s="48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2:18">
      <c r="B33" s="83"/>
      <c r="C33" s="83"/>
      <c r="D33" s="79"/>
      <c r="E33" s="51"/>
      <c r="F33" s="81"/>
      <c r="G33" s="52"/>
      <c r="H33" s="48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2:18">
      <c r="B34" s="83"/>
      <c r="C34" s="83"/>
      <c r="D34" s="51"/>
      <c r="E34" s="48"/>
      <c r="F34" s="81"/>
      <c r="G34" s="52"/>
      <c r="H34" s="48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2:18">
      <c r="B35" s="83"/>
      <c r="C35" s="83"/>
      <c r="D35" s="51"/>
      <c r="E35" s="48"/>
      <c r="F35" s="81"/>
      <c r="G35" s="52"/>
      <c r="H35" s="48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2:18">
      <c r="B36" s="83"/>
      <c r="C36" s="83"/>
      <c r="D36" s="51"/>
      <c r="E36" s="48"/>
      <c r="F36" s="81"/>
      <c r="G36" s="52"/>
      <c r="H36" s="48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2:18">
      <c r="B37" s="83"/>
      <c r="C37" s="83"/>
      <c r="D37" s="51"/>
      <c r="E37" s="48"/>
      <c r="F37" s="81"/>
      <c r="G37" s="52"/>
      <c r="H37" s="48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2:18">
      <c r="B38" s="83"/>
      <c r="C38" s="83"/>
      <c r="D38" s="51"/>
      <c r="E38" s="48"/>
      <c r="F38" s="81"/>
      <c r="G38" s="52"/>
      <c r="H38" s="48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2:18">
      <c r="B39" s="83"/>
      <c r="C39" s="83"/>
      <c r="D39" s="51"/>
      <c r="E39" s="48"/>
      <c r="F39" s="81"/>
      <c r="G39" s="52"/>
      <c r="H39" s="48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2:18">
      <c r="B40" s="83"/>
      <c r="C40" s="83"/>
      <c r="D40" s="51"/>
      <c r="E40" s="48"/>
      <c r="F40" s="81"/>
      <c r="G40" s="52"/>
      <c r="H40" s="48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2:18">
      <c r="B41" s="83"/>
      <c r="C41" s="83"/>
      <c r="D41" s="51"/>
      <c r="E41" s="48"/>
      <c r="F41" s="81"/>
      <c r="G41" s="52"/>
      <c r="H41" s="48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2:18">
      <c r="B42" s="83"/>
      <c r="C42" s="83"/>
      <c r="D42" s="51"/>
      <c r="E42" s="48"/>
      <c r="F42" s="81"/>
      <c r="G42" s="52"/>
      <c r="H42" s="48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2:18">
      <c r="B43" s="83"/>
      <c r="C43" s="83"/>
      <c r="D43" s="51"/>
      <c r="E43" s="48"/>
      <c r="F43" s="81"/>
      <c r="G43" s="52"/>
      <c r="H43" s="48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2:18">
      <c r="B44" s="83"/>
      <c r="C44" s="83"/>
      <c r="D44" s="51"/>
      <c r="E44" s="48"/>
      <c r="F44" s="81"/>
      <c r="G44" s="52"/>
      <c r="H44" s="48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2:18">
      <c r="B45" s="83"/>
      <c r="C45" s="83"/>
      <c r="D45" s="51"/>
      <c r="E45" s="48"/>
      <c r="F45" s="81"/>
      <c r="G45" s="52"/>
      <c r="H45" s="48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2:18">
      <c r="B46" s="83"/>
      <c r="C46" s="83"/>
      <c r="D46" s="51"/>
      <c r="E46" s="48"/>
      <c r="F46" s="81"/>
      <c r="G46" s="52"/>
      <c r="H46" s="48"/>
      <c r="I46" s="85"/>
      <c r="J46" s="85"/>
      <c r="K46" s="85"/>
      <c r="L46" s="85"/>
      <c r="M46" s="85"/>
      <c r="N46" s="85"/>
      <c r="O46" s="85"/>
      <c r="P46" s="85"/>
      <c r="Q46" s="85"/>
      <c r="R46" s="85"/>
    </row>
    <row r="47" spans="2:18">
      <c r="B47" s="83"/>
      <c r="C47" s="83"/>
      <c r="D47" s="51"/>
      <c r="E47" s="48"/>
      <c r="F47" s="81"/>
      <c r="G47" s="52"/>
      <c r="H47" s="48"/>
      <c r="I47" s="85"/>
      <c r="J47" s="85"/>
      <c r="K47" s="85"/>
      <c r="L47" s="85"/>
      <c r="M47" s="85"/>
      <c r="N47" s="85"/>
      <c r="O47" s="85"/>
      <c r="P47" s="85"/>
      <c r="Q47" s="85"/>
      <c r="R47" s="85"/>
    </row>
    <row r="48" spans="2:18">
      <c r="B48" s="83"/>
      <c r="C48" s="83"/>
      <c r="D48" s="51"/>
      <c r="E48" s="48"/>
      <c r="F48" s="81"/>
      <c r="G48" s="52"/>
      <c r="H48" s="48"/>
      <c r="I48" s="85"/>
      <c r="J48" s="85"/>
      <c r="K48" s="85"/>
      <c r="L48" s="85"/>
      <c r="M48" s="85"/>
      <c r="N48" s="85"/>
      <c r="O48" s="85"/>
      <c r="P48" s="85"/>
      <c r="Q48" s="85"/>
      <c r="R48" s="85"/>
    </row>
    <row r="49" spans="2:18">
      <c r="B49" s="83"/>
      <c r="C49" s="83"/>
      <c r="D49" s="51"/>
      <c r="E49" s="48"/>
      <c r="F49" s="81"/>
      <c r="G49" s="52"/>
      <c r="H49" s="48"/>
      <c r="I49" s="85"/>
      <c r="J49" s="85"/>
      <c r="K49" s="85"/>
      <c r="L49" s="85"/>
      <c r="M49" s="85"/>
      <c r="N49" s="85"/>
      <c r="O49" s="85"/>
      <c r="P49" s="85"/>
      <c r="Q49" s="85"/>
      <c r="R49" s="85"/>
    </row>
    <row r="50" spans="2:18">
      <c r="B50" s="83"/>
      <c r="C50" s="83"/>
      <c r="D50" s="51"/>
      <c r="E50" s="48"/>
      <c r="F50" s="81"/>
      <c r="G50" s="52"/>
      <c r="H50" s="48"/>
      <c r="I50" s="85"/>
      <c r="J50" s="85"/>
      <c r="K50" s="85"/>
      <c r="L50" s="85"/>
      <c r="M50" s="85"/>
      <c r="N50" s="85"/>
      <c r="O50" s="85"/>
      <c r="P50" s="85"/>
      <c r="Q50" s="85"/>
      <c r="R50" s="85"/>
    </row>
    <row r="51" spans="2:18">
      <c r="B51" s="83"/>
      <c r="C51" s="83"/>
      <c r="D51" s="51"/>
      <c r="E51" s="48"/>
      <c r="F51" s="81"/>
      <c r="G51" s="52"/>
      <c r="H51" s="48"/>
      <c r="I51" s="85"/>
      <c r="J51" s="85"/>
      <c r="K51" s="85"/>
      <c r="L51" s="85"/>
      <c r="M51" s="85"/>
      <c r="N51" s="85"/>
      <c r="O51" s="85"/>
      <c r="P51" s="85"/>
      <c r="Q51" s="85"/>
      <c r="R51" s="85"/>
    </row>
    <row r="52" spans="2:18">
      <c r="B52" s="83"/>
      <c r="C52" s="83"/>
      <c r="D52" s="51"/>
      <c r="E52" s="48"/>
      <c r="F52" s="81"/>
      <c r="G52" s="52"/>
      <c r="H52" s="48"/>
      <c r="I52" s="85"/>
      <c r="J52" s="85"/>
      <c r="K52" s="85"/>
      <c r="L52" s="85"/>
      <c r="M52" s="85"/>
      <c r="N52" s="85"/>
      <c r="O52" s="85"/>
      <c r="P52" s="85"/>
      <c r="Q52" s="85"/>
      <c r="R52" s="85"/>
    </row>
    <row r="53" spans="2:18">
      <c r="B53" s="83"/>
      <c r="C53" s="83"/>
      <c r="D53" s="51"/>
      <c r="E53" s="48"/>
      <c r="F53" s="81"/>
      <c r="G53" s="52"/>
      <c r="H53" s="48"/>
      <c r="I53" s="85"/>
      <c r="J53" s="85"/>
      <c r="K53" s="85"/>
      <c r="L53" s="85"/>
      <c r="M53" s="85"/>
      <c r="N53" s="85"/>
      <c r="O53" s="85"/>
      <c r="P53" s="85"/>
      <c r="Q53" s="85"/>
      <c r="R53" s="85"/>
    </row>
    <row r="54" spans="2:18">
      <c r="B54" s="83"/>
      <c r="C54" s="83"/>
      <c r="D54" s="51"/>
      <c r="E54" s="48"/>
      <c r="F54" s="81"/>
      <c r="G54" s="52"/>
      <c r="H54" s="48"/>
      <c r="I54" s="85"/>
      <c r="J54" s="85"/>
      <c r="K54" s="85"/>
      <c r="L54" s="85"/>
      <c r="M54" s="85"/>
      <c r="N54" s="85"/>
      <c r="O54" s="85"/>
      <c r="P54" s="85"/>
      <c r="Q54" s="85"/>
      <c r="R54" s="85"/>
    </row>
    <row r="55" spans="2:18">
      <c r="B55" s="83"/>
      <c r="C55" s="83"/>
      <c r="D55" s="51"/>
      <c r="E55" s="48"/>
      <c r="F55" s="81"/>
      <c r="G55" s="52"/>
      <c r="H55" s="48"/>
      <c r="I55" s="85"/>
      <c r="J55" s="85"/>
      <c r="K55" s="85"/>
      <c r="L55" s="85"/>
      <c r="M55" s="85"/>
      <c r="N55" s="85"/>
      <c r="O55" s="85"/>
      <c r="P55" s="85"/>
      <c r="Q55" s="85"/>
      <c r="R55" s="85"/>
    </row>
    <row r="56" spans="2:18">
      <c r="B56" s="83"/>
      <c r="C56" s="83"/>
      <c r="D56" s="51"/>
      <c r="E56" s="48"/>
      <c r="F56" s="81"/>
      <c r="G56" s="52"/>
      <c r="H56" s="48"/>
      <c r="I56" s="85"/>
      <c r="J56" s="85"/>
      <c r="K56" s="85"/>
      <c r="L56" s="85"/>
      <c r="M56" s="85"/>
      <c r="N56" s="85"/>
      <c r="O56" s="85"/>
      <c r="P56" s="85"/>
      <c r="Q56" s="85"/>
      <c r="R56" s="85"/>
    </row>
    <row r="57" spans="2:18">
      <c r="B57" s="83"/>
      <c r="C57" s="83"/>
      <c r="D57" s="51"/>
      <c r="E57" s="48"/>
      <c r="F57" s="81"/>
      <c r="G57" s="52"/>
      <c r="H57" s="48"/>
      <c r="I57" s="85"/>
      <c r="J57" s="85"/>
      <c r="K57" s="85"/>
      <c r="L57" s="85"/>
      <c r="M57" s="85"/>
      <c r="N57" s="85"/>
      <c r="O57" s="85"/>
      <c r="P57" s="85"/>
      <c r="Q57" s="85"/>
      <c r="R57" s="85"/>
    </row>
    <row r="58" spans="2:18">
      <c r="B58" s="83"/>
      <c r="C58" s="83"/>
      <c r="D58" s="51"/>
      <c r="E58" s="48"/>
      <c r="F58" s="81"/>
      <c r="G58" s="52"/>
      <c r="H58" s="48"/>
      <c r="I58" s="85"/>
      <c r="J58" s="85"/>
      <c r="K58" s="85"/>
      <c r="L58" s="85"/>
      <c r="M58" s="85"/>
      <c r="N58" s="85"/>
      <c r="O58" s="85"/>
      <c r="P58" s="85"/>
      <c r="Q58" s="85"/>
      <c r="R58" s="85"/>
    </row>
    <row r="59" spans="2:18">
      <c r="B59" s="83"/>
      <c r="C59" s="83"/>
      <c r="D59" s="51"/>
      <c r="E59" s="48"/>
      <c r="F59" s="81"/>
      <c r="G59" s="52"/>
      <c r="H59" s="48"/>
      <c r="I59" s="85"/>
      <c r="J59" s="85"/>
      <c r="K59" s="85"/>
      <c r="L59" s="85"/>
      <c r="M59" s="85"/>
      <c r="N59" s="85"/>
      <c r="O59" s="85"/>
      <c r="P59" s="85"/>
      <c r="Q59" s="85"/>
      <c r="R59" s="85"/>
    </row>
    <row r="60" spans="2:18">
      <c r="B60" s="83"/>
      <c r="C60" s="83"/>
      <c r="D60" s="51"/>
      <c r="E60" s="48"/>
      <c r="F60" s="81"/>
      <c r="G60" s="52"/>
      <c r="H60" s="48"/>
      <c r="I60" s="85"/>
      <c r="J60" s="85"/>
      <c r="K60" s="85"/>
      <c r="L60" s="85"/>
      <c r="M60" s="85"/>
      <c r="N60" s="85"/>
      <c r="O60" s="85"/>
      <c r="P60" s="85"/>
      <c r="Q60" s="85"/>
      <c r="R60" s="85"/>
    </row>
    <row r="61" spans="2:18">
      <c r="B61" s="83"/>
      <c r="C61" s="83"/>
      <c r="D61" s="51"/>
      <c r="E61" s="48"/>
      <c r="F61" s="81"/>
      <c r="G61" s="52"/>
      <c r="H61" s="48"/>
      <c r="I61" s="85"/>
      <c r="J61" s="85"/>
      <c r="K61" s="85"/>
      <c r="L61" s="85"/>
      <c r="M61" s="85"/>
      <c r="N61" s="85"/>
      <c r="O61" s="85"/>
      <c r="P61" s="85"/>
      <c r="Q61" s="85"/>
      <c r="R61" s="85"/>
    </row>
    <row r="62" spans="2:18">
      <c r="B62" s="83"/>
      <c r="C62" s="83"/>
      <c r="D62" s="51"/>
      <c r="E62" s="48"/>
      <c r="F62" s="81"/>
      <c r="G62" s="52"/>
      <c r="H62" s="48"/>
      <c r="I62" s="85"/>
      <c r="J62" s="85"/>
      <c r="K62" s="85"/>
      <c r="L62" s="85"/>
      <c r="M62" s="85"/>
      <c r="N62" s="85"/>
      <c r="O62" s="85"/>
      <c r="P62" s="85"/>
      <c r="Q62" s="85"/>
      <c r="R62" s="85"/>
    </row>
    <row r="63" spans="2:18">
      <c r="B63" s="83"/>
      <c r="C63" s="83"/>
      <c r="D63" s="51"/>
      <c r="E63" s="48"/>
      <c r="F63" s="81"/>
      <c r="G63" s="52"/>
      <c r="H63" s="48"/>
      <c r="I63" s="85"/>
      <c r="J63" s="85"/>
      <c r="K63" s="85"/>
      <c r="L63" s="85"/>
      <c r="M63" s="85"/>
      <c r="N63" s="85"/>
      <c r="O63" s="85"/>
      <c r="P63" s="85"/>
      <c r="Q63" s="85"/>
      <c r="R63" s="85"/>
    </row>
    <row r="64" spans="2:18">
      <c r="B64" s="83"/>
      <c r="C64" s="83"/>
      <c r="D64" s="51"/>
      <c r="E64" s="48"/>
      <c r="F64" s="81"/>
      <c r="G64" s="52"/>
      <c r="H64" s="48"/>
      <c r="I64" s="85"/>
      <c r="J64" s="85"/>
      <c r="K64" s="85"/>
      <c r="L64" s="85"/>
      <c r="M64" s="85"/>
      <c r="N64" s="85"/>
      <c r="O64" s="85"/>
      <c r="P64" s="85"/>
      <c r="Q64" s="85"/>
      <c r="R64" s="85"/>
    </row>
    <row r="65" spans="2:18">
      <c r="B65" s="83"/>
      <c r="C65" s="83"/>
      <c r="D65" s="51"/>
      <c r="E65" s="48"/>
      <c r="F65" s="81"/>
      <c r="G65" s="52"/>
      <c r="H65" s="48"/>
      <c r="I65" s="85"/>
      <c r="J65" s="85"/>
      <c r="K65" s="85"/>
      <c r="L65" s="85"/>
      <c r="M65" s="85"/>
      <c r="N65" s="85"/>
      <c r="O65" s="85"/>
      <c r="P65" s="85"/>
      <c r="Q65" s="85"/>
      <c r="R65" s="85"/>
    </row>
    <row r="66" spans="2:18">
      <c r="B66" s="83"/>
      <c r="C66" s="83"/>
      <c r="D66" s="51"/>
      <c r="E66" s="48"/>
      <c r="F66" s="81"/>
      <c r="G66" s="52"/>
      <c r="H66" s="48"/>
      <c r="I66" s="85"/>
      <c r="J66" s="85"/>
      <c r="K66" s="85"/>
      <c r="L66" s="85"/>
      <c r="M66" s="85"/>
      <c r="N66" s="85"/>
      <c r="O66" s="85"/>
      <c r="P66" s="85"/>
      <c r="Q66" s="85"/>
      <c r="R66" s="85"/>
    </row>
    <row r="67" spans="2:18">
      <c r="B67" s="83"/>
      <c r="C67" s="83"/>
      <c r="D67" s="51"/>
      <c r="E67" s="48"/>
      <c r="F67" s="81"/>
      <c r="G67" s="52"/>
      <c r="H67" s="48"/>
      <c r="I67" s="85"/>
      <c r="J67" s="85"/>
      <c r="K67" s="85"/>
      <c r="L67" s="85"/>
      <c r="M67" s="85"/>
      <c r="N67" s="85"/>
      <c r="O67" s="85"/>
      <c r="P67" s="85"/>
      <c r="Q67" s="85"/>
      <c r="R67" s="85"/>
    </row>
    <row r="68" spans="2:18">
      <c r="B68" s="83"/>
      <c r="C68" s="83"/>
      <c r="D68" s="51"/>
      <c r="E68" s="48"/>
      <c r="F68" s="81"/>
      <c r="G68" s="52"/>
      <c r="H68" s="48"/>
      <c r="I68" s="85"/>
      <c r="J68" s="85"/>
      <c r="K68" s="85"/>
      <c r="L68" s="85"/>
      <c r="M68" s="85"/>
      <c r="N68" s="85"/>
      <c r="O68" s="85"/>
      <c r="P68" s="85"/>
      <c r="Q68" s="85"/>
      <c r="R68" s="85"/>
    </row>
    <row r="69" spans="2:18">
      <c r="B69" s="83"/>
      <c r="C69" s="83"/>
      <c r="D69" s="51"/>
      <c r="E69" s="48"/>
      <c r="F69" s="81"/>
      <c r="G69" s="52"/>
      <c r="H69" s="48"/>
      <c r="I69" s="85"/>
      <c r="J69" s="85"/>
      <c r="K69" s="85"/>
      <c r="L69" s="85"/>
      <c r="M69" s="85"/>
      <c r="N69" s="85"/>
      <c r="O69" s="85"/>
      <c r="P69" s="85"/>
      <c r="Q69" s="85"/>
      <c r="R69" s="85"/>
    </row>
    <row r="70" spans="2:18">
      <c r="B70" s="83"/>
      <c r="C70" s="83"/>
      <c r="D70" s="51"/>
      <c r="E70" s="48"/>
      <c r="F70" s="81"/>
      <c r="G70" s="52"/>
      <c r="H70" s="48"/>
      <c r="I70" s="85"/>
      <c r="J70" s="85"/>
      <c r="K70" s="85"/>
      <c r="L70" s="85"/>
      <c r="M70" s="85"/>
      <c r="N70" s="85"/>
      <c r="O70" s="85"/>
      <c r="P70" s="85"/>
      <c r="Q70" s="85"/>
      <c r="R70" s="85"/>
    </row>
    <row r="71" spans="2:18">
      <c r="B71" s="83"/>
      <c r="C71" s="83"/>
      <c r="D71" s="51"/>
      <c r="E71" s="48"/>
      <c r="F71" s="81"/>
      <c r="G71" s="52"/>
      <c r="H71" s="48"/>
      <c r="I71" s="85"/>
      <c r="J71" s="85"/>
      <c r="K71" s="85"/>
      <c r="L71" s="85"/>
      <c r="M71" s="85"/>
      <c r="N71" s="85"/>
      <c r="O71" s="85"/>
      <c r="P71" s="85"/>
      <c r="Q71" s="85"/>
      <c r="R71" s="85"/>
    </row>
    <row r="72" spans="2:18">
      <c r="B72" s="83"/>
      <c r="C72" s="83"/>
      <c r="D72" s="51"/>
      <c r="E72" s="48"/>
      <c r="F72" s="81"/>
      <c r="G72" s="52"/>
      <c r="H72" s="48"/>
      <c r="I72" s="85"/>
      <c r="J72" s="85"/>
      <c r="K72" s="85"/>
      <c r="L72" s="85"/>
      <c r="M72" s="85"/>
      <c r="N72" s="85"/>
      <c r="O72" s="85"/>
      <c r="P72" s="85"/>
      <c r="Q72" s="85"/>
      <c r="R72" s="85"/>
    </row>
    <row r="73" spans="2:18">
      <c r="B73" s="83"/>
      <c r="C73" s="83"/>
      <c r="D73" s="51"/>
      <c r="E73" s="48"/>
      <c r="F73" s="81"/>
      <c r="G73" s="52"/>
      <c r="H73" s="48"/>
      <c r="I73" s="85"/>
      <c r="J73" s="85"/>
      <c r="K73" s="85"/>
      <c r="L73" s="85"/>
      <c r="M73" s="85"/>
      <c r="N73" s="85"/>
      <c r="O73" s="85"/>
      <c r="P73" s="85"/>
      <c r="Q73" s="85"/>
      <c r="R73" s="85"/>
    </row>
    <row r="74" spans="2:18">
      <c r="B74" s="83"/>
      <c r="C74" s="83"/>
      <c r="D74" s="51"/>
      <c r="E74" s="48"/>
      <c r="F74" s="81"/>
      <c r="G74" s="52"/>
      <c r="H74" s="48"/>
      <c r="I74" s="85"/>
      <c r="J74" s="85"/>
      <c r="K74" s="85"/>
      <c r="L74" s="85"/>
      <c r="M74" s="85"/>
      <c r="N74" s="85"/>
      <c r="O74" s="85"/>
      <c r="P74" s="85"/>
      <c r="Q74" s="85"/>
      <c r="R74" s="85"/>
    </row>
    <row r="75" spans="2:18">
      <c r="B75" s="83"/>
      <c r="C75" s="83"/>
      <c r="D75" s="51"/>
      <c r="E75" s="48"/>
      <c r="F75" s="81"/>
      <c r="G75" s="52"/>
      <c r="H75" s="48"/>
      <c r="I75" s="85"/>
      <c r="J75" s="85"/>
      <c r="K75" s="85"/>
      <c r="L75" s="85"/>
      <c r="M75" s="85"/>
      <c r="N75" s="85"/>
      <c r="O75" s="85"/>
      <c r="P75" s="85"/>
      <c r="Q75" s="85"/>
      <c r="R75" s="85"/>
    </row>
    <row r="76" spans="2:18">
      <c r="B76" s="83"/>
      <c r="C76" s="83"/>
      <c r="D76" s="51"/>
      <c r="E76" s="48"/>
      <c r="F76" s="81"/>
      <c r="G76" s="52"/>
      <c r="H76" s="48"/>
      <c r="I76" s="85"/>
      <c r="J76" s="85"/>
      <c r="K76" s="85"/>
      <c r="L76" s="85"/>
      <c r="M76" s="85"/>
      <c r="N76" s="85"/>
      <c r="O76" s="85"/>
      <c r="P76" s="85"/>
      <c r="Q76" s="85"/>
      <c r="R76" s="85"/>
    </row>
    <row r="77" spans="2:18">
      <c r="B77" s="83"/>
      <c r="C77" s="83"/>
      <c r="D77" s="51"/>
      <c r="E77" s="48"/>
      <c r="F77" s="81"/>
      <c r="G77" s="52"/>
      <c r="H77" s="48"/>
      <c r="I77" s="85"/>
      <c r="J77" s="85"/>
      <c r="K77" s="85"/>
      <c r="L77" s="85"/>
      <c r="M77" s="85"/>
      <c r="N77" s="85"/>
      <c r="O77" s="85"/>
      <c r="P77" s="85"/>
      <c r="Q77" s="85"/>
      <c r="R77" s="85"/>
    </row>
    <row r="78" spans="2:18">
      <c r="B78" s="83"/>
      <c r="C78" s="83"/>
      <c r="D78" s="51"/>
      <c r="E78" s="48"/>
      <c r="F78" s="81"/>
      <c r="G78" s="52"/>
      <c r="H78" s="48"/>
      <c r="I78" s="85"/>
      <c r="J78" s="85"/>
      <c r="K78" s="85"/>
      <c r="L78" s="85"/>
      <c r="M78" s="85"/>
      <c r="N78" s="85"/>
      <c r="O78" s="85"/>
      <c r="P78" s="85"/>
      <c r="Q78" s="85"/>
      <c r="R78" s="85"/>
    </row>
    <row r="79" spans="2:18">
      <c r="B79" s="83"/>
      <c r="C79" s="83"/>
      <c r="D79" s="51"/>
      <c r="E79" s="48"/>
      <c r="F79" s="81"/>
      <c r="G79" s="52"/>
      <c r="H79" s="48"/>
      <c r="I79" s="85"/>
      <c r="J79" s="85"/>
      <c r="K79" s="85"/>
      <c r="L79" s="85"/>
      <c r="M79" s="85"/>
      <c r="N79" s="85"/>
      <c r="O79" s="85"/>
      <c r="P79" s="85"/>
      <c r="Q79" s="85"/>
      <c r="R79" s="85"/>
    </row>
    <row r="80" spans="2:18">
      <c r="B80" s="83"/>
      <c r="C80" s="83"/>
      <c r="D80" s="51"/>
      <c r="E80" s="48"/>
      <c r="F80" s="81"/>
      <c r="G80" s="52"/>
      <c r="H80" s="48"/>
      <c r="I80" s="85"/>
      <c r="J80" s="85"/>
      <c r="K80" s="85"/>
      <c r="L80" s="85"/>
      <c r="M80" s="85"/>
      <c r="N80" s="85"/>
      <c r="O80" s="85"/>
      <c r="P80" s="85"/>
      <c r="Q80" s="85"/>
      <c r="R80" s="85"/>
    </row>
    <row r="81" spans="2:18">
      <c r="B81" s="83"/>
      <c r="C81" s="83"/>
      <c r="D81" s="51"/>
      <c r="E81" s="48"/>
      <c r="F81" s="81"/>
      <c r="G81" s="52"/>
      <c r="H81" s="48"/>
      <c r="I81" s="85"/>
      <c r="J81" s="85"/>
      <c r="K81" s="85"/>
      <c r="L81" s="85"/>
      <c r="M81" s="85"/>
      <c r="N81" s="85"/>
      <c r="O81" s="85"/>
      <c r="P81" s="85"/>
      <c r="Q81" s="85"/>
      <c r="R81" s="85"/>
    </row>
    <row r="82" spans="2:18">
      <c r="B82" s="83"/>
      <c r="C82" s="83"/>
      <c r="D82" s="51"/>
      <c r="E82" s="48"/>
      <c r="F82" s="81"/>
      <c r="G82" s="52"/>
      <c r="H82" s="48"/>
      <c r="I82" s="85"/>
      <c r="J82" s="85"/>
      <c r="K82" s="85"/>
      <c r="L82" s="85"/>
      <c r="M82" s="85"/>
      <c r="N82" s="85"/>
      <c r="O82" s="85"/>
      <c r="P82" s="85"/>
      <c r="Q82" s="85"/>
      <c r="R82" s="85"/>
    </row>
    <row r="83" spans="2:18">
      <c r="B83" s="83"/>
      <c r="C83" s="83"/>
      <c r="D83" s="51"/>
      <c r="E83" s="48"/>
      <c r="F83" s="81"/>
      <c r="G83" s="52"/>
      <c r="H83" s="48"/>
      <c r="I83" s="85"/>
      <c r="J83" s="85"/>
      <c r="K83" s="85"/>
      <c r="L83" s="85"/>
      <c r="M83" s="85"/>
      <c r="N83" s="85"/>
      <c r="O83" s="85"/>
      <c r="P83" s="85"/>
      <c r="Q83" s="85"/>
      <c r="R83" s="85"/>
    </row>
    <row r="84" spans="2:18">
      <c r="B84" s="83"/>
      <c r="C84" s="83"/>
      <c r="D84" s="51"/>
      <c r="E84" s="48"/>
      <c r="F84" s="81"/>
      <c r="G84" s="52"/>
      <c r="H84" s="48"/>
      <c r="I84" s="85"/>
      <c r="J84" s="85"/>
      <c r="K84" s="85"/>
      <c r="L84" s="85"/>
      <c r="M84" s="85"/>
      <c r="N84" s="85"/>
      <c r="O84" s="85"/>
      <c r="P84" s="85"/>
      <c r="Q84" s="85"/>
      <c r="R84" s="85"/>
    </row>
    <row r="85" spans="2:18">
      <c r="B85" s="83"/>
      <c r="C85" s="83"/>
      <c r="D85" s="51"/>
      <c r="E85" s="48"/>
      <c r="F85" s="81"/>
      <c r="G85" s="52"/>
      <c r="H85" s="48"/>
      <c r="I85" s="85"/>
      <c r="J85" s="85"/>
      <c r="K85" s="85"/>
      <c r="L85" s="85"/>
      <c r="M85" s="85"/>
      <c r="N85" s="85"/>
      <c r="O85" s="85"/>
      <c r="P85" s="85"/>
      <c r="Q85" s="85"/>
      <c r="R85" s="85"/>
    </row>
    <row r="86" spans="2:18">
      <c r="B86" s="83"/>
      <c r="C86" s="83"/>
      <c r="D86" s="51"/>
      <c r="E86" s="48"/>
      <c r="F86" s="81"/>
      <c r="G86" s="52"/>
      <c r="H86" s="48"/>
      <c r="I86" s="85"/>
      <c r="J86" s="85"/>
      <c r="K86" s="85"/>
      <c r="L86" s="85"/>
      <c r="M86" s="85"/>
      <c r="N86" s="85"/>
      <c r="O86" s="85"/>
      <c r="P86" s="85"/>
      <c r="Q86" s="85"/>
      <c r="R86" s="85"/>
    </row>
    <row r="87" spans="2:18">
      <c r="B87" s="83"/>
      <c r="C87" s="83"/>
      <c r="D87" s="51"/>
      <c r="E87" s="48"/>
      <c r="F87" s="81"/>
      <c r="G87" s="52"/>
      <c r="H87" s="48"/>
      <c r="I87" s="85"/>
      <c r="J87" s="85"/>
      <c r="K87" s="85"/>
      <c r="L87" s="85"/>
      <c r="M87" s="85"/>
      <c r="N87" s="85"/>
      <c r="O87" s="85"/>
      <c r="P87" s="85"/>
      <c r="Q87" s="85"/>
      <c r="R87" s="85"/>
    </row>
    <row r="88" spans="2:18">
      <c r="B88" s="83"/>
      <c r="C88" s="83"/>
      <c r="D88" s="51"/>
      <c r="E88" s="48"/>
      <c r="F88" s="81"/>
      <c r="G88" s="52"/>
      <c r="H88" s="48"/>
      <c r="I88" s="85"/>
      <c r="J88" s="85"/>
      <c r="K88" s="85"/>
      <c r="L88" s="85"/>
      <c r="M88" s="85"/>
      <c r="N88" s="85"/>
      <c r="O88" s="85"/>
      <c r="P88" s="85"/>
      <c r="Q88" s="85"/>
      <c r="R88" s="85"/>
    </row>
    <row r="89" spans="2:18">
      <c r="B89" s="83"/>
      <c r="C89" s="83"/>
      <c r="D89" s="51"/>
      <c r="E89" s="48"/>
      <c r="F89" s="81"/>
      <c r="G89" s="52"/>
      <c r="H89" s="48"/>
      <c r="I89" s="85"/>
      <c r="J89" s="85"/>
      <c r="K89" s="85"/>
      <c r="L89" s="85"/>
      <c r="M89" s="85"/>
      <c r="N89" s="85"/>
      <c r="O89" s="85"/>
      <c r="P89" s="85"/>
      <c r="Q89" s="85"/>
      <c r="R89" s="85"/>
    </row>
    <row r="90" spans="2:18">
      <c r="B90" s="83"/>
      <c r="C90" s="83"/>
      <c r="D90" s="51"/>
      <c r="E90" s="48"/>
      <c r="F90" s="81"/>
      <c r="G90" s="52"/>
      <c r="H90" s="48"/>
      <c r="I90" s="85"/>
      <c r="J90" s="85"/>
      <c r="K90" s="85"/>
      <c r="L90" s="85"/>
      <c r="M90" s="85"/>
      <c r="N90" s="85"/>
      <c r="O90" s="85"/>
      <c r="P90" s="85"/>
      <c r="Q90" s="85"/>
      <c r="R90" s="85"/>
    </row>
    <row r="91" spans="2:18">
      <c r="B91" s="83"/>
      <c r="C91" s="83"/>
      <c r="D91" s="51"/>
      <c r="E91" s="48"/>
      <c r="F91" s="81"/>
      <c r="G91" s="52"/>
      <c r="H91" s="48"/>
      <c r="I91" s="85"/>
      <c r="J91" s="85"/>
      <c r="K91" s="85"/>
      <c r="L91" s="85"/>
      <c r="M91" s="85"/>
      <c r="N91" s="85"/>
      <c r="O91" s="85"/>
      <c r="P91" s="85"/>
      <c r="Q91" s="85"/>
      <c r="R91" s="85"/>
    </row>
    <row r="92" spans="2:18">
      <c r="B92" s="83"/>
      <c r="C92" s="83"/>
      <c r="D92" s="51"/>
      <c r="E92" s="48"/>
      <c r="F92" s="81"/>
      <c r="G92" s="52"/>
      <c r="H92" s="48"/>
      <c r="I92" s="85"/>
      <c r="J92" s="85"/>
      <c r="K92" s="85"/>
      <c r="L92" s="85"/>
      <c r="M92" s="85"/>
      <c r="N92" s="85"/>
      <c r="O92" s="85"/>
      <c r="P92" s="85"/>
      <c r="Q92" s="85"/>
      <c r="R92" s="85"/>
    </row>
    <row r="93" spans="2:18">
      <c r="B93" s="83"/>
      <c r="C93" s="83"/>
      <c r="D93" s="51"/>
      <c r="E93" s="48"/>
      <c r="F93" s="81"/>
      <c r="G93" s="52"/>
      <c r="H93" s="48"/>
      <c r="I93" s="85"/>
      <c r="J93" s="85"/>
      <c r="K93" s="85"/>
      <c r="L93" s="85"/>
      <c r="M93" s="85"/>
      <c r="N93" s="85"/>
      <c r="O93" s="85"/>
      <c r="P93" s="85"/>
      <c r="Q93" s="85"/>
      <c r="R93" s="85"/>
    </row>
    <row r="94" spans="2:18">
      <c r="B94" s="83"/>
      <c r="C94" s="83"/>
      <c r="D94" s="51"/>
      <c r="E94" s="48"/>
      <c r="F94" s="81"/>
      <c r="G94" s="52"/>
      <c r="H94" s="48"/>
      <c r="I94" s="85"/>
      <c r="J94" s="85"/>
      <c r="K94" s="85"/>
      <c r="L94" s="85"/>
      <c r="M94" s="85"/>
      <c r="N94" s="85"/>
      <c r="O94" s="85"/>
      <c r="P94" s="85"/>
      <c r="Q94" s="85"/>
      <c r="R94" s="85"/>
    </row>
    <row r="95" spans="2:18">
      <c r="B95" s="83"/>
      <c r="C95" s="83"/>
      <c r="D95" s="51"/>
      <c r="E95" s="48"/>
      <c r="F95" s="81"/>
      <c r="G95" s="52"/>
      <c r="H95" s="48"/>
      <c r="I95" s="85"/>
      <c r="J95" s="85"/>
      <c r="K95" s="85"/>
      <c r="L95" s="85"/>
      <c r="M95" s="85"/>
      <c r="N95" s="85"/>
      <c r="O95" s="85"/>
      <c r="P95" s="85"/>
      <c r="Q95" s="85"/>
      <c r="R95" s="85"/>
    </row>
    <row r="96" spans="2:18">
      <c r="B96" s="83"/>
      <c r="C96" s="83"/>
      <c r="D96" s="51"/>
      <c r="E96" s="48"/>
      <c r="F96" s="81"/>
      <c r="G96" s="52"/>
      <c r="H96" s="48"/>
      <c r="I96" s="85"/>
      <c r="J96" s="85"/>
      <c r="K96" s="85"/>
      <c r="L96" s="85"/>
      <c r="M96" s="85"/>
      <c r="N96" s="85"/>
      <c r="O96" s="85"/>
      <c r="P96" s="85"/>
      <c r="Q96" s="85"/>
      <c r="R96" s="85"/>
    </row>
    <row r="97" spans="2:18">
      <c r="B97" s="83"/>
      <c r="C97" s="83"/>
      <c r="D97" s="51"/>
      <c r="E97" s="48"/>
      <c r="F97" s="81"/>
      <c r="G97" s="52"/>
      <c r="H97" s="48"/>
      <c r="I97" s="85"/>
      <c r="J97" s="85"/>
      <c r="K97" s="85"/>
      <c r="L97" s="85"/>
      <c r="M97" s="85"/>
      <c r="N97" s="85"/>
      <c r="O97" s="85"/>
      <c r="P97" s="85"/>
      <c r="Q97" s="85"/>
      <c r="R97" s="85"/>
    </row>
    <row r="98" spans="2:18">
      <c r="B98" s="83"/>
      <c r="C98" s="83"/>
      <c r="D98" s="51"/>
      <c r="E98" s="48"/>
      <c r="F98" s="81"/>
      <c r="G98" s="52"/>
      <c r="H98" s="48"/>
      <c r="I98" s="85"/>
      <c r="J98" s="85"/>
      <c r="K98" s="85"/>
      <c r="L98" s="85"/>
      <c r="M98" s="85"/>
      <c r="N98" s="85"/>
      <c r="O98" s="85"/>
      <c r="P98" s="85"/>
      <c r="Q98" s="85"/>
      <c r="R98" s="85"/>
    </row>
    <row r="99" spans="2:18">
      <c r="B99" s="83"/>
      <c r="C99" s="83"/>
      <c r="D99" s="51"/>
      <c r="E99" s="48"/>
      <c r="F99" s="81"/>
      <c r="G99" s="52"/>
      <c r="H99" s="48"/>
      <c r="I99" s="85"/>
      <c r="J99" s="85"/>
      <c r="K99" s="85"/>
      <c r="L99" s="85"/>
      <c r="M99" s="85"/>
      <c r="N99" s="85"/>
      <c r="O99" s="85"/>
      <c r="P99" s="85"/>
      <c r="Q99" s="85"/>
      <c r="R99" s="85"/>
    </row>
    <row r="100" spans="2:18">
      <c r="B100" s="83"/>
      <c r="C100" s="83"/>
      <c r="D100" s="51"/>
      <c r="E100" s="48"/>
      <c r="F100" s="81"/>
      <c r="G100" s="52"/>
      <c r="H100" s="48"/>
      <c r="I100" s="85"/>
      <c r="J100" s="85"/>
      <c r="K100" s="85"/>
      <c r="L100" s="85"/>
      <c r="M100" s="85"/>
      <c r="N100" s="85"/>
      <c r="O100" s="85"/>
      <c r="P100" s="85"/>
      <c r="Q100" s="85"/>
      <c r="R100" s="85"/>
    </row>
    <row r="101" spans="2:18">
      <c r="B101" s="83"/>
      <c r="C101" s="83"/>
      <c r="D101" s="51"/>
      <c r="E101" s="48"/>
      <c r="F101" s="81"/>
      <c r="G101" s="52"/>
      <c r="H101" s="48"/>
      <c r="I101" s="85"/>
      <c r="J101" s="85"/>
      <c r="K101" s="85"/>
      <c r="L101" s="85"/>
      <c r="M101" s="85"/>
      <c r="N101" s="85"/>
      <c r="O101" s="85"/>
      <c r="P101" s="85"/>
      <c r="Q101" s="85"/>
      <c r="R101" s="85"/>
    </row>
    <row r="102" spans="2:18">
      <c r="B102" s="83"/>
      <c r="C102" s="83"/>
      <c r="D102" s="51"/>
      <c r="E102" s="48"/>
      <c r="F102" s="81"/>
      <c r="G102" s="52"/>
      <c r="H102" s="48"/>
      <c r="I102" s="85"/>
      <c r="J102" s="85"/>
      <c r="K102" s="85"/>
      <c r="L102" s="85"/>
      <c r="M102" s="85"/>
      <c r="N102" s="85"/>
      <c r="O102" s="85"/>
      <c r="P102" s="85"/>
      <c r="Q102" s="85"/>
      <c r="R102" s="85"/>
    </row>
    <row r="103" spans="2:18">
      <c r="B103" s="83"/>
      <c r="C103" s="83"/>
      <c r="D103" s="51"/>
      <c r="E103" s="48"/>
      <c r="F103" s="81"/>
      <c r="G103" s="52"/>
      <c r="H103" s="48"/>
      <c r="I103" s="85"/>
      <c r="J103" s="85"/>
      <c r="K103" s="85"/>
      <c r="L103" s="85"/>
      <c r="M103" s="85"/>
      <c r="N103" s="85"/>
      <c r="O103" s="85"/>
      <c r="P103" s="85"/>
      <c r="Q103" s="85"/>
      <c r="R103" s="85"/>
    </row>
    <row r="104" spans="2:18">
      <c r="B104" s="83"/>
      <c r="C104" s="83"/>
      <c r="D104" s="51"/>
      <c r="E104" s="48"/>
      <c r="F104" s="81"/>
      <c r="G104" s="52"/>
      <c r="H104" s="48"/>
      <c r="I104" s="85"/>
      <c r="J104" s="85"/>
      <c r="K104" s="85"/>
      <c r="L104" s="85"/>
      <c r="M104" s="85"/>
      <c r="N104" s="85"/>
      <c r="O104" s="85"/>
      <c r="P104" s="85"/>
      <c r="Q104" s="85"/>
      <c r="R104" s="85"/>
    </row>
    <row r="105" spans="2:18">
      <c r="B105" s="83"/>
      <c r="C105" s="83"/>
      <c r="D105" s="51"/>
      <c r="E105" s="48"/>
      <c r="F105" s="81"/>
      <c r="G105" s="52"/>
      <c r="H105" s="48"/>
      <c r="I105" s="85"/>
      <c r="J105" s="85"/>
      <c r="K105" s="85"/>
      <c r="L105" s="85"/>
      <c r="M105" s="85"/>
      <c r="N105" s="85"/>
      <c r="O105" s="85"/>
      <c r="P105" s="85"/>
      <c r="Q105" s="85"/>
      <c r="R105" s="85"/>
    </row>
    <row r="106" spans="2:18">
      <c r="B106" s="83"/>
      <c r="C106" s="83"/>
      <c r="D106" s="51"/>
      <c r="E106" s="48"/>
      <c r="F106" s="81"/>
      <c r="G106" s="52"/>
      <c r="H106" s="48"/>
      <c r="I106" s="85"/>
      <c r="J106" s="85"/>
      <c r="K106" s="85"/>
      <c r="L106" s="85"/>
      <c r="M106" s="85"/>
      <c r="N106" s="85"/>
      <c r="O106" s="85"/>
      <c r="P106" s="85"/>
      <c r="Q106" s="85"/>
      <c r="R106" s="85"/>
    </row>
    <row r="107" spans="2:18">
      <c r="B107" s="83"/>
      <c r="C107" s="83"/>
      <c r="D107" s="51"/>
      <c r="E107" s="48"/>
      <c r="F107" s="81"/>
      <c r="G107" s="52"/>
      <c r="H107" s="48"/>
      <c r="I107" s="85"/>
      <c r="J107" s="85"/>
      <c r="K107" s="85"/>
      <c r="L107" s="85"/>
      <c r="M107" s="85"/>
      <c r="N107" s="85"/>
      <c r="O107" s="85"/>
      <c r="P107" s="85"/>
      <c r="Q107" s="85"/>
      <c r="R107" s="85"/>
    </row>
    <row r="108" spans="2:18">
      <c r="B108" s="83"/>
      <c r="C108" s="83"/>
      <c r="D108" s="51"/>
      <c r="E108" s="48"/>
      <c r="F108" s="81"/>
      <c r="G108" s="52"/>
      <c r="H108" s="48"/>
      <c r="I108" s="85"/>
      <c r="J108" s="85"/>
      <c r="K108" s="85"/>
      <c r="L108" s="85"/>
      <c r="M108" s="85"/>
      <c r="N108" s="85"/>
      <c r="O108" s="85"/>
      <c r="P108" s="85"/>
      <c r="Q108" s="85"/>
      <c r="R108" s="85"/>
    </row>
    <row r="109" spans="2:18">
      <c r="B109" s="83"/>
      <c r="C109" s="83"/>
      <c r="D109" s="51"/>
      <c r="E109" s="48"/>
      <c r="F109" s="81"/>
      <c r="G109" s="52"/>
      <c r="H109" s="48"/>
      <c r="I109" s="85"/>
      <c r="J109" s="85"/>
      <c r="K109" s="85"/>
      <c r="L109" s="85"/>
      <c r="M109" s="85"/>
      <c r="N109" s="85"/>
      <c r="O109" s="85"/>
      <c r="P109" s="85"/>
      <c r="Q109" s="85"/>
      <c r="R109" s="85"/>
    </row>
    <row r="110" spans="2:18">
      <c r="B110" s="83"/>
      <c r="C110" s="83"/>
      <c r="D110" s="51"/>
      <c r="E110" s="48"/>
      <c r="F110" s="81"/>
      <c r="G110" s="52"/>
      <c r="H110" s="48"/>
      <c r="I110" s="85"/>
      <c r="J110" s="85"/>
      <c r="K110" s="85"/>
      <c r="L110" s="85"/>
      <c r="M110" s="85"/>
      <c r="N110" s="85"/>
      <c r="O110" s="85"/>
      <c r="P110" s="85"/>
      <c r="Q110" s="85"/>
      <c r="R110" s="85"/>
    </row>
    <row r="111" spans="2:18">
      <c r="B111" s="83"/>
      <c r="C111" s="83"/>
      <c r="D111" s="51"/>
      <c r="E111" s="48"/>
      <c r="F111" s="81"/>
      <c r="G111" s="52"/>
      <c r="H111" s="48"/>
      <c r="I111" s="85"/>
      <c r="J111" s="85"/>
      <c r="K111" s="85"/>
      <c r="L111" s="85"/>
      <c r="M111" s="85"/>
      <c r="N111" s="85"/>
      <c r="O111" s="85"/>
      <c r="P111" s="85"/>
      <c r="Q111" s="85"/>
      <c r="R111" s="85"/>
    </row>
    <row r="112" spans="2:18">
      <c r="B112" s="83"/>
      <c r="C112" s="83"/>
      <c r="D112" s="51"/>
      <c r="E112" s="48"/>
      <c r="F112" s="81"/>
      <c r="G112" s="52"/>
      <c r="H112" s="48"/>
      <c r="I112" s="85"/>
      <c r="J112" s="85"/>
      <c r="K112" s="85"/>
      <c r="L112" s="85"/>
      <c r="M112" s="85"/>
      <c r="N112" s="85"/>
      <c r="O112" s="85"/>
      <c r="P112" s="85"/>
      <c r="Q112" s="85"/>
      <c r="R112" s="85"/>
    </row>
    <row r="113" spans="2:18">
      <c r="B113" s="83"/>
      <c r="C113" s="83"/>
      <c r="D113" s="51"/>
      <c r="E113" s="48"/>
      <c r="F113" s="81"/>
      <c r="G113" s="52"/>
      <c r="H113" s="48"/>
      <c r="I113" s="85"/>
      <c r="J113" s="85"/>
      <c r="K113" s="85"/>
      <c r="L113" s="85"/>
      <c r="M113" s="85"/>
      <c r="N113" s="85"/>
      <c r="O113" s="85"/>
      <c r="P113" s="85"/>
      <c r="Q113" s="85"/>
      <c r="R113" s="85"/>
    </row>
    <row r="114" spans="2:18">
      <c r="B114" s="83"/>
      <c r="C114" s="83"/>
      <c r="D114" s="51"/>
      <c r="E114" s="48"/>
      <c r="F114" s="81"/>
      <c r="G114" s="52"/>
      <c r="H114" s="48"/>
      <c r="I114" s="85"/>
      <c r="J114" s="85"/>
      <c r="K114" s="85"/>
      <c r="L114" s="85"/>
      <c r="M114" s="85"/>
      <c r="N114" s="85"/>
      <c r="O114" s="85"/>
      <c r="P114" s="85"/>
      <c r="Q114" s="85"/>
      <c r="R114" s="85"/>
    </row>
    <row r="115" spans="2:18">
      <c r="B115" s="83"/>
      <c r="C115" s="83"/>
      <c r="D115" s="51"/>
      <c r="E115" s="48"/>
      <c r="F115" s="81"/>
      <c r="G115" s="52"/>
      <c r="H115" s="48"/>
      <c r="I115" s="85"/>
      <c r="J115" s="85"/>
      <c r="K115" s="85"/>
      <c r="L115" s="85"/>
      <c r="M115" s="85"/>
      <c r="N115" s="85"/>
      <c r="O115" s="85"/>
      <c r="P115" s="85"/>
      <c r="Q115" s="85"/>
      <c r="R115" s="85"/>
    </row>
    <row r="116" spans="2:18">
      <c r="B116" s="83"/>
      <c r="C116" s="83"/>
      <c r="D116" s="51"/>
      <c r="E116" s="48"/>
      <c r="F116" s="81"/>
      <c r="G116" s="52"/>
      <c r="H116" s="48"/>
      <c r="I116" s="85"/>
      <c r="J116" s="85"/>
      <c r="K116" s="85"/>
      <c r="L116" s="85"/>
      <c r="M116" s="85"/>
      <c r="N116" s="85"/>
      <c r="O116" s="85"/>
      <c r="P116" s="85"/>
      <c r="Q116" s="85"/>
      <c r="R116" s="85"/>
    </row>
    <row r="117" spans="2:18">
      <c r="B117" s="83"/>
      <c r="C117" s="83"/>
      <c r="D117" s="51"/>
      <c r="E117" s="48"/>
      <c r="F117" s="81"/>
      <c r="G117" s="52"/>
      <c r="H117" s="48"/>
      <c r="I117" s="85"/>
      <c r="J117" s="85"/>
      <c r="K117" s="85"/>
      <c r="L117" s="85"/>
      <c r="M117" s="85"/>
      <c r="N117" s="85"/>
      <c r="O117" s="85"/>
      <c r="P117" s="85"/>
      <c r="Q117" s="85"/>
      <c r="R117" s="85"/>
    </row>
    <row r="118" spans="2:18">
      <c r="B118" s="83"/>
      <c r="C118" s="83"/>
      <c r="D118" s="51"/>
      <c r="E118" s="48"/>
      <c r="F118" s="81"/>
      <c r="G118" s="52"/>
      <c r="H118" s="48"/>
      <c r="I118" s="85"/>
      <c r="J118" s="85"/>
      <c r="K118" s="85"/>
      <c r="L118" s="85"/>
      <c r="M118" s="85"/>
      <c r="N118" s="85"/>
      <c r="O118" s="85"/>
      <c r="P118" s="85"/>
      <c r="Q118" s="85"/>
      <c r="R118" s="85"/>
    </row>
    <row r="119" spans="2:18">
      <c r="B119" s="83"/>
      <c r="C119" s="83"/>
      <c r="D119" s="51"/>
      <c r="E119" s="48"/>
      <c r="F119" s="81"/>
      <c r="G119" s="52"/>
      <c r="H119" s="48"/>
      <c r="I119" s="85"/>
      <c r="J119" s="85"/>
      <c r="K119" s="85"/>
      <c r="L119" s="85"/>
      <c r="M119" s="85"/>
      <c r="N119" s="85"/>
      <c r="O119" s="85"/>
      <c r="P119" s="85"/>
      <c r="Q119" s="85"/>
      <c r="R119" s="85"/>
    </row>
    <row r="120" spans="2:18">
      <c r="B120" s="83"/>
      <c r="C120" s="83"/>
      <c r="D120" s="51"/>
      <c r="E120" s="48"/>
      <c r="F120" s="81"/>
      <c r="G120" s="52"/>
      <c r="H120" s="48"/>
      <c r="I120" s="85"/>
      <c r="J120" s="85"/>
      <c r="K120" s="85"/>
      <c r="L120" s="85"/>
      <c r="M120" s="85"/>
      <c r="N120" s="85"/>
      <c r="O120" s="85"/>
      <c r="P120" s="85"/>
      <c r="Q120" s="85"/>
      <c r="R120" s="85"/>
    </row>
    <row r="121" spans="2:18">
      <c r="B121" s="83"/>
      <c r="C121" s="83"/>
      <c r="D121" s="51"/>
      <c r="E121" s="48"/>
      <c r="F121" s="81"/>
      <c r="G121" s="52"/>
      <c r="H121" s="48"/>
      <c r="I121" s="85"/>
      <c r="J121" s="85"/>
      <c r="K121" s="85"/>
      <c r="L121" s="85"/>
      <c r="M121" s="85"/>
      <c r="N121" s="85"/>
      <c r="O121" s="85"/>
      <c r="P121" s="85"/>
      <c r="Q121" s="85"/>
      <c r="R121" s="85"/>
    </row>
    <row r="122" spans="2:18">
      <c r="B122" s="83"/>
      <c r="C122" s="83"/>
      <c r="D122" s="51"/>
      <c r="E122" s="48"/>
      <c r="F122" s="81"/>
      <c r="G122" s="52"/>
      <c r="H122" s="48"/>
      <c r="I122" s="85"/>
      <c r="J122" s="85"/>
      <c r="K122" s="85"/>
      <c r="L122" s="85"/>
      <c r="M122" s="85"/>
      <c r="N122" s="85"/>
      <c r="O122" s="85"/>
      <c r="P122" s="85"/>
      <c r="Q122" s="85"/>
      <c r="R122" s="85"/>
    </row>
    <row r="123" spans="2:18">
      <c r="B123" s="83"/>
      <c r="C123" s="83"/>
      <c r="D123" s="51"/>
      <c r="E123" s="48"/>
      <c r="F123" s="81"/>
      <c r="G123" s="52"/>
      <c r="H123" s="48"/>
      <c r="I123" s="85"/>
      <c r="J123" s="85"/>
      <c r="K123" s="85"/>
      <c r="L123" s="85"/>
      <c r="M123" s="85"/>
      <c r="N123" s="85"/>
      <c r="O123" s="85"/>
      <c r="P123" s="85"/>
      <c r="Q123" s="85"/>
      <c r="R123" s="85"/>
    </row>
    <row r="124" spans="2:18">
      <c r="B124" s="83"/>
      <c r="C124" s="83"/>
      <c r="D124" s="51"/>
      <c r="E124" s="48"/>
      <c r="F124" s="81"/>
      <c r="G124" s="52"/>
      <c r="H124" s="48"/>
      <c r="I124" s="85"/>
      <c r="J124" s="85"/>
      <c r="K124" s="85"/>
      <c r="L124" s="85"/>
      <c r="M124" s="85"/>
      <c r="N124" s="85"/>
      <c r="O124" s="85"/>
      <c r="P124" s="85"/>
      <c r="Q124" s="85"/>
      <c r="R124" s="85"/>
    </row>
    <row r="125" spans="2:18">
      <c r="B125" s="83"/>
      <c r="C125" s="83"/>
      <c r="D125" s="51"/>
      <c r="E125" s="48"/>
      <c r="F125" s="81"/>
      <c r="G125" s="52"/>
      <c r="H125" s="48"/>
      <c r="I125" s="85"/>
      <c r="J125" s="85"/>
      <c r="K125" s="85"/>
      <c r="L125" s="85"/>
      <c r="M125" s="85"/>
      <c r="N125" s="85"/>
      <c r="O125" s="85"/>
      <c r="P125" s="85"/>
      <c r="Q125" s="85"/>
      <c r="R125" s="85"/>
    </row>
    <row r="126" spans="2:18">
      <c r="B126" s="83"/>
      <c r="C126" s="83"/>
      <c r="D126" s="51"/>
      <c r="E126" s="48"/>
      <c r="F126" s="81"/>
      <c r="G126" s="52"/>
      <c r="H126" s="48"/>
      <c r="I126" s="85"/>
      <c r="J126" s="85"/>
      <c r="K126" s="85"/>
      <c r="L126" s="85"/>
      <c r="M126" s="85"/>
      <c r="N126" s="85"/>
      <c r="O126" s="85"/>
      <c r="P126" s="85"/>
      <c r="Q126" s="85"/>
      <c r="R126" s="85"/>
    </row>
    <row r="127" spans="2:18">
      <c r="B127" s="83"/>
      <c r="C127" s="83"/>
      <c r="D127" s="51"/>
      <c r="E127" s="48"/>
      <c r="F127" s="81"/>
      <c r="G127" s="52"/>
      <c r="H127" s="48"/>
      <c r="I127" s="85"/>
      <c r="J127" s="85"/>
      <c r="K127" s="85"/>
      <c r="L127" s="85"/>
      <c r="M127" s="85"/>
      <c r="N127" s="85"/>
      <c r="O127" s="85"/>
      <c r="P127" s="85"/>
      <c r="Q127" s="85"/>
      <c r="R127" s="85"/>
    </row>
    <row r="128" spans="2:18">
      <c r="B128" s="83"/>
      <c r="C128" s="83"/>
      <c r="D128" s="51"/>
      <c r="E128" s="48"/>
      <c r="F128" s="81"/>
      <c r="G128" s="52"/>
      <c r="H128" s="48"/>
      <c r="I128" s="85"/>
      <c r="J128" s="85"/>
      <c r="K128" s="85"/>
      <c r="L128" s="85"/>
      <c r="M128" s="85"/>
      <c r="N128" s="85"/>
      <c r="O128" s="85"/>
      <c r="P128" s="85"/>
      <c r="Q128" s="85"/>
      <c r="R128" s="85"/>
    </row>
    <row r="129" spans="2:18">
      <c r="B129" s="83"/>
      <c r="C129" s="83"/>
      <c r="D129" s="51"/>
      <c r="E129" s="48"/>
      <c r="F129" s="81"/>
      <c r="G129" s="52"/>
      <c r="H129" s="48"/>
      <c r="I129" s="85"/>
      <c r="J129" s="85"/>
      <c r="K129" s="85"/>
      <c r="L129" s="85"/>
      <c r="M129" s="85"/>
      <c r="N129" s="85"/>
      <c r="O129" s="85"/>
      <c r="P129" s="85"/>
      <c r="Q129" s="85"/>
      <c r="R129" s="85"/>
    </row>
    <row r="130" spans="2:18">
      <c r="B130" s="83"/>
      <c r="C130" s="83"/>
      <c r="D130" s="51"/>
      <c r="E130" s="48"/>
      <c r="F130" s="81"/>
      <c r="G130" s="52"/>
      <c r="H130" s="48"/>
      <c r="I130" s="85"/>
      <c r="J130" s="85"/>
      <c r="K130" s="85"/>
      <c r="L130" s="85"/>
      <c r="M130" s="85"/>
      <c r="N130" s="85"/>
      <c r="O130" s="85"/>
      <c r="P130" s="85"/>
      <c r="Q130" s="85"/>
      <c r="R130" s="85"/>
    </row>
    <row r="131" spans="2:18">
      <c r="B131" s="83"/>
      <c r="C131" s="83"/>
      <c r="D131" s="51"/>
      <c r="E131" s="48"/>
      <c r="F131" s="81"/>
      <c r="G131" s="52"/>
      <c r="H131" s="48"/>
      <c r="I131" s="85"/>
      <c r="J131" s="85"/>
      <c r="K131" s="85"/>
      <c r="L131" s="85"/>
      <c r="M131" s="85"/>
      <c r="N131" s="85"/>
      <c r="O131" s="85"/>
      <c r="P131" s="85"/>
      <c r="Q131" s="85"/>
      <c r="R131" s="85"/>
    </row>
    <row r="132" spans="2:18">
      <c r="B132" s="83"/>
      <c r="C132" s="83"/>
      <c r="D132" s="51"/>
      <c r="E132" s="48"/>
      <c r="F132" s="81"/>
      <c r="G132" s="52"/>
      <c r="H132" s="48"/>
      <c r="I132" s="85"/>
      <c r="J132" s="85"/>
      <c r="K132" s="85"/>
      <c r="L132" s="85"/>
      <c r="M132" s="85"/>
      <c r="N132" s="85"/>
      <c r="O132" s="85"/>
      <c r="P132" s="85"/>
      <c r="Q132" s="85"/>
      <c r="R132" s="85"/>
    </row>
    <row r="133" spans="2:18">
      <c r="B133" s="83"/>
      <c r="C133" s="83"/>
      <c r="D133" s="51"/>
      <c r="E133" s="48"/>
      <c r="F133" s="81"/>
      <c r="G133" s="52"/>
      <c r="H133" s="48"/>
      <c r="I133" s="85"/>
      <c r="J133" s="85"/>
      <c r="K133" s="85"/>
      <c r="L133" s="85"/>
      <c r="M133" s="85"/>
      <c r="N133" s="85"/>
      <c r="O133" s="85"/>
      <c r="P133" s="85"/>
      <c r="Q133" s="85"/>
      <c r="R133" s="85"/>
    </row>
    <row r="134" spans="2:18">
      <c r="B134" s="83"/>
      <c r="C134" s="83"/>
      <c r="D134" s="51"/>
      <c r="E134" s="48"/>
      <c r="F134" s="81"/>
      <c r="G134" s="52"/>
      <c r="H134" s="48"/>
      <c r="I134" s="85"/>
      <c r="J134" s="85"/>
      <c r="K134" s="85"/>
      <c r="L134" s="85"/>
      <c r="M134" s="85"/>
      <c r="N134" s="85"/>
      <c r="O134" s="85"/>
      <c r="P134" s="85"/>
      <c r="Q134" s="85"/>
      <c r="R134" s="85"/>
    </row>
    <row r="135" spans="2:18">
      <c r="B135" s="83"/>
      <c r="C135" s="83"/>
      <c r="D135" s="51"/>
      <c r="E135" s="48"/>
      <c r="F135" s="81"/>
      <c r="G135" s="52"/>
      <c r="H135" s="48"/>
      <c r="I135" s="85"/>
      <c r="J135" s="85"/>
      <c r="K135" s="85"/>
      <c r="L135" s="85"/>
      <c r="M135" s="85"/>
      <c r="N135" s="85"/>
      <c r="O135" s="85"/>
      <c r="P135" s="85"/>
      <c r="Q135" s="85"/>
      <c r="R135" s="85"/>
    </row>
    <row r="136" spans="2:18">
      <c r="B136" s="83"/>
      <c r="C136" s="83"/>
      <c r="D136" s="51"/>
      <c r="E136" s="48"/>
      <c r="F136" s="81"/>
      <c r="G136" s="52"/>
      <c r="H136" s="48"/>
      <c r="I136" s="85"/>
      <c r="J136" s="85"/>
      <c r="K136" s="85"/>
      <c r="L136" s="85"/>
      <c r="M136" s="85"/>
      <c r="N136" s="85"/>
      <c r="O136" s="85"/>
      <c r="P136" s="85"/>
      <c r="Q136" s="85"/>
      <c r="R136" s="85"/>
    </row>
    <row r="137" spans="2:18">
      <c r="B137" s="83"/>
      <c r="C137" s="83"/>
      <c r="D137" s="51"/>
      <c r="E137" s="48"/>
      <c r="F137" s="81"/>
      <c r="G137" s="52"/>
      <c r="H137" s="48"/>
      <c r="I137" s="85"/>
      <c r="J137" s="85"/>
      <c r="K137" s="85"/>
      <c r="L137" s="85"/>
      <c r="M137" s="85"/>
      <c r="N137" s="85"/>
      <c r="O137" s="85"/>
      <c r="P137" s="85"/>
      <c r="Q137" s="85"/>
      <c r="R137" s="85"/>
    </row>
    <row r="138" spans="2:18">
      <c r="B138" s="83"/>
      <c r="C138" s="83"/>
      <c r="D138" s="51"/>
      <c r="E138" s="48"/>
      <c r="F138" s="81"/>
      <c r="G138" s="52"/>
      <c r="H138" s="48"/>
      <c r="I138" s="85"/>
      <c r="J138" s="85"/>
      <c r="K138" s="85"/>
      <c r="L138" s="85"/>
      <c r="M138" s="85"/>
      <c r="N138" s="85"/>
      <c r="O138" s="85"/>
      <c r="P138" s="85"/>
      <c r="Q138" s="85"/>
      <c r="R138" s="85"/>
    </row>
    <row r="139" spans="2:18">
      <c r="B139" s="83"/>
      <c r="C139" s="83"/>
      <c r="D139" s="51"/>
      <c r="E139" s="48"/>
      <c r="F139" s="81"/>
      <c r="G139" s="52"/>
      <c r="H139" s="48"/>
      <c r="I139" s="85"/>
      <c r="J139" s="85"/>
      <c r="K139" s="85"/>
      <c r="L139" s="85"/>
      <c r="M139" s="85"/>
      <c r="N139" s="85"/>
      <c r="O139" s="85"/>
      <c r="P139" s="85"/>
      <c r="Q139" s="85"/>
      <c r="R139" s="85"/>
    </row>
    <row r="140" spans="2:18">
      <c r="B140" s="83"/>
      <c r="C140" s="83"/>
      <c r="D140" s="51"/>
      <c r="E140" s="48"/>
      <c r="F140" s="81"/>
      <c r="G140" s="52"/>
      <c r="H140" s="48"/>
      <c r="I140" s="85"/>
      <c r="J140" s="85"/>
      <c r="K140" s="85"/>
      <c r="L140" s="85"/>
      <c r="M140" s="85"/>
      <c r="N140" s="85"/>
      <c r="O140" s="85"/>
      <c r="P140" s="85"/>
      <c r="Q140" s="85"/>
      <c r="R140" s="85"/>
    </row>
    <row r="141" spans="2:18">
      <c r="B141" s="83"/>
      <c r="C141" s="83"/>
      <c r="D141" s="51"/>
      <c r="E141" s="48"/>
      <c r="F141" s="81"/>
      <c r="G141" s="52"/>
      <c r="H141" s="48"/>
      <c r="I141" s="85"/>
      <c r="J141" s="85"/>
      <c r="K141" s="85"/>
      <c r="L141" s="85"/>
      <c r="M141" s="85"/>
      <c r="N141" s="85"/>
      <c r="O141" s="85"/>
      <c r="P141" s="85"/>
      <c r="Q141" s="85"/>
      <c r="R141" s="85"/>
    </row>
    <row r="142" spans="2:18">
      <c r="B142" s="83"/>
      <c r="C142" s="83"/>
      <c r="D142" s="51"/>
      <c r="E142" s="48"/>
      <c r="F142" s="81"/>
      <c r="G142" s="52"/>
      <c r="H142" s="48"/>
      <c r="I142" s="85"/>
      <c r="J142" s="85"/>
      <c r="K142" s="85"/>
      <c r="L142" s="85"/>
      <c r="M142" s="85"/>
      <c r="N142" s="85"/>
      <c r="O142" s="85"/>
      <c r="P142" s="85"/>
      <c r="Q142" s="85"/>
      <c r="R142" s="85"/>
    </row>
    <row r="143" spans="2:18">
      <c r="B143" s="83"/>
      <c r="C143" s="83"/>
      <c r="D143" s="51"/>
      <c r="E143" s="48"/>
      <c r="F143" s="81"/>
      <c r="G143" s="52"/>
      <c r="H143" s="48"/>
      <c r="I143" s="85"/>
      <c r="J143" s="85"/>
      <c r="K143" s="85"/>
      <c r="L143" s="85"/>
      <c r="M143" s="85"/>
      <c r="N143" s="85"/>
      <c r="O143" s="85"/>
      <c r="P143" s="85"/>
      <c r="Q143" s="85"/>
      <c r="R143" s="85"/>
    </row>
    <row r="144" spans="2:18">
      <c r="B144" s="83"/>
      <c r="C144" s="83"/>
      <c r="D144" s="51"/>
      <c r="E144" s="48"/>
      <c r="F144" s="81"/>
      <c r="G144" s="52"/>
      <c r="H144" s="48"/>
      <c r="I144" s="85"/>
      <c r="J144" s="85"/>
      <c r="K144" s="85"/>
      <c r="L144" s="85"/>
      <c r="M144" s="85"/>
      <c r="N144" s="85"/>
      <c r="O144" s="85"/>
      <c r="P144" s="85"/>
      <c r="Q144" s="85"/>
      <c r="R144" s="85"/>
    </row>
    <row r="145" spans="2:18">
      <c r="B145" s="83"/>
      <c r="C145" s="83"/>
      <c r="D145" s="51"/>
      <c r="E145" s="48"/>
      <c r="F145" s="81"/>
      <c r="G145" s="52"/>
      <c r="H145" s="48"/>
      <c r="I145" s="85"/>
      <c r="J145" s="85"/>
      <c r="K145" s="85"/>
      <c r="L145" s="85"/>
      <c r="M145" s="85"/>
      <c r="N145" s="85"/>
      <c r="O145" s="85"/>
      <c r="P145" s="85"/>
      <c r="Q145" s="85"/>
      <c r="R145" s="85"/>
    </row>
    <row r="146" spans="2:18">
      <c r="B146" s="83"/>
      <c r="C146" s="83"/>
      <c r="D146" s="51"/>
      <c r="E146" s="48"/>
      <c r="F146" s="81"/>
      <c r="G146" s="52"/>
      <c r="H146" s="48"/>
      <c r="I146" s="85"/>
      <c r="J146" s="85"/>
      <c r="K146" s="85"/>
      <c r="L146" s="85"/>
      <c r="M146" s="85"/>
      <c r="N146" s="85"/>
      <c r="O146" s="85"/>
      <c r="P146" s="85"/>
      <c r="Q146" s="85"/>
      <c r="R146" s="85"/>
    </row>
    <row r="147" spans="2:18">
      <c r="B147" s="83"/>
      <c r="C147" s="83"/>
      <c r="D147" s="51"/>
      <c r="E147" s="48"/>
      <c r="F147" s="81"/>
      <c r="G147" s="52"/>
      <c r="H147" s="48"/>
      <c r="I147" s="85"/>
      <c r="J147" s="85"/>
      <c r="K147" s="85"/>
      <c r="L147" s="85"/>
      <c r="M147" s="85"/>
      <c r="N147" s="85"/>
      <c r="O147" s="85"/>
      <c r="P147" s="85"/>
      <c r="Q147" s="85"/>
      <c r="R147" s="85"/>
    </row>
    <row r="148" spans="2:18">
      <c r="B148" s="83"/>
      <c r="C148" s="83"/>
      <c r="D148" s="51"/>
      <c r="E148" s="48"/>
      <c r="F148" s="81"/>
      <c r="G148" s="52"/>
      <c r="H148" s="48"/>
      <c r="I148" s="85"/>
      <c r="J148" s="85"/>
      <c r="K148" s="85"/>
      <c r="L148" s="85"/>
      <c r="M148" s="85"/>
      <c r="N148" s="85"/>
      <c r="O148" s="85"/>
      <c r="P148" s="85"/>
      <c r="Q148" s="85"/>
      <c r="R148" s="85"/>
    </row>
    <row r="149" spans="2:18">
      <c r="B149" s="83"/>
      <c r="C149" s="83"/>
      <c r="D149" s="51"/>
      <c r="E149" s="48"/>
      <c r="F149" s="81"/>
      <c r="G149" s="52"/>
      <c r="H149" s="48"/>
      <c r="I149" s="85"/>
      <c r="J149" s="85"/>
      <c r="K149" s="85"/>
      <c r="L149" s="85"/>
      <c r="M149" s="85"/>
      <c r="N149" s="85"/>
      <c r="O149" s="85"/>
      <c r="P149" s="85"/>
      <c r="Q149" s="85"/>
      <c r="R149" s="85"/>
    </row>
    <row r="150" spans="2:18">
      <c r="B150" s="83"/>
      <c r="C150" s="83"/>
      <c r="D150" s="51"/>
      <c r="E150" s="48"/>
      <c r="F150" s="81"/>
      <c r="G150" s="52"/>
      <c r="H150" s="48"/>
      <c r="I150" s="85"/>
      <c r="J150" s="85"/>
      <c r="K150" s="85"/>
      <c r="L150" s="85"/>
      <c r="M150" s="85"/>
      <c r="N150" s="85"/>
      <c r="O150" s="85"/>
      <c r="P150" s="85"/>
      <c r="Q150" s="85"/>
      <c r="R150" s="85"/>
    </row>
    <row r="151" spans="2:18">
      <c r="B151" s="83"/>
      <c r="C151" s="83"/>
      <c r="D151" s="51"/>
      <c r="E151" s="48"/>
      <c r="F151" s="81"/>
      <c r="G151" s="52"/>
      <c r="H151" s="48"/>
      <c r="I151" s="85"/>
      <c r="J151" s="85"/>
      <c r="K151" s="85"/>
      <c r="L151" s="85"/>
      <c r="M151" s="85"/>
      <c r="N151" s="85"/>
      <c r="O151" s="85"/>
      <c r="P151" s="85"/>
      <c r="Q151" s="85"/>
      <c r="R151" s="85"/>
    </row>
    <row r="152" spans="2:18">
      <c r="B152" s="83"/>
      <c r="C152" s="83"/>
      <c r="D152" s="51"/>
      <c r="E152" s="48"/>
      <c r="F152" s="81"/>
      <c r="G152" s="52"/>
      <c r="H152" s="48"/>
      <c r="I152" s="85"/>
      <c r="J152" s="85"/>
      <c r="K152" s="85"/>
      <c r="L152" s="85"/>
      <c r="M152" s="85"/>
      <c r="N152" s="85"/>
      <c r="O152" s="85"/>
      <c r="P152" s="85"/>
      <c r="Q152" s="85"/>
      <c r="R152" s="85"/>
    </row>
    <row r="153" spans="2:18">
      <c r="B153" s="83"/>
      <c r="C153" s="83"/>
      <c r="D153" s="51"/>
      <c r="E153" s="48"/>
      <c r="F153" s="81"/>
      <c r="G153" s="52"/>
      <c r="H153" s="48"/>
      <c r="I153" s="85"/>
      <c r="J153" s="85"/>
      <c r="K153" s="85"/>
      <c r="L153" s="85"/>
      <c r="M153" s="85"/>
      <c r="N153" s="85"/>
      <c r="O153" s="85"/>
      <c r="P153" s="85"/>
      <c r="Q153" s="85"/>
      <c r="R153" s="85"/>
    </row>
    <row r="154" spans="2:18">
      <c r="B154" s="83"/>
      <c r="C154" s="83"/>
      <c r="D154" s="51"/>
      <c r="E154" s="48"/>
      <c r="F154" s="81"/>
      <c r="G154" s="52"/>
      <c r="H154" s="48"/>
      <c r="I154" s="85"/>
      <c r="J154" s="85"/>
      <c r="K154" s="85"/>
      <c r="L154" s="85"/>
      <c r="M154" s="85"/>
      <c r="N154" s="85"/>
      <c r="O154" s="85"/>
      <c r="P154" s="85"/>
      <c r="Q154" s="85"/>
      <c r="R154" s="85"/>
    </row>
    <row r="155" spans="2:18">
      <c r="B155" s="83"/>
      <c r="C155" s="83"/>
      <c r="D155" s="51"/>
      <c r="E155" s="48"/>
      <c r="F155" s="81"/>
      <c r="G155" s="52"/>
      <c r="H155" s="48"/>
      <c r="I155" s="85"/>
      <c r="J155" s="85"/>
      <c r="K155" s="85"/>
      <c r="L155" s="85"/>
      <c r="M155" s="85"/>
      <c r="N155" s="85"/>
      <c r="O155" s="85"/>
      <c r="P155" s="85"/>
      <c r="Q155" s="85"/>
      <c r="R155" s="85"/>
    </row>
    <row r="156" spans="2:18">
      <c r="B156" s="83"/>
      <c r="C156" s="83"/>
      <c r="D156" s="51"/>
      <c r="E156" s="48"/>
      <c r="F156" s="81"/>
      <c r="G156" s="52"/>
      <c r="H156" s="48"/>
      <c r="I156" s="85"/>
      <c r="J156" s="85"/>
      <c r="K156" s="85"/>
      <c r="L156" s="85"/>
      <c r="M156" s="85"/>
      <c r="N156" s="85"/>
      <c r="O156" s="85"/>
      <c r="P156" s="85"/>
      <c r="Q156" s="85"/>
      <c r="R156" s="85"/>
    </row>
    <row r="157" spans="2:18">
      <c r="B157" s="83"/>
      <c r="C157" s="83"/>
      <c r="D157" s="51"/>
      <c r="E157" s="48"/>
      <c r="F157" s="81"/>
      <c r="G157" s="52"/>
      <c r="H157" s="48"/>
      <c r="I157" s="85"/>
      <c r="J157" s="85"/>
      <c r="K157" s="85"/>
      <c r="L157" s="85"/>
      <c r="M157" s="85"/>
      <c r="N157" s="85"/>
      <c r="O157" s="85"/>
      <c r="P157" s="85"/>
      <c r="Q157" s="85"/>
      <c r="R157" s="85"/>
    </row>
    <row r="158" spans="2:18">
      <c r="B158" s="83"/>
      <c r="C158" s="83"/>
      <c r="D158" s="51"/>
      <c r="E158" s="48"/>
      <c r="F158" s="81"/>
      <c r="G158" s="52"/>
      <c r="H158" s="48"/>
      <c r="I158" s="85"/>
      <c r="J158" s="85"/>
      <c r="K158" s="85"/>
      <c r="L158" s="85"/>
      <c r="M158" s="85"/>
      <c r="N158" s="85"/>
      <c r="O158" s="85"/>
      <c r="P158" s="85"/>
      <c r="Q158" s="85"/>
      <c r="R158" s="85"/>
    </row>
    <row r="159" spans="2:18">
      <c r="B159" s="83"/>
      <c r="C159" s="83"/>
      <c r="D159" s="51"/>
      <c r="E159" s="48"/>
      <c r="F159" s="81"/>
      <c r="G159" s="52"/>
      <c r="H159" s="48"/>
      <c r="I159" s="85"/>
      <c r="J159" s="85"/>
      <c r="K159" s="85"/>
      <c r="L159" s="85"/>
      <c r="M159" s="85"/>
      <c r="N159" s="85"/>
      <c r="O159" s="85"/>
      <c r="P159" s="85"/>
      <c r="Q159" s="85"/>
      <c r="R159" s="85"/>
    </row>
    <row r="160" spans="2:18">
      <c r="B160" s="83"/>
      <c r="C160" s="83"/>
      <c r="D160" s="51"/>
      <c r="E160" s="48"/>
      <c r="F160" s="81"/>
      <c r="G160" s="52"/>
      <c r="H160" s="48"/>
      <c r="I160" s="85"/>
      <c r="J160" s="85"/>
      <c r="K160" s="85"/>
      <c r="L160" s="85"/>
      <c r="M160" s="85"/>
      <c r="N160" s="85"/>
      <c r="O160" s="85"/>
      <c r="P160" s="85"/>
      <c r="Q160" s="85"/>
      <c r="R160" s="85"/>
    </row>
    <row r="161" spans="2:18">
      <c r="B161" s="83"/>
      <c r="C161" s="83"/>
      <c r="D161" s="51"/>
      <c r="E161" s="48"/>
      <c r="F161" s="81"/>
      <c r="G161" s="52"/>
      <c r="H161" s="48"/>
      <c r="I161" s="85"/>
      <c r="J161" s="85"/>
      <c r="K161" s="85"/>
      <c r="L161" s="85"/>
      <c r="M161" s="85"/>
      <c r="N161" s="85"/>
      <c r="O161" s="85"/>
      <c r="P161" s="85"/>
      <c r="Q161" s="85"/>
      <c r="R161" s="85"/>
    </row>
    <row r="162" spans="2:18">
      <c r="B162" s="83"/>
      <c r="C162" s="83"/>
      <c r="D162" s="51"/>
      <c r="E162" s="48"/>
      <c r="F162" s="81"/>
      <c r="G162" s="52"/>
      <c r="H162" s="48"/>
      <c r="I162" s="85"/>
      <c r="J162" s="85"/>
      <c r="K162" s="85"/>
      <c r="L162" s="85"/>
      <c r="M162" s="85"/>
      <c r="N162" s="85"/>
      <c r="O162" s="85"/>
      <c r="P162" s="85"/>
      <c r="Q162" s="85"/>
      <c r="R162" s="85"/>
    </row>
    <row r="163" spans="2:18">
      <c r="B163" s="83"/>
      <c r="C163" s="83"/>
      <c r="D163" s="51"/>
      <c r="E163" s="48"/>
      <c r="F163" s="81"/>
      <c r="G163" s="52"/>
      <c r="H163" s="48"/>
      <c r="I163" s="85"/>
      <c r="J163" s="85"/>
      <c r="K163" s="85"/>
      <c r="L163" s="85"/>
      <c r="M163" s="85"/>
      <c r="N163" s="85"/>
      <c r="O163" s="85"/>
      <c r="P163" s="85"/>
      <c r="Q163" s="85"/>
      <c r="R163" s="85"/>
    </row>
    <row r="164" spans="2:18">
      <c r="B164" s="83"/>
      <c r="C164" s="83"/>
      <c r="D164" s="51"/>
      <c r="E164" s="48"/>
      <c r="F164" s="81"/>
      <c r="G164" s="52"/>
      <c r="H164" s="48"/>
      <c r="I164" s="85"/>
      <c r="J164" s="85"/>
      <c r="K164" s="85"/>
      <c r="L164" s="85"/>
      <c r="M164" s="85"/>
      <c r="N164" s="85"/>
      <c r="O164" s="85"/>
      <c r="P164" s="85"/>
      <c r="Q164" s="85"/>
      <c r="R164" s="85"/>
    </row>
    <row r="165" spans="2:18">
      <c r="B165" s="83"/>
      <c r="C165" s="83"/>
      <c r="D165" s="51"/>
      <c r="E165" s="48"/>
      <c r="F165" s="81"/>
      <c r="G165" s="52"/>
      <c r="H165" s="48"/>
      <c r="I165" s="85"/>
      <c r="J165" s="85"/>
      <c r="K165" s="85"/>
      <c r="L165" s="85"/>
      <c r="M165" s="85"/>
      <c r="N165" s="85"/>
      <c r="O165" s="85"/>
      <c r="P165" s="85"/>
      <c r="Q165" s="85"/>
      <c r="R165" s="85"/>
    </row>
    <row r="166" spans="2:18">
      <c r="B166" s="83"/>
      <c r="C166" s="83"/>
      <c r="D166" s="51"/>
      <c r="E166" s="48"/>
      <c r="F166" s="81"/>
      <c r="G166" s="52"/>
      <c r="H166" s="48"/>
      <c r="I166" s="85"/>
      <c r="J166" s="85"/>
      <c r="K166" s="85"/>
      <c r="L166" s="85"/>
      <c r="M166" s="85"/>
      <c r="N166" s="85"/>
      <c r="O166" s="85"/>
      <c r="P166" s="85"/>
      <c r="Q166" s="85"/>
      <c r="R166" s="85"/>
    </row>
    <row r="167" spans="2:18">
      <c r="B167" s="83"/>
      <c r="C167" s="83"/>
      <c r="D167" s="51"/>
      <c r="E167" s="48"/>
      <c r="F167" s="81"/>
      <c r="G167" s="52"/>
      <c r="H167" s="48"/>
      <c r="I167" s="85"/>
      <c r="J167" s="85"/>
      <c r="K167" s="85"/>
      <c r="L167" s="85"/>
      <c r="M167" s="85"/>
      <c r="N167" s="85"/>
      <c r="O167" s="85"/>
      <c r="P167" s="85"/>
      <c r="Q167" s="85"/>
      <c r="R167" s="85"/>
    </row>
    <row r="168" spans="2:18">
      <c r="B168" s="83"/>
      <c r="C168" s="83"/>
      <c r="D168" s="51"/>
      <c r="E168" s="48"/>
      <c r="F168" s="81"/>
      <c r="G168" s="52"/>
      <c r="H168" s="48"/>
      <c r="I168" s="85"/>
      <c r="J168" s="85"/>
      <c r="K168" s="85"/>
      <c r="L168" s="85"/>
      <c r="M168" s="85"/>
      <c r="N168" s="85"/>
      <c r="O168" s="85"/>
      <c r="P168" s="85"/>
      <c r="Q168" s="85"/>
      <c r="R168" s="85"/>
    </row>
    <row r="169" spans="2:18">
      <c r="B169" s="83"/>
      <c r="C169" s="83"/>
      <c r="D169" s="51"/>
      <c r="E169" s="48"/>
      <c r="F169" s="81"/>
      <c r="G169" s="52"/>
      <c r="H169" s="48"/>
      <c r="I169" s="85"/>
      <c r="J169" s="85"/>
      <c r="K169" s="85"/>
      <c r="L169" s="85"/>
      <c r="M169" s="85"/>
      <c r="N169" s="85"/>
      <c r="O169" s="85"/>
      <c r="P169" s="85"/>
      <c r="Q169" s="85"/>
      <c r="R169" s="85"/>
    </row>
    <row r="170" spans="2:18">
      <c r="B170" s="83"/>
      <c r="C170" s="83"/>
      <c r="D170" s="51"/>
      <c r="E170" s="48"/>
      <c r="F170" s="81"/>
      <c r="G170" s="52"/>
      <c r="H170" s="48"/>
      <c r="I170" s="85"/>
      <c r="J170" s="85"/>
      <c r="K170" s="85"/>
      <c r="L170" s="85"/>
      <c r="M170" s="85"/>
      <c r="N170" s="85"/>
      <c r="O170" s="85"/>
      <c r="P170" s="85"/>
      <c r="Q170" s="85"/>
      <c r="R170" s="85"/>
    </row>
    <row r="171" spans="2:18">
      <c r="B171" s="83"/>
      <c r="C171" s="83"/>
      <c r="D171" s="51"/>
      <c r="E171" s="48"/>
      <c r="F171" s="81"/>
      <c r="G171" s="52"/>
      <c r="H171" s="48"/>
      <c r="I171" s="85"/>
      <c r="J171" s="85"/>
      <c r="K171" s="85"/>
      <c r="L171" s="85"/>
      <c r="M171" s="85"/>
      <c r="N171" s="85"/>
      <c r="O171" s="85"/>
      <c r="P171" s="85"/>
      <c r="Q171" s="85"/>
      <c r="R171" s="85"/>
    </row>
    <row r="172" spans="2:18">
      <c r="B172" s="83"/>
      <c r="C172" s="83"/>
      <c r="D172" s="51"/>
      <c r="E172" s="48"/>
      <c r="F172" s="81"/>
      <c r="G172" s="52"/>
      <c r="H172" s="48"/>
      <c r="I172" s="85"/>
      <c r="J172" s="85"/>
      <c r="K172" s="85"/>
      <c r="L172" s="85"/>
      <c r="M172" s="85"/>
      <c r="N172" s="85"/>
      <c r="O172" s="85"/>
      <c r="P172" s="85"/>
      <c r="Q172" s="85"/>
      <c r="R172" s="85"/>
    </row>
    <row r="173" spans="2:18">
      <c r="B173" s="83"/>
      <c r="C173" s="83"/>
      <c r="D173" s="51"/>
      <c r="E173" s="48"/>
      <c r="F173" s="81"/>
      <c r="G173" s="52"/>
      <c r="H173" s="48"/>
      <c r="I173" s="85"/>
      <c r="J173" s="85"/>
      <c r="K173" s="85"/>
      <c r="L173" s="85"/>
      <c r="M173" s="85"/>
      <c r="N173" s="85"/>
      <c r="O173" s="85"/>
      <c r="P173" s="85"/>
      <c r="Q173" s="85"/>
      <c r="R173" s="85"/>
    </row>
    <row r="174" spans="2:18">
      <c r="B174" s="83"/>
      <c r="C174" s="83"/>
      <c r="D174" s="51"/>
      <c r="E174" s="48"/>
      <c r="F174" s="81"/>
      <c r="G174" s="52"/>
      <c r="H174" s="48"/>
      <c r="I174" s="85"/>
      <c r="J174" s="85"/>
      <c r="K174" s="85"/>
      <c r="L174" s="85"/>
      <c r="M174" s="85"/>
      <c r="N174" s="85"/>
      <c r="O174" s="85"/>
      <c r="P174" s="85"/>
      <c r="Q174" s="85"/>
      <c r="R174" s="85"/>
    </row>
    <row r="175" spans="2:18">
      <c r="B175" s="83"/>
      <c r="C175" s="83"/>
      <c r="D175" s="51"/>
      <c r="E175" s="48"/>
      <c r="F175" s="81"/>
      <c r="G175" s="52"/>
      <c r="H175" s="48"/>
      <c r="I175" s="85"/>
      <c r="J175" s="85"/>
      <c r="K175" s="85"/>
      <c r="L175" s="85"/>
      <c r="M175" s="85"/>
      <c r="N175" s="85"/>
      <c r="O175" s="85"/>
      <c r="P175" s="85"/>
      <c r="Q175" s="85"/>
      <c r="R175" s="85"/>
    </row>
    <row r="176" spans="2:18">
      <c r="B176" s="83"/>
      <c r="C176" s="83"/>
      <c r="D176" s="51"/>
      <c r="E176" s="48"/>
      <c r="F176" s="81"/>
      <c r="G176" s="52"/>
      <c r="H176" s="48"/>
      <c r="I176" s="85"/>
      <c r="J176" s="85"/>
      <c r="K176" s="85"/>
      <c r="L176" s="85"/>
      <c r="M176" s="85"/>
      <c r="N176" s="85"/>
      <c r="O176" s="85"/>
      <c r="P176" s="85"/>
      <c r="Q176" s="85"/>
      <c r="R176" s="85"/>
    </row>
    <row r="177" spans="2:18">
      <c r="B177" s="83"/>
      <c r="C177" s="83"/>
      <c r="D177" s="51"/>
      <c r="E177" s="48"/>
      <c r="F177" s="81"/>
      <c r="G177" s="52"/>
      <c r="H177" s="48"/>
      <c r="I177" s="85"/>
      <c r="J177" s="85"/>
      <c r="K177" s="85"/>
      <c r="L177" s="85"/>
      <c r="M177" s="85"/>
      <c r="N177" s="85"/>
      <c r="O177" s="85"/>
      <c r="P177" s="85"/>
      <c r="Q177" s="85"/>
      <c r="R177" s="85"/>
    </row>
    <row r="178" spans="2:18">
      <c r="B178" s="83"/>
      <c r="C178" s="83"/>
      <c r="D178" s="51"/>
      <c r="E178" s="48"/>
      <c r="F178" s="81"/>
      <c r="G178" s="52"/>
      <c r="H178" s="48"/>
      <c r="I178" s="85"/>
      <c r="J178" s="85"/>
      <c r="K178" s="85"/>
      <c r="L178" s="85"/>
      <c r="M178" s="85"/>
      <c r="N178" s="85"/>
      <c r="O178" s="85"/>
      <c r="P178" s="85"/>
      <c r="Q178" s="85"/>
      <c r="R178" s="85"/>
    </row>
    <row r="179" spans="2:18">
      <c r="B179" s="83"/>
      <c r="C179" s="83"/>
      <c r="D179" s="51"/>
      <c r="E179" s="48"/>
      <c r="F179" s="81"/>
      <c r="G179" s="52"/>
      <c r="H179" s="48"/>
      <c r="I179" s="85"/>
      <c r="J179" s="85"/>
      <c r="K179" s="85"/>
      <c r="L179" s="85"/>
      <c r="M179" s="85"/>
      <c r="N179" s="85"/>
      <c r="O179" s="85"/>
      <c r="P179" s="85"/>
      <c r="Q179" s="85"/>
      <c r="R179" s="85"/>
    </row>
    <row r="180" spans="2:18">
      <c r="B180" s="83"/>
      <c r="C180" s="83"/>
      <c r="D180" s="51"/>
      <c r="E180" s="48"/>
      <c r="F180" s="81"/>
      <c r="G180" s="52"/>
      <c r="H180" s="48"/>
      <c r="I180" s="85"/>
      <c r="J180" s="85"/>
      <c r="K180" s="85"/>
      <c r="L180" s="85"/>
      <c r="M180" s="85"/>
      <c r="N180" s="85"/>
      <c r="O180" s="85"/>
      <c r="P180" s="85"/>
      <c r="Q180" s="85"/>
      <c r="R180" s="85"/>
    </row>
    <row r="181" spans="2:18">
      <c r="B181" s="83"/>
      <c r="C181" s="83"/>
      <c r="D181" s="51"/>
      <c r="E181" s="48"/>
      <c r="F181" s="81"/>
      <c r="G181" s="52"/>
      <c r="H181" s="48"/>
      <c r="I181" s="85"/>
      <c r="J181" s="85"/>
      <c r="K181" s="85"/>
      <c r="L181" s="85"/>
      <c r="M181" s="85"/>
      <c r="N181" s="85"/>
      <c r="O181" s="85"/>
      <c r="P181" s="85"/>
      <c r="Q181" s="85"/>
      <c r="R181" s="85"/>
    </row>
    <row r="182" spans="2:18">
      <c r="B182" s="83"/>
      <c r="C182" s="83"/>
      <c r="D182" s="51"/>
      <c r="E182" s="48"/>
      <c r="F182" s="81"/>
      <c r="G182" s="52"/>
      <c r="H182" s="48"/>
      <c r="I182" s="85"/>
      <c r="J182" s="85"/>
      <c r="K182" s="85"/>
      <c r="L182" s="85"/>
      <c r="M182" s="85"/>
      <c r="N182" s="85"/>
      <c r="O182" s="85"/>
      <c r="P182" s="85"/>
      <c r="Q182" s="85"/>
      <c r="R182" s="85"/>
    </row>
    <row r="183" spans="2:18">
      <c r="B183" s="83"/>
      <c r="C183" s="83"/>
      <c r="D183" s="51"/>
      <c r="E183" s="48"/>
      <c r="F183" s="81"/>
      <c r="G183" s="52"/>
      <c r="H183" s="48"/>
      <c r="I183" s="85"/>
      <c r="J183" s="85"/>
      <c r="K183" s="85"/>
      <c r="L183" s="85"/>
      <c r="M183" s="85"/>
      <c r="N183" s="85"/>
      <c r="O183" s="85"/>
      <c r="P183" s="85"/>
      <c r="Q183" s="85"/>
      <c r="R183" s="85"/>
    </row>
    <row r="184" spans="2:18">
      <c r="B184" s="83"/>
      <c r="C184" s="83"/>
      <c r="D184" s="51"/>
      <c r="E184" s="48"/>
      <c r="F184" s="81"/>
      <c r="G184" s="52"/>
      <c r="H184" s="48"/>
      <c r="I184" s="85"/>
      <c r="J184" s="85"/>
      <c r="K184" s="85"/>
      <c r="L184" s="85"/>
      <c r="M184" s="85"/>
      <c r="N184" s="85"/>
      <c r="O184" s="85"/>
      <c r="P184" s="85"/>
      <c r="Q184" s="85"/>
      <c r="R184" s="85"/>
    </row>
    <row r="185" spans="2:18">
      <c r="B185" s="83"/>
      <c r="C185" s="83"/>
      <c r="D185" s="51"/>
      <c r="E185" s="48"/>
      <c r="F185" s="81"/>
      <c r="G185" s="52"/>
      <c r="H185" s="48"/>
      <c r="I185" s="85"/>
      <c r="J185" s="85"/>
      <c r="K185" s="85"/>
      <c r="L185" s="85"/>
      <c r="M185" s="85"/>
      <c r="N185" s="85"/>
      <c r="O185" s="85"/>
      <c r="P185" s="85"/>
      <c r="Q185" s="85"/>
      <c r="R185" s="85"/>
    </row>
    <row r="186" spans="2:18">
      <c r="B186" s="83"/>
      <c r="C186" s="83"/>
      <c r="D186" s="51"/>
      <c r="E186" s="48"/>
      <c r="F186" s="81"/>
      <c r="G186" s="52"/>
      <c r="H186" s="48"/>
      <c r="I186" s="85"/>
      <c r="J186" s="85"/>
      <c r="K186" s="85"/>
      <c r="L186" s="85"/>
      <c r="M186" s="85"/>
      <c r="N186" s="85"/>
      <c r="O186" s="85"/>
      <c r="P186" s="85"/>
      <c r="Q186" s="85"/>
      <c r="R186" s="85"/>
    </row>
    <row r="187" spans="2:18">
      <c r="B187" s="83"/>
      <c r="C187" s="83"/>
      <c r="D187" s="51"/>
      <c r="E187" s="48"/>
      <c r="F187" s="81"/>
      <c r="G187" s="52"/>
      <c r="H187" s="48"/>
      <c r="I187" s="85"/>
      <c r="J187" s="85"/>
      <c r="K187" s="85"/>
      <c r="L187" s="85"/>
      <c r="M187" s="85"/>
      <c r="N187" s="85"/>
      <c r="O187" s="85"/>
      <c r="P187" s="85"/>
      <c r="Q187" s="85"/>
      <c r="R187" s="85"/>
    </row>
    <row r="188" spans="2:18">
      <c r="B188" s="83"/>
      <c r="C188" s="83"/>
      <c r="D188" s="51"/>
      <c r="E188" s="48"/>
      <c r="F188" s="81"/>
      <c r="G188" s="52"/>
      <c r="H188" s="48"/>
      <c r="I188" s="85"/>
      <c r="J188" s="85"/>
      <c r="K188" s="85"/>
      <c r="L188" s="85"/>
      <c r="M188" s="85"/>
      <c r="N188" s="85"/>
      <c r="O188" s="85"/>
      <c r="P188" s="85"/>
      <c r="Q188" s="85"/>
      <c r="R188" s="85"/>
    </row>
    <row r="189" spans="2:18">
      <c r="B189" s="83"/>
      <c r="C189" s="83"/>
      <c r="D189" s="51"/>
      <c r="E189" s="48"/>
      <c r="F189" s="81"/>
      <c r="G189" s="52"/>
      <c r="H189" s="48"/>
      <c r="I189" s="85"/>
      <c r="J189" s="85"/>
      <c r="K189" s="85"/>
      <c r="L189" s="85"/>
      <c r="M189" s="85"/>
      <c r="N189" s="85"/>
      <c r="O189" s="85"/>
      <c r="P189" s="85"/>
      <c r="Q189" s="85"/>
      <c r="R189" s="85"/>
    </row>
    <row r="190" spans="2:18">
      <c r="B190" s="83"/>
      <c r="C190" s="83"/>
      <c r="D190" s="51"/>
      <c r="E190" s="48"/>
      <c r="F190" s="81"/>
      <c r="G190" s="52"/>
      <c r="H190" s="48"/>
      <c r="I190" s="85"/>
      <c r="J190" s="85"/>
      <c r="K190" s="85"/>
      <c r="L190" s="85"/>
      <c r="M190" s="85"/>
      <c r="N190" s="85"/>
      <c r="O190" s="85"/>
      <c r="P190" s="85"/>
      <c r="Q190" s="85"/>
      <c r="R190" s="85"/>
    </row>
    <row r="191" spans="2:18">
      <c r="B191" s="83"/>
      <c r="C191" s="83"/>
      <c r="D191" s="51"/>
      <c r="E191" s="48"/>
      <c r="F191" s="81"/>
      <c r="G191" s="52"/>
      <c r="H191" s="48"/>
      <c r="I191" s="85"/>
      <c r="J191" s="85"/>
      <c r="K191" s="85"/>
      <c r="L191" s="85"/>
      <c r="M191" s="85"/>
      <c r="N191" s="85"/>
      <c r="O191" s="85"/>
      <c r="P191" s="85"/>
      <c r="Q191" s="85"/>
      <c r="R191" s="85"/>
    </row>
    <row r="192" spans="2:18">
      <c r="B192" s="83"/>
      <c r="C192" s="83"/>
      <c r="D192" s="51"/>
      <c r="E192" s="48"/>
      <c r="F192" s="81"/>
      <c r="G192" s="52"/>
      <c r="H192" s="48"/>
      <c r="I192" s="85"/>
      <c r="J192" s="85"/>
      <c r="K192" s="85"/>
      <c r="L192" s="85"/>
      <c r="M192" s="85"/>
      <c r="N192" s="85"/>
      <c r="O192" s="85"/>
      <c r="P192" s="85"/>
      <c r="Q192" s="85"/>
      <c r="R192" s="85"/>
    </row>
    <row r="193" spans="2:18">
      <c r="B193" s="83"/>
      <c r="C193" s="83"/>
      <c r="D193" s="51"/>
      <c r="E193" s="48"/>
      <c r="F193" s="81"/>
      <c r="G193" s="52"/>
      <c r="H193" s="48"/>
      <c r="I193" s="85"/>
      <c r="J193" s="85"/>
      <c r="K193" s="85"/>
      <c r="L193" s="85"/>
      <c r="M193" s="85"/>
      <c r="N193" s="85"/>
      <c r="O193" s="85"/>
      <c r="P193" s="85"/>
      <c r="Q193" s="85"/>
      <c r="R193" s="85"/>
    </row>
    <row r="194" spans="2:18">
      <c r="B194" s="83"/>
      <c r="C194" s="83"/>
      <c r="D194" s="51"/>
      <c r="E194" s="48"/>
      <c r="F194" s="81"/>
      <c r="G194" s="52"/>
      <c r="H194" s="48"/>
      <c r="I194" s="85"/>
      <c r="J194" s="85"/>
      <c r="K194" s="85"/>
      <c r="L194" s="85"/>
      <c r="M194" s="85"/>
      <c r="N194" s="85"/>
      <c r="O194" s="85"/>
      <c r="P194" s="85"/>
      <c r="Q194" s="85"/>
      <c r="R194" s="85"/>
    </row>
    <row r="195" spans="2:18">
      <c r="B195" s="83"/>
      <c r="C195" s="83"/>
      <c r="D195" s="51"/>
      <c r="E195" s="48"/>
      <c r="F195" s="81"/>
      <c r="G195" s="52"/>
      <c r="H195" s="48"/>
      <c r="I195" s="85"/>
      <c r="J195" s="85"/>
      <c r="K195" s="85"/>
      <c r="L195" s="85"/>
      <c r="M195" s="85"/>
      <c r="N195" s="85"/>
      <c r="O195" s="85"/>
      <c r="P195" s="85"/>
      <c r="Q195" s="85"/>
      <c r="R195" s="85"/>
    </row>
    <row r="196" spans="2:18">
      <c r="B196" s="83"/>
      <c r="C196" s="83"/>
      <c r="D196" s="51"/>
      <c r="E196" s="48"/>
      <c r="F196" s="81"/>
      <c r="G196" s="52"/>
      <c r="H196" s="48"/>
      <c r="I196" s="85"/>
      <c r="J196" s="85"/>
      <c r="K196" s="85"/>
      <c r="L196" s="85"/>
      <c r="M196" s="85"/>
      <c r="N196" s="85"/>
      <c r="O196" s="85"/>
      <c r="P196" s="85"/>
      <c r="Q196" s="85"/>
      <c r="R196" s="85"/>
    </row>
    <row r="197" spans="2:18">
      <c r="B197" s="83"/>
      <c r="C197" s="83"/>
      <c r="D197" s="51"/>
      <c r="E197" s="48"/>
      <c r="F197" s="81"/>
      <c r="G197" s="52"/>
      <c r="H197" s="48"/>
      <c r="I197" s="85"/>
      <c r="J197" s="85"/>
      <c r="K197" s="85"/>
      <c r="L197" s="85"/>
      <c r="M197" s="85"/>
      <c r="N197" s="85"/>
      <c r="O197" s="85"/>
      <c r="P197" s="85"/>
      <c r="Q197" s="85"/>
      <c r="R197" s="85"/>
    </row>
    <row r="198" spans="2:18">
      <c r="B198" s="83"/>
      <c r="C198" s="83"/>
      <c r="D198" s="51"/>
      <c r="E198" s="48"/>
      <c r="F198" s="81"/>
      <c r="G198" s="52"/>
      <c r="H198" s="48"/>
      <c r="I198" s="85"/>
      <c r="J198" s="85"/>
      <c r="K198" s="85"/>
      <c r="L198" s="85"/>
      <c r="M198" s="85"/>
      <c r="N198" s="85"/>
      <c r="O198" s="85"/>
      <c r="P198" s="85"/>
      <c r="Q198" s="85"/>
      <c r="R198" s="85"/>
    </row>
    <row r="199" spans="2:18">
      <c r="B199" s="83"/>
      <c r="C199" s="83"/>
      <c r="D199" s="51"/>
      <c r="E199" s="48"/>
      <c r="F199" s="81"/>
      <c r="G199" s="52"/>
      <c r="H199" s="48"/>
      <c r="I199" s="85"/>
      <c r="J199" s="85"/>
      <c r="K199" s="85"/>
      <c r="L199" s="85"/>
      <c r="M199" s="85"/>
      <c r="N199" s="85"/>
      <c r="O199" s="85"/>
      <c r="P199" s="85"/>
      <c r="Q199" s="85"/>
      <c r="R199" s="85"/>
    </row>
    <row r="200" spans="2:18">
      <c r="B200" s="83"/>
      <c r="C200" s="83"/>
      <c r="D200" s="51"/>
      <c r="E200" s="48"/>
      <c r="F200" s="81"/>
      <c r="G200" s="52"/>
      <c r="H200" s="48"/>
      <c r="I200" s="85"/>
      <c r="J200" s="85"/>
      <c r="K200" s="85"/>
      <c r="L200" s="85"/>
      <c r="M200" s="85"/>
      <c r="N200" s="85"/>
      <c r="O200" s="85"/>
      <c r="P200" s="85"/>
      <c r="Q200" s="85"/>
      <c r="R200" s="85"/>
    </row>
    <row r="201" spans="2:18">
      <c r="B201" s="83"/>
      <c r="C201" s="83"/>
      <c r="D201" s="51"/>
      <c r="E201" s="48"/>
      <c r="F201" s="81"/>
      <c r="G201" s="52"/>
      <c r="H201" s="48"/>
      <c r="I201" s="85"/>
      <c r="J201" s="85"/>
      <c r="K201" s="85"/>
      <c r="L201" s="85"/>
      <c r="M201" s="85"/>
      <c r="N201" s="85"/>
      <c r="O201" s="85"/>
      <c r="P201" s="85"/>
      <c r="Q201" s="85"/>
      <c r="R201" s="85"/>
    </row>
    <row r="202" spans="2:18">
      <c r="B202" s="83"/>
      <c r="C202" s="83"/>
      <c r="D202" s="51"/>
      <c r="E202" s="48"/>
      <c r="F202" s="81"/>
      <c r="G202" s="52"/>
      <c r="H202" s="48"/>
      <c r="I202" s="85"/>
      <c r="J202" s="85"/>
      <c r="K202" s="85"/>
      <c r="L202" s="85"/>
      <c r="M202" s="85"/>
      <c r="N202" s="85"/>
      <c r="O202" s="85"/>
      <c r="P202" s="85"/>
      <c r="Q202" s="85"/>
      <c r="R202" s="85"/>
    </row>
    <row r="203" spans="2:18">
      <c r="B203" s="83"/>
      <c r="C203" s="83"/>
      <c r="D203" s="51"/>
      <c r="E203" s="48"/>
      <c r="F203" s="81"/>
      <c r="G203" s="52"/>
      <c r="H203" s="48"/>
      <c r="I203" s="85"/>
      <c r="J203" s="85"/>
      <c r="K203" s="85"/>
      <c r="L203" s="85"/>
      <c r="M203" s="85"/>
      <c r="N203" s="85"/>
      <c r="O203" s="85"/>
      <c r="P203" s="85"/>
      <c r="Q203" s="85"/>
      <c r="R203" s="85"/>
    </row>
    <row r="204" spans="2:18">
      <c r="B204" s="83"/>
      <c r="C204" s="83"/>
      <c r="D204" s="51"/>
      <c r="E204" s="48"/>
      <c r="F204" s="81"/>
      <c r="G204" s="52"/>
      <c r="H204" s="48"/>
      <c r="I204" s="85"/>
      <c r="J204" s="85"/>
      <c r="K204" s="85"/>
      <c r="L204" s="85"/>
      <c r="M204" s="85"/>
      <c r="N204" s="85"/>
      <c r="O204" s="85"/>
      <c r="P204" s="85"/>
      <c r="Q204" s="85"/>
      <c r="R204" s="85"/>
    </row>
    <row r="205" spans="2:18">
      <c r="B205" s="83"/>
      <c r="C205" s="83"/>
      <c r="D205" s="51"/>
      <c r="E205" s="48"/>
      <c r="F205" s="81"/>
      <c r="G205" s="52"/>
      <c r="H205" s="48"/>
      <c r="I205" s="85"/>
      <c r="J205" s="85"/>
      <c r="K205" s="85"/>
      <c r="L205" s="85"/>
      <c r="M205" s="85"/>
      <c r="N205" s="85"/>
      <c r="O205" s="85"/>
      <c r="P205" s="85"/>
      <c r="Q205" s="85"/>
      <c r="R205" s="85"/>
    </row>
    <row r="206" spans="2:18">
      <c r="B206" s="83"/>
      <c r="C206" s="83"/>
      <c r="D206" s="51"/>
      <c r="E206" s="48"/>
      <c r="F206" s="81"/>
      <c r="G206" s="52"/>
      <c r="H206" s="48"/>
      <c r="I206" s="85"/>
      <c r="J206" s="85"/>
      <c r="K206" s="85"/>
      <c r="L206" s="85"/>
      <c r="M206" s="85"/>
      <c r="N206" s="85"/>
      <c r="O206" s="85"/>
      <c r="P206" s="85"/>
      <c r="Q206" s="85"/>
      <c r="R206" s="85"/>
    </row>
    <row r="207" spans="2:18">
      <c r="B207" s="83"/>
      <c r="C207" s="83"/>
      <c r="D207" s="51"/>
      <c r="E207" s="48"/>
      <c r="F207" s="81"/>
      <c r="G207" s="52"/>
      <c r="H207" s="48"/>
      <c r="I207" s="85"/>
      <c r="J207" s="85"/>
      <c r="K207" s="85"/>
      <c r="L207" s="85"/>
      <c r="M207" s="85"/>
      <c r="N207" s="85"/>
      <c r="O207" s="85"/>
      <c r="P207" s="85"/>
      <c r="Q207" s="85"/>
      <c r="R207" s="85"/>
    </row>
    <row r="208" spans="2:18">
      <c r="B208" s="83"/>
      <c r="C208" s="83"/>
      <c r="D208" s="51"/>
      <c r="E208" s="48"/>
      <c r="F208" s="81"/>
      <c r="G208" s="52"/>
      <c r="H208" s="48"/>
      <c r="I208" s="85"/>
      <c r="J208" s="85"/>
      <c r="K208" s="85"/>
      <c r="L208" s="85"/>
      <c r="M208" s="85"/>
      <c r="N208" s="85"/>
      <c r="O208" s="85"/>
      <c r="P208" s="85"/>
      <c r="Q208" s="85"/>
      <c r="R208" s="85"/>
    </row>
    <row r="209" spans="2:18">
      <c r="B209" s="83"/>
      <c r="C209" s="83"/>
      <c r="D209" s="51"/>
      <c r="E209" s="48"/>
      <c r="F209" s="81"/>
      <c r="G209" s="52"/>
      <c r="H209" s="48"/>
      <c r="I209" s="85"/>
      <c r="J209" s="85"/>
      <c r="K209" s="85"/>
      <c r="L209" s="85"/>
      <c r="M209" s="85"/>
      <c r="N209" s="85"/>
      <c r="O209" s="85"/>
      <c r="P209" s="85"/>
      <c r="Q209" s="85"/>
      <c r="R209" s="85"/>
    </row>
    <row r="210" spans="2:18">
      <c r="B210" s="83"/>
      <c r="C210" s="83"/>
      <c r="D210" s="51"/>
      <c r="E210" s="48"/>
      <c r="F210" s="81"/>
      <c r="G210" s="52"/>
      <c r="H210" s="48"/>
      <c r="I210" s="85"/>
      <c r="J210" s="85"/>
      <c r="K210" s="85"/>
      <c r="L210" s="85"/>
      <c r="M210" s="85"/>
      <c r="N210" s="85"/>
      <c r="O210" s="85"/>
      <c r="P210" s="85"/>
      <c r="Q210" s="85"/>
      <c r="R210" s="85"/>
    </row>
    <row r="211" spans="2:18">
      <c r="B211" s="83"/>
      <c r="C211" s="83"/>
      <c r="D211" s="51"/>
      <c r="E211" s="48"/>
      <c r="F211" s="81"/>
      <c r="G211" s="52"/>
      <c r="H211" s="48"/>
      <c r="I211" s="85"/>
      <c r="J211" s="85"/>
      <c r="K211" s="85"/>
      <c r="L211" s="85"/>
      <c r="M211" s="85"/>
      <c r="N211" s="85"/>
      <c r="O211" s="85"/>
      <c r="P211" s="85"/>
      <c r="Q211" s="85"/>
      <c r="R211" s="85"/>
    </row>
    <row r="212" spans="2:18">
      <c r="B212" s="83"/>
      <c r="C212" s="83"/>
      <c r="D212" s="51"/>
      <c r="E212" s="48"/>
      <c r="F212" s="81"/>
      <c r="G212" s="52"/>
      <c r="H212" s="48"/>
      <c r="I212" s="85"/>
      <c r="J212" s="85"/>
      <c r="K212" s="85"/>
      <c r="L212" s="85"/>
      <c r="M212" s="85"/>
      <c r="N212" s="85"/>
      <c r="O212" s="85"/>
      <c r="P212" s="85"/>
      <c r="Q212" s="85"/>
      <c r="R212" s="85"/>
    </row>
    <row r="213" spans="2:18">
      <c r="B213" s="83"/>
      <c r="C213" s="83"/>
      <c r="D213" s="51"/>
      <c r="E213" s="48"/>
      <c r="F213" s="81"/>
      <c r="G213" s="52"/>
      <c r="H213" s="48"/>
      <c r="I213" s="85"/>
      <c r="J213" s="85"/>
      <c r="K213" s="85"/>
      <c r="L213" s="85"/>
      <c r="M213" s="85"/>
      <c r="N213" s="85"/>
      <c r="O213" s="85"/>
      <c r="P213" s="85"/>
      <c r="Q213" s="85"/>
      <c r="R213" s="85"/>
    </row>
    <row r="214" spans="2:18">
      <c r="B214" s="83"/>
      <c r="C214" s="83"/>
      <c r="D214" s="51"/>
      <c r="E214" s="48"/>
      <c r="F214" s="81"/>
      <c r="G214" s="52"/>
      <c r="H214" s="48"/>
      <c r="I214" s="85"/>
      <c r="J214" s="85"/>
      <c r="K214" s="85"/>
      <c r="L214" s="85"/>
      <c r="M214" s="85"/>
      <c r="N214" s="85"/>
      <c r="O214" s="85"/>
      <c r="P214" s="85"/>
      <c r="Q214" s="85"/>
      <c r="R214" s="85"/>
    </row>
    <row r="215" spans="2:18">
      <c r="B215" s="83"/>
      <c r="C215" s="83"/>
      <c r="D215" s="51"/>
      <c r="E215" s="48"/>
      <c r="F215" s="81"/>
      <c r="G215" s="52"/>
      <c r="H215" s="48"/>
      <c r="I215" s="85"/>
      <c r="J215" s="85"/>
      <c r="K215" s="85"/>
      <c r="L215" s="85"/>
      <c r="M215" s="85"/>
      <c r="N215" s="85"/>
      <c r="O215" s="85"/>
      <c r="P215" s="85"/>
      <c r="Q215" s="85"/>
      <c r="R215" s="85"/>
    </row>
    <row r="216" spans="2:18">
      <c r="B216" s="83"/>
      <c r="C216" s="83"/>
      <c r="D216" s="51"/>
      <c r="E216" s="48"/>
      <c r="F216" s="81"/>
      <c r="G216" s="52"/>
      <c r="H216" s="48"/>
      <c r="I216" s="85"/>
      <c r="J216" s="85"/>
      <c r="K216" s="85"/>
      <c r="L216" s="85"/>
      <c r="M216" s="85"/>
      <c r="N216" s="85"/>
      <c r="O216" s="85"/>
      <c r="P216" s="85"/>
      <c r="Q216" s="85"/>
      <c r="R216" s="85"/>
    </row>
    <row r="217" spans="2:18">
      <c r="B217" s="83"/>
      <c r="C217" s="83"/>
      <c r="D217" s="51"/>
      <c r="E217" s="48"/>
      <c r="F217" s="81"/>
      <c r="G217" s="52"/>
      <c r="H217" s="48"/>
      <c r="I217" s="85"/>
      <c r="J217" s="85"/>
      <c r="K217" s="85"/>
      <c r="L217" s="85"/>
      <c r="M217" s="85"/>
      <c r="N217" s="85"/>
      <c r="O217" s="85"/>
      <c r="P217" s="85"/>
      <c r="Q217" s="85"/>
      <c r="R217" s="85"/>
    </row>
    <row r="218" spans="2:18">
      <c r="B218" s="83"/>
      <c r="C218" s="83"/>
      <c r="D218" s="51"/>
      <c r="E218" s="48"/>
      <c r="F218" s="81"/>
      <c r="G218" s="52"/>
      <c r="H218" s="48"/>
      <c r="I218" s="85"/>
      <c r="J218" s="85"/>
      <c r="K218" s="85"/>
      <c r="L218" s="85"/>
      <c r="M218" s="85"/>
      <c r="N218" s="85"/>
      <c r="O218" s="85"/>
      <c r="P218" s="85"/>
      <c r="Q218" s="85"/>
      <c r="R218" s="85"/>
    </row>
    <row r="219" spans="2:18">
      <c r="B219" s="83"/>
      <c r="C219" s="83"/>
      <c r="D219" s="51"/>
      <c r="E219" s="48"/>
      <c r="F219" s="81"/>
      <c r="G219" s="52"/>
      <c r="H219" s="48"/>
      <c r="I219" s="85"/>
      <c r="J219" s="85"/>
      <c r="K219" s="85"/>
      <c r="L219" s="85"/>
      <c r="M219" s="85"/>
      <c r="N219" s="85"/>
      <c r="O219" s="85"/>
      <c r="P219" s="85"/>
      <c r="Q219" s="85"/>
      <c r="R219" s="85"/>
    </row>
    <row r="220" spans="2:18">
      <c r="B220" s="83"/>
      <c r="C220" s="83"/>
      <c r="D220" s="51"/>
      <c r="E220" s="48"/>
      <c r="F220" s="81"/>
      <c r="G220" s="52"/>
      <c r="H220" s="48"/>
      <c r="I220" s="85"/>
      <c r="J220" s="85"/>
      <c r="K220" s="85"/>
      <c r="L220" s="85"/>
      <c r="M220" s="85"/>
      <c r="N220" s="85"/>
      <c r="O220" s="85"/>
      <c r="P220" s="85"/>
      <c r="Q220" s="85"/>
      <c r="R220" s="85"/>
    </row>
    <row r="221" spans="2:18">
      <c r="B221" s="83"/>
      <c r="C221" s="83"/>
      <c r="D221" s="51"/>
      <c r="E221" s="48"/>
      <c r="F221" s="81"/>
      <c r="G221" s="52"/>
      <c r="H221" s="48"/>
      <c r="I221" s="85"/>
      <c r="J221" s="85"/>
      <c r="K221" s="85"/>
      <c r="L221" s="85"/>
      <c r="M221" s="85"/>
      <c r="N221" s="85"/>
      <c r="O221" s="85"/>
      <c r="P221" s="85"/>
      <c r="Q221" s="85"/>
      <c r="R221" s="85"/>
    </row>
    <row r="222" spans="2:18">
      <c r="B222" s="83"/>
      <c r="C222" s="83"/>
      <c r="D222" s="51"/>
      <c r="E222" s="48"/>
      <c r="F222" s="81"/>
      <c r="G222" s="52"/>
      <c r="H222" s="48"/>
      <c r="I222" s="85"/>
      <c r="J222" s="85"/>
      <c r="K222" s="85"/>
      <c r="L222" s="85"/>
      <c r="M222" s="85"/>
      <c r="N222" s="85"/>
      <c r="O222" s="85"/>
      <c r="P222" s="85"/>
      <c r="Q222" s="85"/>
      <c r="R222" s="85"/>
    </row>
    <row r="223" spans="2:18">
      <c r="B223" s="83"/>
      <c r="C223" s="83"/>
      <c r="D223" s="51"/>
      <c r="E223" s="48"/>
      <c r="F223" s="81"/>
      <c r="G223" s="52"/>
      <c r="H223" s="48"/>
      <c r="I223" s="85"/>
      <c r="J223" s="85"/>
      <c r="K223" s="85"/>
      <c r="L223" s="85"/>
      <c r="M223" s="85"/>
      <c r="N223" s="85"/>
      <c r="O223" s="85"/>
      <c r="P223" s="85"/>
      <c r="Q223" s="85"/>
      <c r="R223" s="85"/>
    </row>
    <row r="224" spans="2:18">
      <c r="B224" s="83"/>
      <c r="C224" s="83"/>
      <c r="D224" s="51"/>
      <c r="E224" s="48"/>
      <c r="F224" s="81"/>
      <c r="G224" s="52"/>
      <c r="H224" s="48"/>
      <c r="I224" s="85"/>
      <c r="J224" s="85"/>
      <c r="K224" s="85"/>
      <c r="L224" s="85"/>
      <c r="M224" s="85"/>
      <c r="N224" s="85"/>
      <c r="O224" s="85"/>
      <c r="P224" s="85"/>
      <c r="Q224" s="85"/>
      <c r="R224" s="85"/>
    </row>
    <row r="225" spans="2:18">
      <c r="B225" s="83"/>
      <c r="C225" s="83"/>
      <c r="D225" s="51"/>
      <c r="E225" s="48"/>
      <c r="F225" s="81"/>
      <c r="G225" s="52"/>
      <c r="H225" s="48"/>
      <c r="I225" s="85"/>
      <c r="J225" s="85"/>
      <c r="K225" s="85"/>
      <c r="L225" s="85"/>
      <c r="M225" s="85"/>
      <c r="N225" s="85"/>
      <c r="O225" s="85"/>
      <c r="P225" s="85"/>
      <c r="Q225" s="85"/>
      <c r="R225" s="85"/>
    </row>
    <row r="226" spans="2:18">
      <c r="B226" s="83"/>
      <c r="C226" s="83"/>
      <c r="D226" s="51"/>
      <c r="E226" s="48"/>
      <c r="F226" s="81"/>
      <c r="G226" s="52"/>
      <c r="H226" s="48"/>
      <c r="I226" s="85"/>
      <c r="J226" s="85"/>
      <c r="K226" s="85"/>
      <c r="L226" s="85"/>
      <c r="M226" s="85"/>
      <c r="N226" s="85"/>
      <c r="O226" s="85"/>
      <c r="P226" s="85"/>
      <c r="Q226" s="85"/>
      <c r="R226" s="85"/>
    </row>
    <row r="227" spans="2:18">
      <c r="B227" s="83"/>
      <c r="C227" s="83"/>
      <c r="D227" s="51"/>
      <c r="E227" s="48"/>
      <c r="F227" s="81"/>
      <c r="G227" s="52"/>
      <c r="H227" s="48"/>
      <c r="I227" s="85"/>
      <c r="J227" s="85"/>
      <c r="K227" s="85"/>
      <c r="L227" s="85"/>
      <c r="M227" s="85"/>
      <c r="N227" s="85"/>
      <c r="O227" s="85"/>
      <c r="P227" s="85"/>
      <c r="Q227" s="85"/>
      <c r="R227" s="85"/>
    </row>
    <row r="228" spans="2:18">
      <c r="B228" s="83"/>
      <c r="C228" s="83"/>
      <c r="D228" s="51"/>
      <c r="E228" s="48"/>
      <c r="F228" s="81"/>
      <c r="G228" s="52"/>
      <c r="H228" s="48"/>
      <c r="I228" s="85"/>
      <c r="J228" s="85"/>
      <c r="K228" s="85"/>
      <c r="L228" s="85"/>
      <c r="M228" s="85"/>
      <c r="N228" s="85"/>
      <c r="O228" s="85"/>
      <c r="P228" s="85"/>
      <c r="Q228" s="85"/>
      <c r="R228" s="85"/>
    </row>
    <row r="229" spans="2:18">
      <c r="B229" s="83"/>
      <c r="C229" s="83"/>
      <c r="D229" s="51"/>
      <c r="E229" s="48"/>
      <c r="F229" s="81"/>
      <c r="G229" s="52"/>
      <c r="H229" s="48"/>
      <c r="I229" s="85"/>
      <c r="J229" s="85"/>
      <c r="K229" s="85"/>
      <c r="L229" s="85"/>
      <c r="M229" s="85"/>
      <c r="N229" s="85"/>
      <c r="O229" s="85"/>
      <c r="P229" s="85"/>
      <c r="Q229" s="85"/>
      <c r="R229" s="85"/>
    </row>
    <row r="230" spans="2:18">
      <c r="B230" s="83"/>
      <c r="C230" s="83"/>
      <c r="D230" s="51"/>
      <c r="E230" s="48"/>
      <c r="F230" s="81"/>
      <c r="G230" s="52"/>
      <c r="H230" s="48"/>
      <c r="I230" s="85"/>
      <c r="J230" s="85"/>
      <c r="K230" s="85"/>
      <c r="L230" s="85"/>
      <c r="M230" s="85"/>
      <c r="N230" s="85"/>
      <c r="O230" s="85"/>
      <c r="P230" s="85"/>
      <c r="Q230" s="85"/>
      <c r="R230" s="85"/>
    </row>
    <row r="231" spans="2:18">
      <c r="B231" s="83"/>
      <c r="C231" s="83"/>
      <c r="D231" s="51"/>
      <c r="E231" s="48"/>
      <c r="F231" s="81"/>
      <c r="G231" s="52"/>
      <c r="H231" s="48"/>
      <c r="I231" s="85"/>
      <c r="J231" s="85"/>
      <c r="K231" s="85"/>
      <c r="L231" s="85"/>
      <c r="M231" s="85"/>
      <c r="N231" s="85"/>
      <c r="O231" s="85"/>
      <c r="P231" s="85"/>
      <c r="Q231" s="85"/>
      <c r="R231" s="85"/>
    </row>
    <row r="232" spans="2:18">
      <c r="B232" s="83"/>
      <c r="C232" s="83"/>
      <c r="D232" s="51"/>
      <c r="E232" s="48"/>
      <c r="F232" s="81"/>
      <c r="G232" s="52"/>
      <c r="H232" s="48"/>
      <c r="I232" s="85"/>
      <c r="J232" s="85"/>
      <c r="K232" s="85"/>
      <c r="L232" s="85"/>
      <c r="M232" s="85"/>
      <c r="N232" s="85"/>
      <c r="O232" s="85"/>
      <c r="P232" s="85"/>
      <c r="Q232" s="85"/>
      <c r="R232" s="85"/>
    </row>
    <row r="233" spans="2:18">
      <c r="B233" s="83"/>
      <c r="C233" s="83"/>
      <c r="D233" s="51"/>
      <c r="E233" s="48"/>
      <c r="F233" s="81"/>
      <c r="G233" s="52"/>
      <c r="H233" s="48"/>
      <c r="I233" s="85"/>
      <c r="J233" s="85"/>
      <c r="K233" s="85"/>
      <c r="L233" s="85"/>
      <c r="M233" s="85"/>
      <c r="N233" s="85"/>
      <c r="O233" s="85"/>
      <c r="P233" s="85"/>
      <c r="Q233" s="85"/>
      <c r="R233" s="85"/>
    </row>
    <row r="234" spans="2:18">
      <c r="B234" s="83"/>
      <c r="C234" s="83"/>
      <c r="D234" s="51"/>
      <c r="E234" s="48"/>
      <c r="F234" s="81"/>
      <c r="G234" s="52"/>
      <c r="H234" s="48"/>
      <c r="I234" s="85"/>
      <c r="J234" s="85"/>
      <c r="K234" s="85"/>
      <c r="L234" s="85"/>
      <c r="M234" s="85"/>
      <c r="N234" s="85"/>
      <c r="O234" s="85"/>
      <c r="P234" s="85"/>
      <c r="Q234" s="85"/>
      <c r="R234" s="85"/>
    </row>
    <row r="235" spans="2:18">
      <c r="B235" s="83"/>
      <c r="C235" s="83"/>
      <c r="D235" s="51"/>
      <c r="E235" s="48"/>
      <c r="F235" s="81"/>
      <c r="G235" s="52"/>
      <c r="H235" s="48"/>
      <c r="I235" s="85"/>
      <c r="J235" s="85"/>
      <c r="K235" s="85"/>
      <c r="L235" s="85"/>
      <c r="M235" s="85"/>
      <c r="N235" s="85"/>
      <c r="O235" s="85"/>
      <c r="P235" s="85"/>
      <c r="Q235" s="85"/>
      <c r="R235" s="85"/>
    </row>
    <row r="236" spans="2:18">
      <c r="B236" s="83"/>
      <c r="C236" s="83"/>
      <c r="D236" s="51"/>
      <c r="E236" s="48"/>
      <c r="F236" s="81"/>
      <c r="G236" s="52"/>
      <c r="H236" s="48"/>
      <c r="I236" s="85"/>
      <c r="J236" s="85"/>
      <c r="K236" s="85"/>
      <c r="L236" s="85"/>
      <c r="M236" s="85"/>
      <c r="N236" s="85"/>
      <c r="O236" s="85"/>
      <c r="P236" s="85"/>
      <c r="Q236" s="85"/>
      <c r="R236" s="85"/>
    </row>
    <row r="237" spans="2:18">
      <c r="B237" s="83"/>
      <c r="C237" s="83"/>
      <c r="D237" s="51"/>
      <c r="E237" s="48"/>
      <c r="F237" s="81"/>
      <c r="G237" s="52"/>
      <c r="H237" s="48"/>
      <c r="I237" s="85"/>
      <c r="J237" s="85"/>
      <c r="K237" s="85"/>
      <c r="L237" s="85"/>
      <c r="M237" s="85"/>
      <c r="N237" s="85"/>
      <c r="O237" s="85"/>
      <c r="P237" s="85"/>
      <c r="Q237" s="85"/>
      <c r="R237" s="85"/>
    </row>
    <row r="238" spans="2:18">
      <c r="B238" s="83"/>
      <c r="C238" s="83"/>
      <c r="D238" s="51"/>
      <c r="E238" s="48"/>
      <c r="F238" s="81"/>
      <c r="G238" s="52"/>
      <c r="H238" s="48"/>
      <c r="I238" s="85"/>
      <c r="J238" s="85"/>
      <c r="K238" s="85"/>
      <c r="L238" s="85"/>
      <c r="M238" s="85"/>
      <c r="N238" s="85"/>
      <c r="O238" s="85"/>
      <c r="P238" s="85"/>
      <c r="Q238" s="85"/>
      <c r="R238" s="85"/>
    </row>
    <row r="239" spans="2:18">
      <c r="B239" s="83"/>
      <c r="C239" s="83"/>
      <c r="D239" s="51"/>
      <c r="E239" s="48"/>
      <c r="F239" s="81"/>
      <c r="G239" s="52"/>
      <c r="H239" s="48"/>
      <c r="I239" s="85"/>
      <c r="J239" s="85"/>
      <c r="K239" s="85"/>
      <c r="L239" s="85"/>
      <c r="M239" s="85"/>
      <c r="N239" s="85"/>
      <c r="O239" s="85"/>
      <c r="P239" s="85"/>
      <c r="Q239" s="85"/>
      <c r="R239" s="85"/>
    </row>
    <row r="240" spans="2:18">
      <c r="B240" s="83"/>
      <c r="C240" s="83"/>
      <c r="D240" s="51"/>
      <c r="E240" s="48"/>
      <c r="F240" s="81"/>
      <c r="G240" s="52"/>
      <c r="H240" s="48"/>
      <c r="I240" s="85"/>
      <c r="J240" s="85"/>
      <c r="K240" s="85"/>
      <c r="L240" s="85"/>
      <c r="M240" s="85"/>
      <c r="N240" s="85"/>
      <c r="O240" s="85"/>
      <c r="P240" s="85"/>
      <c r="Q240" s="85"/>
      <c r="R240" s="85"/>
    </row>
    <row r="241" spans="2:18">
      <c r="B241" s="83"/>
      <c r="C241" s="83"/>
      <c r="D241" s="51"/>
      <c r="E241" s="48"/>
      <c r="F241" s="81"/>
      <c r="G241" s="52"/>
      <c r="H241" s="48"/>
      <c r="I241" s="85"/>
      <c r="J241" s="85"/>
      <c r="K241" s="85"/>
      <c r="L241" s="85"/>
      <c r="M241" s="85"/>
      <c r="N241" s="85"/>
      <c r="O241" s="85"/>
      <c r="P241" s="85"/>
      <c r="Q241" s="85"/>
      <c r="R241" s="85"/>
    </row>
    <row r="242" spans="2:18">
      <c r="B242" s="83"/>
      <c r="C242" s="83"/>
      <c r="D242" s="51"/>
      <c r="E242" s="48"/>
      <c r="F242" s="81"/>
      <c r="G242" s="52"/>
      <c r="H242" s="48"/>
      <c r="I242" s="85"/>
      <c r="J242" s="85"/>
      <c r="K242" s="85"/>
      <c r="L242" s="85"/>
      <c r="M242" s="85"/>
      <c r="N242" s="85"/>
      <c r="O242" s="85"/>
      <c r="P242" s="85"/>
      <c r="Q242" s="85"/>
      <c r="R242" s="85"/>
    </row>
    <row r="243" spans="2:18">
      <c r="B243" s="83"/>
      <c r="C243" s="83"/>
      <c r="D243" s="51"/>
      <c r="E243" s="48"/>
      <c r="F243" s="81"/>
      <c r="G243" s="52"/>
      <c r="H243" s="48"/>
      <c r="I243" s="85"/>
      <c r="J243" s="85"/>
      <c r="K243" s="85"/>
      <c r="L243" s="85"/>
      <c r="M243" s="85"/>
      <c r="N243" s="85"/>
      <c r="O243" s="85"/>
      <c r="P243" s="85"/>
      <c r="Q243" s="85"/>
      <c r="R243" s="85"/>
    </row>
    <row r="244" spans="2:18">
      <c r="B244" s="83"/>
      <c r="C244" s="83"/>
      <c r="D244" s="51"/>
      <c r="E244" s="48"/>
      <c r="F244" s="81"/>
      <c r="G244" s="52"/>
      <c r="H244" s="48"/>
      <c r="I244" s="85"/>
      <c r="J244" s="85"/>
      <c r="K244" s="85"/>
      <c r="L244" s="85"/>
      <c r="M244" s="85"/>
      <c r="N244" s="85"/>
      <c r="O244" s="85"/>
      <c r="P244" s="85"/>
      <c r="Q244" s="85"/>
      <c r="R244" s="85"/>
    </row>
    <row r="245" spans="2:18">
      <c r="B245" s="83"/>
      <c r="C245" s="83"/>
      <c r="D245" s="51"/>
      <c r="E245" s="48"/>
      <c r="F245" s="81"/>
      <c r="G245" s="52"/>
      <c r="H245" s="48"/>
      <c r="I245" s="85"/>
      <c r="J245" s="85"/>
      <c r="K245" s="85"/>
      <c r="L245" s="85"/>
      <c r="M245" s="85"/>
      <c r="N245" s="85"/>
      <c r="O245" s="85"/>
      <c r="P245" s="85"/>
      <c r="Q245" s="85"/>
      <c r="R245" s="85"/>
    </row>
    <row r="246" spans="2:18">
      <c r="B246" s="83"/>
      <c r="C246" s="83"/>
      <c r="D246" s="51"/>
      <c r="E246" s="48"/>
      <c r="F246" s="81"/>
      <c r="G246" s="52"/>
      <c r="H246" s="48"/>
      <c r="I246" s="85"/>
      <c r="J246" s="85"/>
      <c r="K246" s="85"/>
      <c r="L246" s="85"/>
      <c r="M246" s="85"/>
      <c r="N246" s="85"/>
      <c r="O246" s="85"/>
      <c r="P246" s="85"/>
      <c r="Q246" s="85"/>
      <c r="R246" s="85"/>
    </row>
    <row r="247" spans="2:18">
      <c r="B247" s="83"/>
      <c r="C247" s="83"/>
      <c r="D247" s="51"/>
      <c r="E247" s="48"/>
      <c r="F247" s="81"/>
      <c r="G247" s="52"/>
      <c r="H247" s="48"/>
      <c r="I247" s="85"/>
      <c r="J247" s="85"/>
      <c r="K247" s="85"/>
      <c r="L247" s="85"/>
      <c r="M247" s="85"/>
      <c r="N247" s="85"/>
      <c r="O247" s="85"/>
      <c r="P247" s="85"/>
      <c r="Q247" s="85"/>
      <c r="R247" s="85"/>
    </row>
    <row r="248" spans="2:18">
      <c r="B248" s="83"/>
      <c r="C248" s="83"/>
      <c r="D248" s="51"/>
      <c r="E248" s="48"/>
      <c r="F248" s="81"/>
      <c r="G248" s="52"/>
      <c r="H248" s="48"/>
      <c r="I248" s="85"/>
      <c r="J248" s="85"/>
      <c r="K248" s="85"/>
      <c r="L248" s="85"/>
      <c r="M248" s="85"/>
      <c r="N248" s="85"/>
      <c r="O248" s="85"/>
      <c r="P248" s="85"/>
      <c r="Q248" s="85"/>
      <c r="R248" s="85"/>
    </row>
    <row r="249" spans="2:18">
      <c r="B249" s="83"/>
      <c r="C249" s="83"/>
      <c r="D249" s="51"/>
      <c r="E249" s="48"/>
      <c r="F249" s="81"/>
      <c r="G249" s="52"/>
      <c r="H249" s="48"/>
      <c r="I249" s="85"/>
      <c r="J249" s="85"/>
      <c r="K249" s="85"/>
      <c r="L249" s="85"/>
      <c r="M249" s="85"/>
      <c r="N249" s="85"/>
      <c r="O249" s="85"/>
      <c r="P249" s="85"/>
      <c r="Q249" s="85"/>
      <c r="R249" s="85"/>
    </row>
    <row r="250" spans="2:18">
      <c r="B250" s="83"/>
      <c r="C250" s="83"/>
      <c r="D250" s="51"/>
      <c r="E250" s="48"/>
      <c r="F250" s="81"/>
      <c r="G250" s="52"/>
      <c r="H250" s="48"/>
      <c r="I250" s="85"/>
      <c r="J250" s="85"/>
      <c r="K250" s="85"/>
      <c r="L250" s="85"/>
      <c r="M250" s="85"/>
      <c r="N250" s="85"/>
      <c r="O250" s="85"/>
      <c r="P250" s="85"/>
      <c r="Q250" s="85"/>
      <c r="R250" s="85"/>
    </row>
    <row r="251" spans="2:18">
      <c r="B251" s="83"/>
      <c r="C251" s="83"/>
      <c r="D251" s="51"/>
      <c r="E251" s="48"/>
      <c r="F251" s="81"/>
      <c r="G251" s="52"/>
      <c r="H251" s="48"/>
      <c r="I251" s="85"/>
      <c r="J251" s="85"/>
      <c r="K251" s="85"/>
      <c r="L251" s="85"/>
      <c r="M251" s="85"/>
      <c r="N251" s="85"/>
      <c r="O251" s="85"/>
      <c r="P251" s="85"/>
      <c r="Q251" s="85"/>
      <c r="R251" s="85"/>
    </row>
    <row r="252" spans="2:18">
      <c r="B252" s="83"/>
      <c r="C252" s="83"/>
      <c r="D252" s="51"/>
      <c r="E252" s="48"/>
      <c r="F252" s="81"/>
      <c r="G252" s="52"/>
      <c r="H252" s="48"/>
      <c r="I252" s="85"/>
      <c r="J252" s="85"/>
      <c r="K252" s="85"/>
      <c r="L252" s="85"/>
      <c r="M252" s="85"/>
      <c r="N252" s="85"/>
      <c r="O252" s="85"/>
      <c r="P252" s="85"/>
      <c r="Q252" s="85"/>
      <c r="R252" s="85"/>
    </row>
    <row r="253" spans="2:18">
      <c r="B253" s="83"/>
      <c r="C253" s="83"/>
      <c r="D253" s="51"/>
      <c r="E253" s="48"/>
      <c r="F253" s="81"/>
      <c r="G253" s="52"/>
      <c r="H253" s="48"/>
      <c r="I253" s="85"/>
      <c r="J253" s="85"/>
      <c r="K253" s="85"/>
      <c r="L253" s="85"/>
      <c r="M253" s="85"/>
      <c r="N253" s="85"/>
      <c r="O253" s="85"/>
      <c r="P253" s="85"/>
      <c r="Q253" s="85"/>
      <c r="R253" s="85"/>
    </row>
    <row r="254" spans="2:18">
      <c r="B254" s="83"/>
      <c r="C254" s="83"/>
      <c r="D254" s="51"/>
      <c r="E254" s="48"/>
      <c r="F254" s="81"/>
      <c r="G254" s="52"/>
      <c r="H254" s="48"/>
      <c r="I254" s="85"/>
      <c r="J254" s="85"/>
      <c r="K254" s="85"/>
      <c r="L254" s="85"/>
      <c r="M254" s="85"/>
      <c r="N254" s="85"/>
      <c r="O254" s="85"/>
      <c r="P254" s="85"/>
      <c r="Q254" s="85"/>
      <c r="R254" s="85"/>
    </row>
    <row r="255" spans="2:18">
      <c r="B255" s="83"/>
      <c r="C255" s="83"/>
      <c r="D255" s="51"/>
      <c r="E255" s="48"/>
      <c r="F255" s="81"/>
      <c r="G255" s="52"/>
      <c r="H255" s="48"/>
      <c r="I255" s="85"/>
      <c r="J255" s="85"/>
      <c r="K255" s="85"/>
      <c r="L255" s="85"/>
      <c r="M255" s="85"/>
      <c r="N255" s="85"/>
      <c r="O255" s="85"/>
      <c r="P255" s="85"/>
      <c r="Q255" s="85"/>
      <c r="R255" s="85"/>
    </row>
    <row r="256" spans="2:18">
      <c r="B256" s="83"/>
      <c r="C256" s="83"/>
      <c r="D256" s="51"/>
      <c r="E256" s="48"/>
      <c r="F256" s="81"/>
      <c r="G256" s="52"/>
      <c r="H256" s="48"/>
      <c r="I256" s="85"/>
      <c r="J256" s="85"/>
      <c r="K256" s="85"/>
      <c r="L256" s="85"/>
      <c r="M256" s="85"/>
      <c r="N256" s="85"/>
      <c r="O256" s="85"/>
      <c r="P256" s="85"/>
      <c r="Q256" s="85"/>
      <c r="R256" s="85"/>
    </row>
    <row r="257" spans="2:18">
      <c r="B257" s="83"/>
      <c r="C257" s="83"/>
      <c r="D257" s="51"/>
      <c r="E257" s="48"/>
      <c r="F257" s="81"/>
      <c r="G257" s="52"/>
      <c r="H257" s="48"/>
      <c r="I257" s="85"/>
      <c r="J257" s="85"/>
      <c r="K257" s="85"/>
      <c r="L257" s="85"/>
      <c r="M257" s="85"/>
      <c r="N257" s="85"/>
      <c r="O257" s="85"/>
      <c r="P257" s="85"/>
      <c r="Q257" s="85"/>
      <c r="R257" s="85"/>
    </row>
    <row r="258" spans="2:18">
      <c r="B258" s="83"/>
      <c r="C258" s="83"/>
      <c r="D258" s="51"/>
      <c r="E258" s="48"/>
      <c r="F258" s="81"/>
      <c r="G258" s="52"/>
      <c r="H258" s="48"/>
      <c r="I258" s="85"/>
      <c r="J258" s="85"/>
      <c r="K258" s="85"/>
      <c r="L258" s="85"/>
      <c r="M258" s="85"/>
      <c r="N258" s="85"/>
      <c r="O258" s="85"/>
      <c r="P258" s="85"/>
      <c r="Q258" s="85"/>
      <c r="R258" s="85"/>
    </row>
    <row r="259" spans="2:18">
      <c r="B259" s="83"/>
      <c r="C259" s="83"/>
      <c r="D259" s="51"/>
      <c r="E259" s="48"/>
      <c r="F259" s="81"/>
      <c r="G259" s="52"/>
      <c r="H259" s="48"/>
      <c r="I259" s="85"/>
      <c r="J259" s="85"/>
      <c r="K259" s="85"/>
      <c r="L259" s="85"/>
      <c r="M259" s="85"/>
      <c r="N259" s="85"/>
      <c r="O259" s="85"/>
      <c r="P259" s="85"/>
      <c r="Q259" s="85"/>
      <c r="R259" s="85"/>
    </row>
    <row r="260" spans="2:18">
      <c r="B260" s="83"/>
      <c r="C260" s="83"/>
      <c r="D260" s="51"/>
      <c r="E260" s="48"/>
      <c r="F260" s="81"/>
      <c r="G260" s="52"/>
      <c r="H260" s="48"/>
      <c r="I260" s="85"/>
      <c r="J260" s="85"/>
      <c r="K260" s="85"/>
      <c r="L260" s="85"/>
      <c r="M260" s="85"/>
      <c r="N260" s="85"/>
      <c r="O260" s="85"/>
      <c r="P260" s="85"/>
      <c r="Q260" s="85"/>
      <c r="R260" s="85"/>
    </row>
    <row r="261" spans="2:18">
      <c r="B261" s="83"/>
      <c r="C261" s="83"/>
      <c r="D261" s="51"/>
      <c r="E261" s="48"/>
      <c r="F261" s="81"/>
      <c r="G261" s="52"/>
      <c r="H261" s="48"/>
      <c r="I261" s="85"/>
      <c r="J261" s="85"/>
      <c r="K261" s="85"/>
      <c r="L261" s="85"/>
      <c r="M261" s="85"/>
      <c r="N261" s="85"/>
      <c r="O261" s="85"/>
      <c r="P261" s="85"/>
      <c r="Q261" s="85"/>
      <c r="R261" s="85"/>
    </row>
    <row r="262" spans="2:18">
      <c r="B262" s="83"/>
      <c r="C262" s="83"/>
      <c r="D262" s="51"/>
      <c r="E262" s="48"/>
      <c r="F262" s="81"/>
      <c r="G262" s="52"/>
      <c r="H262" s="48"/>
      <c r="I262" s="85"/>
      <c r="J262" s="85"/>
      <c r="K262" s="85"/>
      <c r="L262" s="85"/>
      <c r="M262" s="85"/>
      <c r="N262" s="85"/>
      <c r="O262" s="85"/>
      <c r="P262" s="85"/>
      <c r="Q262" s="85"/>
      <c r="R262" s="85"/>
    </row>
    <row r="263" spans="2:18">
      <c r="B263" s="83"/>
      <c r="C263" s="83"/>
      <c r="D263" s="51"/>
      <c r="E263" s="48"/>
      <c r="F263" s="81"/>
      <c r="G263" s="52"/>
      <c r="H263" s="48"/>
      <c r="I263" s="85"/>
      <c r="J263" s="85"/>
      <c r="K263" s="85"/>
      <c r="L263" s="85"/>
      <c r="M263" s="85"/>
      <c r="N263" s="85"/>
      <c r="O263" s="85"/>
      <c r="P263" s="85"/>
      <c r="Q263" s="85"/>
      <c r="R263" s="85"/>
    </row>
    <row r="264" spans="2:18">
      <c r="B264" s="83"/>
      <c r="C264" s="83"/>
      <c r="D264" s="51"/>
      <c r="E264" s="48"/>
      <c r="F264" s="81"/>
      <c r="G264" s="52"/>
      <c r="H264" s="48"/>
      <c r="I264" s="85"/>
      <c r="J264" s="85"/>
      <c r="K264" s="85"/>
      <c r="L264" s="85"/>
      <c r="M264" s="85"/>
      <c r="N264" s="85"/>
      <c r="O264" s="85"/>
      <c r="P264" s="85"/>
      <c r="Q264" s="85"/>
      <c r="R264" s="85"/>
    </row>
    <row r="265" spans="2:18">
      <c r="B265" s="83"/>
      <c r="C265" s="83"/>
      <c r="D265" s="51"/>
      <c r="E265" s="48"/>
      <c r="F265" s="81"/>
      <c r="G265" s="52"/>
      <c r="H265" s="48"/>
      <c r="I265" s="85"/>
      <c r="J265" s="85"/>
      <c r="K265" s="85"/>
      <c r="L265" s="85"/>
      <c r="M265" s="85"/>
      <c r="N265" s="85"/>
      <c r="O265" s="85"/>
      <c r="P265" s="85"/>
      <c r="Q265" s="85"/>
      <c r="R265" s="85"/>
    </row>
    <row r="266" spans="2:18">
      <c r="B266" s="83"/>
      <c r="C266" s="83"/>
      <c r="D266" s="51"/>
      <c r="E266" s="48"/>
      <c r="F266" s="81"/>
      <c r="G266" s="52"/>
      <c r="H266" s="48"/>
      <c r="I266" s="85"/>
      <c r="J266" s="85"/>
      <c r="K266" s="85"/>
      <c r="L266" s="85"/>
      <c r="M266" s="85"/>
      <c r="N266" s="85"/>
      <c r="O266" s="85"/>
      <c r="P266" s="85"/>
      <c r="Q266" s="85"/>
      <c r="R266" s="85"/>
    </row>
    <row r="267" spans="2:18">
      <c r="B267" s="83"/>
      <c r="C267" s="83"/>
      <c r="D267" s="51"/>
      <c r="E267" s="48"/>
      <c r="F267" s="81"/>
      <c r="G267" s="52"/>
      <c r="H267" s="48"/>
      <c r="I267" s="85"/>
      <c r="J267" s="85"/>
      <c r="K267" s="85"/>
      <c r="L267" s="85"/>
      <c r="M267" s="85"/>
      <c r="N267" s="85"/>
      <c r="O267" s="85"/>
      <c r="P267" s="85"/>
      <c r="Q267" s="85"/>
      <c r="R267" s="85"/>
    </row>
    <row r="268" spans="2:18">
      <c r="B268" s="83"/>
      <c r="C268" s="83"/>
      <c r="D268" s="51"/>
      <c r="E268" s="48"/>
      <c r="F268" s="81"/>
      <c r="G268" s="52"/>
      <c r="H268" s="48"/>
      <c r="I268" s="85"/>
      <c r="J268" s="85"/>
      <c r="K268" s="85"/>
      <c r="L268" s="85"/>
      <c r="M268" s="85"/>
      <c r="N268" s="85"/>
      <c r="O268" s="85"/>
      <c r="P268" s="85"/>
      <c r="Q268" s="85"/>
      <c r="R268" s="85"/>
    </row>
    <row r="269" spans="2:18">
      <c r="B269" s="83"/>
      <c r="C269" s="83"/>
      <c r="D269" s="51"/>
      <c r="E269" s="48"/>
      <c r="F269" s="81"/>
      <c r="G269" s="52"/>
      <c r="H269" s="48"/>
      <c r="I269" s="85"/>
      <c r="J269" s="85"/>
      <c r="K269" s="85"/>
      <c r="L269" s="85"/>
      <c r="M269" s="85"/>
      <c r="N269" s="85"/>
      <c r="O269" s="85"/>
      <c r="P269" s="85"/>
      <c r="Q269" s="85"/>
      <c r="R269" s="85"/>
    </row>
    <row r="270" spans="2:18">
      <c r="B270" s="83"/>
      <c r="C270" s="83"/>
      <c r="D270" s="51"/>
      <c r="E270" s="48"/>
      <c r="F270" s="81"/>
      <c r="G270" s="52"/>
      <c r="H270" s="48"/>
      <c r="I270" s="85"/>
      <c r="J270" s="85"/>
      <c r="K270" s="85"/>
      <c r="L270" s="85"/>
      <c r="M270" s="85"/>
      <c r="N270" s="85"/>
      <c r="O270" s="85"/>
      <c r="P270" s="85"/>
      <c r="Q270" s="85"/>
      <c r="R270" s="85"/>
    </row>
    <row r="271" spans="2:18">
      <c r="B271" s="83"/>
      <c r="C271" s="83"/>
      <c r="D271" s="51"/>
      <c r="E271" s="48"/>
      <c r="F271" s="81"/>
      <c r="G271" s="52"/>
      <c r="H271" s="48"/>
      <c r="I271" s="85"/>
      <c r="J271" s="85"/>
      <c r="K271" s="85"/>
      <c r="L271" s="85"/>
      <c r="M271" s="85"/>
      <c r="N271" s="85"/>
      <c r="O271" s="85"/>
      <c r="P271" s="85"/>
      <c r="Q271" s="85"/>
      <c r="R271" s="85"/>
    </row>
    <row r="272" spans="2:18">
      <c r="B272" s="83"/>
      <c r="C272" s="83"/>
      <c r="D272" s="51"/>
      <c r="E272" s="48"/>
      <c r="F272" s="81"/>
      <c r="G272" s="52"/>
      <c r="H272" s="48"/>
      <c r="I272" s="85"/>
      <c r="J272" s="85"/>
      <c r="K272" s="85"/>
      <c r="L272" s="85"/>
      <c r="M272" s="85"/>
      <c r="N272" s="85"/>
      <c r="O272" s="85"/>
      <c r="P272" s="85"/>
      <c r="Q272" s="85"/>
      <c r="R272" s="85"/>
    </row>
    <row r="273" spans="2:18">
      <c r="B273" s="83"/>
      <c r="C273" s="83"/>
      <c r="D273" s="51"/>
      <c r="E273" s="48"/>
      <c r="F273" s="81"/>
      <c r="G273" s="52"/>
      <c r="H273" s="48"/>
      <c r="I273" s="85"/>
      <c r="J273" s="85"/>
      <c r="K273" s="85"/>
      <c r="L273" s="85"/>
      <c r="M273" s="85"/>
      <c r="N273" s="85"/>
      <c r="O273" s="85"/>
      <c r="P273" s="85"/>
      <c r="Q273" s="85"/>
      <c r="R273" s="85"/>
    </row>
    <row r="274" spans="2:18">
      <c r="B274" s="83"/>
      <c r="C274" s="83"/>
      <c r="D274" s="51"/>
      <c r="E274" s="48"/>
      <c r="F274" s="81"/>
      <c r="G274" s="52"/>
      <c r="H274" s="48"/>
      <c r="I274" s="85"/>
      <c r="J274" s="85"/>
      <c r="K274" s="85"/>
      <c r="L274" s="85"/>
      <c r="M274" s="85"/>
      <c r="N274" s="85"/>
      <c r="O274" s="85"/>
      <c r="P274" s="85"/>
      <c r="Q274" s="85"/>
      <c r="R274" s="85"/>
    </row>
    <row r="275" spans="2:18">
      <c r="B275" s="83"/>
      <c r="C275" s="83"/>
      <c r="D275" s="51"/>
      <c r="E275" s="48"/>
      <c r="F275" s="81"/>
      <c r="G275" s="52"/>
      <c r="H275" s="48"/>
      <c r="I275" s="85"/>
      <c r="J275" s="85"/>
      <c r="K275" s="85"/>
      <c r="L275" s="85"/>
      <c r="M275" s="85"/>
      <c r="N275" s="85"/>
      <c r="O275" s="85"/>
      <c r="P275" s="85"/>
      <c r="Q275" s="85"/>
      <c r="R275" s="85"/>
    </row>
    <row r="276" spans="2:18">
      <c r="B276" s="83"/>
      <c r="C276" s="83"/>
      <c r="D276" s="51"/>
      <c r="E276" s="48"/>
      <c r="F276" s="81"/>
      <c r="G276" s="52"/>
      <c r="H276" s="48"/>
      <c r="I276" s="85"/>
      <c r="J276" s="85"/>
      <c r="K276" s="85"/>
      <c r="L276" s="85"/>
      <c r="M276" s="85"/>
      <c r="N276" s="85"/>
      <c r="O276" s="85"/>
      <c r="P276" s="85"/>
      <c r="Q276" s="85"/>
      <c r="R276" s="85"/>
    </row>
    <row r="277" spans="2:18">
      <c r="B277" s="83"/>
      <c r="C277" s="83"/>
      <c r="D277" s="51"/>
      <c r="E277" s="48"/>
      <c r="F277" s="81"/>
      <c r="G277" s="52"/>
      <c r="H277" s="48"/>
      <c r="I277" s="85"/>
      <c r="J277" s="85"/>
      <c r="K277" s="85"/>
      <c r="L277" s="85"/>
      <c r="M277" s="85"/>
      <c r="N277" s="85"/>
      <c r="O277" s="85"/>
      <c r="P277" s="85"/>
      <c r="Q277" s="85"/>
      <c r="R277" s="85"/>
    </row>
    <row r="278" spans="2:18">
      <c r="B278" s="83"/>
      <c r="C278" s="83"/>
      <c r="D278" s="51"/>
      <c r="E278" s="48"/>
      <c r="F278" s="81"/>
      <c r="G278" s="52"/>
      <c r="H278" s="48"/>
      <c r="I278" s="85"/>
      <c r="J278" s="85"/>
      <c r="K278" s="85"/>
      <c r="L278" s="85"/>
      <c r="M278" s="85"/>
      <c r="N278" s="85"/>
      <c r="O278" s="85"/>
      <c r="P278" s="85"/>
      <c r="Q278" s="85"/>
      <c r="R278" s="85"/>
    </row>
    <row r="279" spans="2:18">
      <c r="B279" s="83"/>
      <c r="C279" s="83"/>
      <c r="D279" s="51"/>
      <c r="E279" s="48"/>
      <c r="F279" s="81"/>
      <c r="G279" s="52"/>
      <c r="H279" s="48"/>
      <c r="I279" s="85"/>
      <c r="J279" s="85"/>
      <c r="K279" s="85"/>
      <c r="L279" s="85"/>
      <c r="M279" s="85"/>
      <c r="N279" s="85"/>
      <c r="O279" s="85"/>
      <c r="P279" s="85"/>
      <c r="Q279" s="85"/>
      <c r="R279" s="85"/>
    </row>
    <row r="280" spans="2:18">
      <c r="B280" s="83"/>
      <c r="C280" s="83"/>
      <c r="D280" s="51"/>
      <c r="E280" s="48"/>
      <c r="F280" s="81"/>
      <c r="G280" s="52"/>
      <c r="H280" s="48"/>
      <c r="I280" s="85"/>
      <c r="J280" s="85"/>
      <c r="K280" s="85"/>
      <c r="L280" s="85"/>
      <c r="M280" s="85"/>
      <c r="N280" s="85"/>
      <c r="O280" s="85"/>
      <c r="P280" s="85"/>
      <c r="Q280" s="85"/>
      <c r="R280" s="85"/>
    </row>
    <row r="281" spans="2:18">
      <c r="B281" s="83"/>
      <c r="C281" s="83"/>
      <c r="D281" s="51"/>
      <c r="E281" s="48"/>
      <c r="F281" s="81"/>
      <c r="G281" s="52"/>
      <c r="H281" s="48"/>
      <c r="I281" s="85"/>
      <c r="J281" s="85"/>
      <c r="K281" s="85"/>
      <c r="L281" s="85"/>
      <c r="M281" s="85"/>
      <c r="N281" s="85"/>
      <c r="O281" s="85"/>
      <c r="P281" s="85"/>
      <c r="Q281" s="85"/>
      <c r="R281" s="85"/>
    </row>
    <row r="282" spans="2:18">
      <c r="B282" s="83"/>
      <c r="C282" s="83"/>
      <c r="D282" s="51"/>
      <c r="E282" s="48"/>
      <c r="F282" s="81"/>
      <c r="G282" s="52"/>
      <c r="H282" s="48"/>
      <c r="I282" s="85"/>
      <c r="J282" s="85"/>
      <c r="K282" s="85"/>
      <c r="L282" s="85"/>
      <c r="M282" s="85"/>
      <c r="N282" s="85"/>
      <c r="O282" s="85"/>
      <c r="P282" s="85"/>
      <c r="Q282" s="85"/>
      <c r="R282" s="85"/>
    </row>
    <row r="283" spans="2:18">
      <c r="B283" s="83"/>
      <c r="C283" s="83"/>
      <c r="D283" s="51"/>
      <c r="E283" s="48"/>
      <c r="F283" s="81"/>
      <c r="G283" s="52"/>
      <c r="H283" s="48"/>
      <c r="I283" s="85"/>
      <c r="J283" s="85"/>
      <c r="K283" s="85"/>
      <c r="L283" s="85"/>
      <c r="M283" s="85"/>
      <c r="N283" s="85"/>
      <c r="O283" s="85"/>
      <c r="P283" s="85"/>
      <c r="Q283" s="85"/>
      <c r="R283" s="85"/>
    </row>
    <row r="284" spans="2:18">
      <c r="B284" s="83"/>
      <c r="C284" s="83"/>
      <c r="D284" s="51"/>
      <c r="E284" s="48"/>
      <c r="F284" s="81"/>
      <c r="G284" s="52"/>
      <c r="H284" s="48"/>
      <c r="I284" s="85"/>
      <c r="J284" s="85"/>
      <c r="K284" s="85"/>
      <c r="L284" s="85"/>
      <c r="M284" s="85"/>
      <c r="N284" s="85"/>
      <c r="O284" s="85"/>
      <c r="P284" s="85"/>
      <c r="Q284" s="85"/>
      <c r="R284" s="85"/>
    </row>
    <row r="285" spans="2:18">
      <c r="B285" s="83"/>
      <c r="C285" s="83"/>
      <c r="D285" s="51"/>
      <c r="E285" s="48"/>
      <c r="F285" s="81"/>
      <c r="G285" s="52"/>
      <c r="H285" s="48"/>
      <c r="I285" s="85"/>
      <c r="J285" s="85"/>
      <c r="K285" s="85"/>
      <c r="L285" s="85"/>
      <c r="M285" s="85"/>
      <c r="N285" s="85"/>
      <c r="O285" s="85"/>
      <c r="P285" s="85"/>
      <c r="Q285" s="85"/>
      <c r="R285" s="85"/>
    </row>
    <row r="286" spans="2:18">
      <c r="B286" s="83"/>
      <c r="C286" s="83"/>
      <c r="D286" s="51"/>
      <c r="E286" s="48"/>
      <c r="F286" s="81"/>
      <c r="G286" s="52"/>
      <c r="H286" s="48"/>
      <c r="I286" s="85"/>
      <c r="J286" s="85"/>
      <c r="K286" s="85"/>
      <c r="L286" s="85"/>
      <c r="M286" s="85"/>
      <c r="N286" s="85"/>
      <c r="O286" s="85"/>
      <c r="P286" s="85"/>
      <c r="Q286" s="85"/>
      <c r="R286" s="85"/>
    </row>
    <row r="287" spans="2:18">
      <c r="B287" s="83"/>
      <c r="C287" s="83"/>
      <c r="D287" s="51"/>
      <c r="E287" s="48"/>
      <c r="F287" s="81"/>
      <c r="G287" s="52"/>
      <c r="H287" s="48"/>
      <c r="I287" s="85"/>
      <c r="J287" s="85"/>
      <c r="K287" s="85"/>
      <c r="L287" s="85"/>
      <c r="M287" s="85"/>
      <c r="N287" s="85"/>
      <c r="O287" s="85"/>
      <c r="P287" s="85"/>
      <c r="Q287" s="85"/>
      <c r="R287" s="85"/>
    </row>
    <row r="288" spans="2:18">
      <c r="B288" s="83"/>
      <c r="C288" s="83"/>
      <c r="D288" s="51"/>
      <c r="E288" s="48"/>
      <c r="F288" s="81"/>
      <c r="G288" s="52"/>
      <c r="H288" s="48"/>
      <c r="I288" s="85"/>
      <c r="J288" s="85"/>
      <c r="K288" s="85"/>
      <c r="L288" s="85"/>
      <c r="M288" s="85"/>
      <c r="N288" s="85"/>
      <c r="O288" s="85"/>
      <c r="P288" s="85"/>
      <c r="Q288" s="85"/>
      <c r="R288" s="85"/>
    </row>
    <row r="289" spans="2:18">
      <c r="B289" s="83"/>
      <c r="C289" s="83"/>
      <c r="D289" s="51"/>
      <c r="E289" s="48"/>
      <c r="F289" s="81"/>
      <c r="G289" s="52"/>
      <c r="H289" s="48"/>
      <c r="I289" s="85"/>
      <c r="J289" s="85"/>
      <c r="K289" s="85"/>
      <c r="L289" s="85"/>
      <c r="M289" s="85"/>
      <c r="N289" s="85"/>
      <c r="O289" s="85"/>
      <c r="P289" s="85"/>
      <c r="Q289" s="85"/>
      <c r="R289" s="85"/>
    </row>
    <row r="290" spans="2:18">
      <c r="B290" s="83"/>
      <c r="C290" s="83"/>
      <c r="D290" s="51"/>
      <c r="E290" s="48"/>
      <c r="F290" s="81"/>
      <c r="G290" s="52"/>
      <c r="H290" s="48"/>
      <c r="I290" s="85"/>
      <c r="J290" s="85"/>
      <c r="K290" s="85"/>
      <c r="L290" s="85"/>
      <c r="M290" s="85"/>
      <c r="N290" s="85"/>
      <c r="O290" s="85"/>
      <c r="P290" s="85"/>
      <c r="Q290" s="85"/>
      <c r="R290" s="85"/>
    </row>
    <row r="291" spans="2:18">
      <c r="B291" s="83"/>
      <c r="C291" s="83"/>
      <c r="D291" s="51"/>
      <c r="E291" s="48"/>
      <c r="F291" s="81"/>
      <c r="G291" s="52"/>
      <c r="H291" s="48"/>
      <c r="I291" s="85"/>
      <c r="J291" s="85"/>
      <c r="K291" s="85"/>
      <c r="L291" s="85"/>
      <c r="M291" s="85"/>
      <c r="N291" s="85"/>
      <c r="O291" s="85"/>
      <c r="P291" s="85"/>
      <c r="Q291" s="85"/>
      <c r="R291" s="85"/>
    </row>
    <row r="292" spans="2:18">
      <c r="B292" s="83"/>
      <c r="C292" s="83"/>
      <c r="D292" s="51"/>
      <c r="E292" s="48"/>
      <c r="F292" s="81"/>
      <c r="G292" s="52"/>
      <c r="H292" s="48"/>
      <c r="I292" s="85"/>
      <c r="J292" s="85"/>
      <c r="K292" s="85"/>
      <c r="L292" s="85"/>
      <c r="M292" s="85"/>
      <c r="N292" s="85"/>
      <c r="O292" s="85"/>
      <c r="P292" s="85"/>
      <c r="Q292" s="85"/>
      <c r="R292" s="85"/>
    </row>
    <row r="293" spans="2:18">
      <c r="B293" s="83"/>
      <c r="C293" s="83"/>
      <c r="D293" s="51"/>
      <c r="E293" s="48"/>
      <c r="F293" s="81"/>
      <c r="G293" s="52"/>
      <c r="H293" s="48"/>
      <c r="I293" s="85"/>
      <c r="J293" s="85"/>
      <c r="K293" s="85"/>
      <c r="L293" s="85"/>
      <c r="M293" s="85"/>
      <c r="N293" s="85"/>
      <c r="O293" s="85"/>
      <c r="P293" s="85"/>
      <c r="Q293" s="85"/>
      <c r="R293" s="85"/>
    </row>
    <row r="294" spans="2:18">
      <c r="B294" s="83"/>
      <c r="C294" s="83"/>
      <c r="D294" s="51"/>
      <c r="E294" s="48"/>
      <c r="F294" s="81"/>
      <c r="G294" s="52"/>
      <c r="H294" s="48"/>
      <c r="I294" s="85"/>
      <c r="J294" s="85"/>
      <c r="K294" s="85"/>
      <c r="L294" s="85"/>
      <c r="M294" s="85"/>
      <c r="N294" s="85"/>
      <c r="O294" s="85"/>
      <c r="P294" s="85"/>
      <c r="Q294" s="85"/>
      <c r="R294" s="85"/>
    </row>
    <row r="295" spans="2:18">
      <c r="B295" s="83"/>
      <c r="C295" s="83"/>
      <c r="D295" s="51"/>
      <c r="E295" s="48"/>
      <c r="F295" s="81"/>
      <c r="G295" s="52"/>
      <c r="H295" s="48"/>
      <c r="I295" s="85"/>
      <c r="J295" s="85"/>
      <c r="K295" s="85"/>
      <c r="L295" s="85"/>
      <c r="M295" s="85"/>
      <c r="N295" s="85"/>
      <c r="O295" s="85"/>
      <c r="P295" s="85"/>
      <c r="Q295" s="85"/>
      <c r="R295" s="85"/>
    </row>
    <row r="296" spans="2:18">
      <c r="B296" s="83"/>
      <c r="C296" s="83"/>
      <c r="D296" s="51"/>
      <c r="E296" s="48"/>
      <c r="F296" s="81"/>
      <c r="G296" s="52"/>
      <c r="H296" s="48"/>
      <c r="I296" s="85"/>
      <c r="J296" s="85"/>
      <c r="K296" s="85"/>
      <c r="L296" s="85"/>
      <c r="M296" s="85"/>
      <c r="N296" s="85"/>
      <c r="O296" s="85"/>
      <c r="P296" s="85"/>
      <c r="Q296" s="85"/>
      <c r="R296" s="85"/>
    </row>
    <row r="297" spans="2:18">
      <c r="B297" s="83"/>
      <c r="C297" s="83"/>
      <c r="D297" s="51"/>
      <c r="E297" s="48"/>
      <c r="F297" s="81"/>
      <c r="G297" s="52"/>
      <c r="H297" s="48"/>
      <c r="I297" s="85"/>
      <c r="J297" s="85"/>
      <c r="K297" s="85"/>
      <c r="L297" s="85"/>
      <c r="M297" s="85"/>
      <c r="N297" s="85"/>
      <c r="O297" s="85"/>
      <c r="P297" s="85"/>
      <c r="Q297" s="85"/>
      <c r="R297" s="85"/>
    </row>
    <row r="298" spans="2:18">
      <c r="B298" s="83"/>
      <c r="C298" s="83"/>
      <c r="D298" s="51"/>
      <c r="E298" s="48"/>
      <c r="F298" s="81"/>
      <c r="G298" s="52"/>
      <c r="H298" s="48"/>
      <c r="I298" s="85"/>
      <c r="J298" s="85"/>
      <c r="K298" s="85"/>
      <c r="L298" s="85"/>
      <c r="M298" s="85"/>
      <c r="N298" s="85"/>
      <c r="O298" s="85"/>
      <c r="P298" s="85"/>
      <c r="Q298" s="85"/>
      <c r="R298" s="85"/>
    </row>
    <row r="299" spans="2:18">
      <c r="B299" s="83"/>
      <c r="C299" s="83"/>
      <c r="D299" s="51"/>
      <c r="E299" s="48"/>
      <c r="F299" s="81"/>
      <c r="G299" s="52"/>
      <c r="H299" s="48"/>
      <c r="I299" s="85"/>
      <c r="J299" s="85"/>
      <c r="K299" s="85"/>
      <c r="L299" s="85"/>
      <c r="M299" s="85"/>
      <c r="N299" s="85"/>
      <c r="O299" s="85"/>
      <c r="P299" s="85"/>
      <c r="Q299" s="85"/>
      <c r="R299" s="85"/>
    </row>
    <row r="300" spans="2:18">
      <c r="B300" s="83"/>
      <c r="C300" s="83"/>
      <c r="D300" s="51"/>
      <c r="E300" s="48"/>
      <c r="F300" s="81"/>
      <c r="G300" s="52"/>
      <c r="H300" s="48"/>
      <c r="I300" s="85"/>
      <c r="J300" s="85"/>
      <c r="K300" s="85"/>
      <c r="L300" s="85"/>
      <c r="M300" s="85"/>
      <c r="N300" s="85"/>
      <c r="O300" s="85"/>
      <c r="P300" s="85"/>
      <c r="Q300" s="85"/>
      <c r="R300" s="85"/>
    </row>
    <row r="301" spans="2:18">
      <c r="B301" s="83"/>
      <c r="C301" s="83"/>
      <c r="D301" s="51"/>
      <c r="E301" s="48"/>
      <c r="F301" s="81"/>
      <c r="G301" s="52"/>
      <c r="H301" s="48"/>
      <c r="I301" s="85"/>
      <c r="J301" s="85"/>
      <c r="K301" s="85"/>
      <c r="L301" s="85"/>
      <c r="M301" s="85"/>
      <c r="N301" s="85"/>
      <c r="O301" s="85"/>
      <c r="P301" s="85"/>
      <c r="Q301" s="85"/>
      <c r="R301" s="85"/>
    </row>
    <row r="302" spans="2:18">
      <c r="B302" s="83"/>
      <c r="C302" s="83"/>
      <c r="D302" s="51"/>
      <c r="E302" s="48"/>
      <c r="F302" s="81"/>
      <c r="G302" s="52"/>
      <c r="H302" s="48"/>
      <c r="I302" s="85"/>
      <c r="J302" s="85"/>
      <c r="K302" s="85"/>
      <c r="L302" s="85"/>
      <c r="M302" s="85"/>
      <c r="N302" s="85"/>
      <c r="O302" s="85"/>
      <c r="P302" s="85"/>
      <c r="Q302" s="85"/>
      <c r="R302" s="85"/>
    </row>
    <row r="303" spans="2:18">
      <c r="B303" s="83"/>
      <c r="C303" s="83"/>
      <c r="D303" s="51"/>
      <c r="E303" s="48"/>
      <c r="F303" s="81"/>
      <c r="G303" s="52"/>
      <c r="H303" s="48"/>
      <c r="I303" s="85"/>
      <c r="J303" s="85"/>
      <c r="K303" s="85"/>
      <c r="L303" s="85"/>
      <c r="M303" s="85"/>
      <c r="N303" s="85"/>
      <c r="O303" s="85"/>
      <c r="P303" s="85"/>
      <c r="Q303" s="85"/>
      <c r="R303" s="85"/>
    </row>
    <row r="304" spans="2:18">
      <c r="B304" s="83"/>
      <c r="C304" s="83"/>
      <c r="D304" s="51"/>
      <c r="E304" s="48"/>
      <c r="F304" s="81"/>
      <c r="G304" s="52"/>
      <c r="H304" s="48"/>
      <c r="I304" s="85"/>
      <c r="J304" s="85"/>
      <c r="K304" s="85"/>
      <c r="L304" s="85"/>
      <c r="M304" s="85"/>
      <c r="N304" s="85"/>
      <c r="O304" s="85"/>
      <c r="P304" s="85"/>
      <c r="Q304" s="85"/>
      <c r="R304" s="85"/>
    </row>
    <row r="305" spans="2:18">
      <c r="B305" s="83"/>
      <c r="C305" s="83"/>
      <c r="D305" s="51"/>
      <c r="E305" s="48"/>
      <c r="F305" s="81"/>
      <c r="G305" s="52"/>
      <c r="H305" s="48"/>
      <c r="I305" s="85"/>
      <c r="J305" s="85"/>
      <c r="K305" s="85"/>
      <c r="L305" s="85"/>
      <c r="M305" s="85"/>
      <c r="N305" s="85"/>
      <c r="O305" s="85"/>
      <c r="P305" s="85"/>
      <c r="Q305" s="85"/>
      <c r="R305" s="85"/>
    </row>
    <row r="306" spans="2:18">
      <c r="B306" s="83"/>
      <c r="C306" s="83"/>
      <c r="D306" s="51"/>
      <c r="E306" s="48"/>
      <c r="F306" s="81"/>
      <c r="G306" s="52"/>
      <c r="H306" s="48"/>
      <c r="I306" s="85"/>
      <c r="J306" s="85"/>
      <c r="K306" s="85"/>
      <c r="L306" s="85"/>
      <c r="M306" s="85"/>
      <c r="N306" s="85"/>
      <c r="O306" s="85"/>
      <c r="P306" s="85"/>
      <c r="Q306" s="85"/>
      <c r="R306" s="85"/>
    </row>
    <row r="307" spans="2:18">
      <c r="B307" s="83"/>
      <c r="C307" s="83"/>
      <c r="D307" s="51"/>
      <c r="E307" s="48"/>
      <c r="F307" s="81"/>
      <c r="G307" s="52"/>
      <c r="H307" s="48"/>
      <c r="I307" s="85"/>
      <c r="J307" s="85"/>
      <c r="K307" s="85"/>
      <c r="L307" s="85"/>
      <c r="M307" s="85"/>
      <c r="N307" s="85"/>
      <c r="O307" s="85"/>
      <c r="P307" s="85"/>
      <c r="Q307" s="85"/>
      <c r="R307" s="85"/>
    </row>
    <row r="308" spans="2:18">
      <c r="B308" s="83"/>
      <c r="C308" s="83"/>
      <c r="D308" s="51"/>
      <c r="E308" s="48"/>
      <c r="F308" s="81"/>
      <c r="G308" s="52"/>
      <c r="H308" s="48"/>
      <c r="I308" s="85"/>
      <c r="J308" s="85"/>
      <c r="K308" s="85"/>
      <c r="L308" s="85"/>
      <c r="M308" s="85"/>
      <c r="N308" s="85"/>
      <c r="O308" s="85"/>
      <c r="P308" s="85"/>
      <c r="Q308" s="85"/>
      <c r="R308" s="85"/>
    </row>
    <row r="309" spans="2:18">
      <c r="B309" s="83"/>
      <c r="C309" s="83"/>
      <c r="D309" s="51"/>
      <c r="E309" s="48"/>
      <c r="F309" s="81"/>
      <c r="G309" s="52"/>
      <c r="H309" s="48"/>
      <c r="I309" s="85"/>
      <c r="J309" s="85"/>
      <c r="K309" s="85"/>
      <c r="L309" s="85"/>
      <c r="M309" s="85"/>
      <c r="N309" s="85"/>
      <c r="O309" s="85"/>
      <c r="P309" s="85"/>
      <c r="Q309" s="85"/>
      <c r="R309" s="85"/>
    </row>
    <row r="310" spans="2:18">
      <c r="B310" s="83"/>
      <c r="C310" s="83"/>
      <c r="D310" s="51"/>
      <c r="E310" s="48"/>
      <c r="F310" s="81"/>
      <c r="G310" s="52"/>
      <c r="H310" s="48"/>
      <c r="I310" s="85"/>
      <c r="J310" s="85"/>
      <c r="K310" s="85"/>
      <c r="L310" s="85"/>
      <c r="M310" s="85"/>
      <c r="N310" s="85"/>
      <c r="O310" s="85"/>
      <c r="P310" s="85"/>
      <c r="Q310" s="85"/>
      <c r="R310" s="85"/>
    </row>
    <row r="311" spans="2:18">
      <c r="B311" s="83"/>
      <c r="C311" s="83"/>
      <c r="D311" s="51"/>
      <c r="E311" s="48"/>
      <c r="F311" s="81"/>
      <c r="G311" s="52"/>
      <c r="H311" s="48"/>
      <c r="I311" s="85"/>
      <c r="J311" s="85"/>
      <c r="K311" s="85"/>
      <c r="L311" s="85"/>
      <c r="M311" s="85"/>
      <c r="N311" s="85"/>
      <c r="O311" s="85"/>
      <c r="P311" s="85"/>
      <c r="Q311" s="85"/>
      <c r="R311" s="85"/>
    </row>
    <row r="312" spans="2:18">
      <c r="B312" s="83"/>
      <c r="C312" s="83"/>
      <c r="D312" s="51"/>
      <c r="E312" s="48"/>
      <c r="F312" s="81"/>
      <c r="G312" s="52"/>
      <c r="H312" s="48"/>
      <c r="I312" s="85"/>
      <c r="J312" s="85"/>
      <c r="K312" s="85"/>
      <c r="L312" s="85"/>
      <c r="M312" s="85"/>
      <c r="N312" s="85"/>
      <c r="O312" s="85"/>
      <c r="P312" s="85"/>
      <c r="Q312" s="85"/>
      <c r="R312" s="85"/>
    </row>
    <row r="313" spans="2:18">
      <c r="B313" s="83"/>
      <c r="C313" s="83"/>
      <c r="D313" s="51"/>
      <c r="E313" s="48"/>
      <c r="F313" s="81"/>
      <c r="G313" s="52"/>
      <c r="H313" s="48"/>
      <c r="I313" s="85"/>
      <c r="J313" s="85"/>
      <c r="K313" s="85"/>
      <c r="L313" s="85"/>
      <c r="M313" s="85"/>
      <c r="N313" s="85"/>
      <c r="O313" s="85"/>
      <c r="P313" s="85"/>
      <c r="Q313" s="85"/>
      <c r="R313" s="85"/>
    </row>
    <row r="314" spans="2:18">
      <c r="B314" s="83"/>
      <c r="C314" s="83"/>
      <c r="D314" s="51"/>
      <c r="E314" s="48"/>
      <c r="F314" s="81"/>
      <c r="G314" s="52"/>
      <c r="H314" s="48"/>
      <c r="I314" s="85"/>
      <c r="J314" s="85"/>
      <c r="K314" s="85"/>
      <c r="L314" s="85"/>
      <c r="M314" s="85"/>
      <c r="N314" s="85"/>
      <c r="O314" s="85"/>
      <c r="P314" s="85"/>
      <c r="Q314" s="85"/>
      <c r="R314" s="85"/>
    </row>
    <row r="315" spans="2:18">
      <c r="B315" s="83"/>
      <c r="C315" s="83"/>
      <c r="D315" s="51"/>
      <c r="E315" s="48"/>
      <c r="F315" s="81"/>
      <c r="G315" s="52"/>
      <c r="H315" s="48"/>
      <c r="I315" s="85"/>
      <c r="J315" s="85"/>
      <c r="K315" s="85"/>
      <c r="L315" s="85"/>
      <c r="M315" s="85"/>
      <c r="N315" s="85"/>
      <c r="O315" s="85"/>
      <c r="P315" s="85"/>
      <c r="Q315" s="85"/>
      <c r="R315" s="85"/>
    </row>
    <row r="316" spans="2:18">
      <c r="B316" s="83"/>
      <c r="C316" s="83"/>
      <c r="D316" s="51"/>
      <c r="E316" s="48"/>
      <c r="F316" s="81"/>
      <c r="G316" s="52"/>
      <c r="H316" s="48"/>
      <c r="I316" s="85"/>
      <c r="J316" s="85"/>
      <c r="K316" s="85"/>
      <c r="L316" s="85"/>
      <c r="M316" s="85"/>
      <c r="N316" s="85"/>
      <c r="O316" s="85"/>
      <c r="P316" s="85"/>
      <c r="Q316" s="85"/>
      <c r="R316" s="85"/>
    </row>
    <row r="317" spans="2:18">
      <c r="B317" s="83"/>
      <c r="C317" s="83"/>
      <c r="D317" s="51"/>
      <c r="E317" s="48"/>
      <c r="F317" s="81"/>
      <c r="G317" s="52"/>
      <c r="H317" s="48"/>
      <c r="I317" s="85"/>
      <c r="J317" s="85"/>
      <c r="K317" s="85"/>
      <c r="L317" s="85"/>
      <c r="M317" s="85"/>
      <c r="N317" s="85"/>
      <c r="O317" s="85"/>
      <c r="P317" s="85"/>
      <c r="Q317" s="85"/>
      <c r="R317" s="85"/>
    </row>
    <row r="318" spans="2:18">
      <c r="B318" s="83"/>
      <c r="C318" s="83"/>
      <c r="D318" s="51"/>
      <c r="E318" s="48"/>
      <c r="F318" s="81"/>
      <c r="G318" s="52"/>
      <c r="H318" s="48"/>
      <c r="I318" s="85"/>
      <c r="J318" s="85"/>
      <c r="K318" s="85"/>
      <c r="L318" s="85"/>
      <c r="M318" s="85"/>
      <c r="N318" s="85"/>
      <c r="O318" s="85"/>
      <c r="P318" s="85"/>
      <c r="Q318" s="85"/>
      <c r="R318" s="85"/>
    </row>
    <row r="319" spans="2:18">
      <c r="B319" s="83"/>
      <c r="C319" s="83"/>
      <c r="D319" s="51"/>
      <c r="E319" s="48"/>
      <c r="F319" s="81"/>
      <c r="G319" s="52"/>
      <c r="H319" s="48"/>
      <c r="I319" s="85"/>
      <c r="J319" s="85"/>
      <c r="K319" s="85"/>
      <c r="L319" s="85"/>
      <c r="M319" s="85"/>
      <c r="N319" s="85"/>
      <c r="O319" s="85"/>
      <c r="P319" s="85"/>
      <c r="Q319" s="85"/>
      <c r="R319" s="85"/>
    </row>
    <row r="320" spans="2:18">
      <c r="B320" s="83"/>
      <c r="C320" s="83"/>
      <c r="D320" s="51"/>
      <c r="E320" s="48"/>
      <c r="F320" s="81"/>
      <c r="G320" s="52"/>
      <c r="H320" s="48"/>
      <c r="I320" s="85"/>
      <c r="J320" s="85"/>
      <c r="K320" s="85"/>
      <c r="L320" s="85"/>
      <c r="M320" s="85"/>
      <c r="N320" s="85"/>
      <c r="O320" s="85"/>
      <c r="P320" s="85"/>
      <c r="Q320" s="85"/>
      <c r="R320" s="85"/>
    </row>
    <row r="321" spans="2:18">
      <c r="B321" s="83"/>
      <c r="C321" s="83"/>
      <c r="D321" s="51"/>
      <c r="E321" s="48"/>
      <c r="F321" s="81"/>
      <c r="G321" s="52"/>
      <c r="H321" s="48"/>
      <c r="I321" s="85"/>
      <c r="J321" s="85"/>
      <c r="K321" s="85"/>
      <c r="L321" s="85"/>
      <c r="M321" s="85"/>
      <c r="N321" s="85"/>
      <c r="O321" s="85"/>
      <c r="P321" s="85"/>
      <c r="Q321" s="85"/>
      <c r="R321" s="85"/>
    </row>
    <row r="322" spans="2:18">
      <c r="B322" s="83"/>
      <c r="C322" s="83"/>
      <c r="D322" s="51"/>
      <c r="E322" s="48"/>
      <c r="F322" s="81"/>
      <c r="G322" s="52"/>
      <c r="H322" s="48"/>
      <c r="I322" s="85"/>
      <c r="J322" s="85"/>
      <c r="K322" s="85"/>
      <c r="L322" s="85"/>
      <c r="M322" s="85"/>
      <c r="N322" s="85"/>
      <c r="O322" s="85"/>
      <c r="P322" s="85"/>
      <c r="Q322" s="85"/>
      <c r="R322" s="85"/>
    </row>
    <row r="323" spans="2:18">
      <c r="B323" s="83"/>
      <c r="C323" s="83"/>
      <c r="D323" s="51"/>
      <c r="E323" s="48"/>
      <c r="F323" s="81"/>
      <c r="G323" s="52"/>
      <c r="H323" s="48"/>
      <c r="I323" s="85"/>
      <c r="J323" s="85"/>
      <c r="K323" s="85"/>
      <c r="L323" s="85"/>
      <c r="M323" s="85"/>
      <c r="N323" s="85"/>
      <c r="O323" s="85"/>
      <c r="P323" s="85"/>
      <c r="Q323" s="85"/>
      <c r="R323" s="85"/>
    </row>
    <row r="324" spans="2:18">
      <c r="B324" s="83"/>
      <c r="C324" s="83"/>
      <c r="D324" s="51"/>
      <c r="E324" s="48"/>
      <c r="F324" s="81"/>
      <c r="G324" s="52"/>
      <c r="H324" s="48"/>
      <c r="I324" s="85"/>
      <c r="J324" s="85"/>
      <c r="K324" s="85"/>
      <c r="L324" s="85"/>
      <c r="M324" s="85"/>
      <c r="N324" s="85"/>
      <c r="O324" s="85"/>
      <c r="P324" s="85"/>
      <c r="Q324" s="85"/>
      <c r="R324" s="85"/>
    </row>
    <row r="325" spans="2:18">
      <c r="B325" s="83"/>
      <c r="C325" s="83"/>
      <c r="D325" s="51"/>
      <c r="E325" s="48"/>
      <c r="F325" s="81"/>
      <c r="G325" s="52"/>
      <c r="H325" s="48"/>
      <c r="I325" s="85"/>
      <c r="J325" s="85"/>
      <c r="K325" s="85"/>
      <c r="L325" s="85"/>
      <c r="M325" s="85"/>
      <c r="N325" s="85"/>
      <c r="O325" s="85"/>
      <c r="P325" s="85"/>
      <c r="Q325" s="85"/>
      <c r="R325" s="85"/>
    </row>
    <row r="326" spans="2:18">
      <c r="B326" s="83"/>
      <c r="C326" s="83"/>
      <c r="D326" s="51"/>
      <c r="E326" s="48"/>
      <c r="F326" s="81"/>
      <c r="G326" s="52"/>
      <c r="H326" s="48"/>
      <c r="I326" s="85"/>
      <c r="J326" s="85"/>
      <c r="K326" s="85"/>
      <c r="L326" s="85"/>
      <c r="M326" s="85"/>
      <c r="N326" s="85"/>
      <c r="O326" s="85"/>
      <c r="P326" s="85"/>
      <c r="Q326" s="85"/>
      <c r="R326" s="85"/>
    </row>
    <row r="327" spans="2:18">
      <c r="B327" s="83"/>
      <c r="C327" s="83"/>
      <c r="D327" s="51"/>
      <c r="E327" s="48"/>
      <c r="F327" s="81"/>
      <c r="G327" s="52"/>
      <c r="H327" s="48"/>
      <c r="I327" s="85"/>
      <c r="J327" s="85"/>
      <c r="K327" s="85"/>
      <c r="L327" s="85"/>
      <c r="M327" s="85"/>
      <c r="N327" s="85"/>
      <c r="O327" s="85"/>
      <c r="P327" s="85"/>
      <c r="Q327" s="85"/>
      <c r="R327" s="85"/>
    </row>
    <row r="328" spans="2:18">
      <c r="B328" s="83"/>
      <c r="C328" s="83"/>
      <c r="D328" s="51"/>
      <c r="E328" s="48"/>
      <c r="F328" s="81"/>
      <c r="G328" s="52"/>
      <c r="H328" s="48"/>
      <c r="I328" s="85"/>
      <c r="J328" s="85"/>
      <c r="K328" s="85"/>
      <c r="L328" s="85"/>
      <c r="M328" s="85"/>
      <c r="N328" s="85"/>
      <c r="O328" s="85"/>
      <c r="P328" s="85"/>
      <c r="Q328" s="85"/>
      <c r="R328" s="85"/>
    </row>
    <row r="329" spans="2:18">
      <c r="B329" s="83"/>
      <c r="C329" s="83"/>
      <c r="D329" s="51"/>
      <c r="E329" s="48"/>
      <c r="F329" s="81"/>
      <c r="G329" s="52"/>
      <c r="H329" s="48"/>
      <c r="I329" s="85"/>
      <c r="J329" s="85"/>
      <c r="K329" s="85"/>
      <c r="L329" s="85"/>
      <c r="M329" s="85"/>
      <c r="N329" s="85"/>
      <c r="O329" s="85"/>
      <c r="P329" s="85"/>
      <c r="Q329" s="85"/>
      <c r="R329" s="85"/>
    </row>
    <row r="330" spans="2:18">
      <c r="B330" s="83"/>
      <c r="C330" s="83"/>
      <c r="D330" s="51"/>
      <c r="E330" s="48"/>
      <c r="F330" s="81"/>
      <c r="G330" s="52"/>
      <c r="H330" s="48"/>
      <c r="I330" s="85"/>
      <c r="J330" s="85"/>
      <c r="K330" s="85"/>
      <c r="L330" s="85"/>
      <c r="M330" s="85"/>
      <c r="N330" s="85"/>
      <c r="O330" s="85"/>
      <c r="P330" s="85"/>
      <c r="Q330" s="85"/>
      <c r="R330" s="85"/>
    </row>
    <row r="331" spans="2:18">
      <c r="B331" s="83"/>
      <c r="C331" s="83"/>
      <c r="D331" s="51"/>
      <c r="E331" s="48"/>
      <c r="F331" s="81"/>
      <c r="G331" s="52"/>
      <c r="H331" s="48"/>
      <c r="I331" s="85"/>
      <c r="J331" s="85"/>
      <c r="K331" s="85"/>
      <c r="L331" s="85"/>
      <c r="M331" s="85"/>
      <c r="N331" s="85"/>
      <c r="O331" s="85"/>
      <c r="P331" s="85"/>
      <c r="Q331" s="85"/>
      <c r="R331" s="85"/>
    </row>
    <row r="332" spans="2:18">
      <c r="B332" s="83"/>
      <c r="C332" s="83"/>
      <c r="D332" s="51"/>
      <c r="E332" s="48"/>
      <c r="F332" s="81"/>
      <c r="G332" s="52"/>
      <c r="H332" s="48"/>
      <c r="I332" s="85"/>
      <c r="J332" s="85"/>
      <c r="K332" s="85"/>
      <c r="L332" s="85"/>
      <c r="M332" s="85"/>
      <c r="N332" s="85"/>
      <c r="O332" s="85"/>
      <c r="P332" s="85"/>
      <c r="Q332" s="85"/>
      <c r="R332" s="85"/>
    </row>
    <row r="333" spans="2:18">
      <c r="B333" s="83"/>
      <c r="C333" s="83"/>
      <c r="D333" s="51"/>
      <c r="E333" s="48"/>
      <c r="F333" s="81"/>
      <c r="G333" s="52"/>
      <c r="H333" s="48"/>
      <c r="I333" s="85"/>
      <c r="J333" s="85"/>
      <c r="K333" s="85"/>
      <c r="L333" s="85"/>
      <c r="M333" s="85"/>
      <c r="N333" s="85"/>
      <c r="O333" s="85"/>
      <c r="P333" s="85"/>
      <c r="Q333" s="85"/>
      <c r="R333" s="85"/>
    </row>
    <row r="334" spans="2:18">
      <c r="B334" s="83"/>
      <c r="C334" s="83"/>
      <c r="D334" s="51"/>
      <c r="E334" s="48"/>
      <c r="F334" s="81"/>
      <c r="G334" s="52"/>
      <c r="H334" s="48"/>
      <c r="I334" s="85"/>
      <c r="J334" s="85"/>
      <c r="K334" s="85"/>
      <c r="L334" s="85"/>
      <c r="M334" s="85"/>
      <c r="N334" s="85"/>
      <c r="O334" s="85"/>
      <c r="P334" s="85"/>
      <c r="Q334" s="85"/>
      <c r="R334" s="85"/>
    </row>
    <row r="335" spans="2:18">
      <c r="B335" s="83"/>
      <c r="C335" s="83"/>
      <c r="D335" s="51"/>
      <c r="E335" s="48"/>
      <c r="F335" s="81"/>
      <c r="G335" s="52"/>
      <c r="H335" s="48"/>
      <c r="I335" s="85"/>
      <c r="J335" s="85"/>
      <c r="K335" s="85"/>
      <c r="L335" s="85"/>
      <c r="M335" s="85"/>
      <c r="N335" s="85"/>
      <c r="O335" s="85"/>
      <c r="P335" s="85"/>
      <c r="Q335" s="85"/>
      <c r="R335" s="85"/>
    </row>
    <row r="336" spans="2:18">
      <c r="B336" s="83"/>
      <c r="C336" s="83"/>
      <c r="D336" s="51"/>
      <c r="E336" s="48"/>
      <c r="F336" s="81"/>
      <c r="G336" s="52"/>
      <c r="H336" s="48"/>
      <c r="I336" s="85"/>
      <c r="J336" s="85"/>
      <c r="K336" s="85"/>
      <c r="L336" s="85"/>
      <c r="M336" s="85"/>
      <c r="N336" s="85"/>
      <c r="O336" s="85"/>
      <c r="P336" s="85"/>
      <c r="Q336" s="85"/>
      <c r="R336" s="85"/>
    </row>
    <row r="337" spans="2:18">
      <c r="B337" s="83"/>
      <c r="C337" s="83"/>
      <c r="D337" s="51"/>
      <c r="E337" s="48"/>
      <c r="F337" s="81"/>
      <c r="G337" s="52"/>
      <c r="H337" s="48"/>
      <c r="I337" s="85"/>
      <c r="J337" s="85"/>
      <c r="K337" s="85"/>
      <c r="L337" s="85"/>
      <c r="M337" s="85"/>
      <c r="N337" s="85"/>
      <c r="O337" s="85"/>
      <c r="P337" s="85"/>
      <c r="Q337" s="85"/>
      <c r="R337" s="85"/>
    </row>
    <row r="338" spans="2:18">
      <c r="B338" s="83"/>
      <c r="C338" s="83"/>
      <c r="D338" s="51"/>
      <c r="E338" s="48"/>
      <c r="F338" s="81"/>
      <c r="G338" s="52"/>
      <c r="H338" s="48"/>
      <c r="I338" s="85"/>
      <c r="J338" s="85"/>
      <c r="K338" s="85"/>
      <c r="L338" s="85"/>
      <c r="M338" s="85"/>
      <c r="N338" s="85"/>
      <c r="O338" s="85"/>
      <c r="P338" s="85"/>
      <c r="Q338" s="85"/>
      <c r="R338" s="85"/>
    </row>
    <row r="339" spans="2:18">
      <c r="B339" s="83"/>
      <c r="C339" s="83"/>
      <c r="D339" s="51"/>
      <c r="E339" s="48"/>
      <c r="F339" s="81"/>
      <c r="G339" s="52"/>
      <c r="H339" s="48"/>
      <c r="I339" s="85"/>
      <c r="J339" s="85"/>
      <c r="K339" s="85"/>
      <c r="L339" s="85"/>
      <c r="M339" s="85"/>
      <c r="N339" s="85"/>
      <c r="O339" s="85"/>
      <c r="P339" s="85"/>
      <c r="Q339" s="85"/>
      <c r="R339" s="85"/>
    </row>
    <row r="340" spans="2:18">
      <c r="B340" s="83"/>
      <c r="C340" s="83"/>
      <c r="D340" s="51"/>
      <c r="E340" s="48"/>
      <c r="F340" s="81"/>
      <c r="G340" s="52"/>
      <c r="H340" s="48"/>
      <c r="I340" s="85"/>
      <c r="J340" s="85"/>
      <c r="K340" s="85"/>
      <c r="L340" s="85"/>
      <c r="M340" s="85"/>
      <c r="N340" s="85"/>
      <c r="O340" s="85"/>
      <c r="P340" s="85"/>
      <c r="Q340" s="85"/>
      <c r="R340" s="85"/>
    </row>
    <row r="341" spans="2:18">
      <c r="B341" s="83"/>
      <c r="C341" s="83"/>
      <c r="D341" s="51"/>
      <c r="E341" s="48"/>
      <c r="F341" s="81"/>
      <c r="G341" s="52"/>
      <c r="H341" s="48"/>
      <c r="I341" s="85"/>
      <c r="J341" s="85"/>
      <c r="K341" s="85"/>
      <c r="L341" s="85"/>
      <c r="M341" s="85"/>
      <c r="N341" s="85"/>
      <c r="O341" s="85"/>
      <c r="P341" s="85"/>
      <c r="Q341" s="85"/>
      <c r="R341" s="85"/>
    </row>
    <row r="342" spans="2:18">
      <c r="B342" s="83"/>
      <c r="C342" s="83"/>
      <c r="D342" s="51"/>
      <c r="E342" s="48"/>
      <c r="F342" s="81"/>
      <c r="G342" s="52"/>
      <c r="H342" s="48"/>
      <c r="I342" s="85"/>
      <c r="J342" s="85"/>
      <c r="K342" s="85"/>
      <c r="L342" s="85"/>
      <c r="M342" s="85"/>
      <c r="N342" s="85"/>
      <c r="O342" s="85"/>
      <c r="P342" s="85"/>
      <c r="Q342" s="85"/>
      <c r="R342" s="85"/>
    </row>
    <row r="343" spans="2:18">
      <c r="B343" s="83"/>
      <c r="C343" s="83"/>
      <c r="D343" s="51"/>
      <c r="E343" s="48"/>
      <c r="F343" s="81"/>
      <c r="G343" s="52"/>
      <c r="H343" s="48"/>
      <c r="I343" s="85"/>
      <c r="J343" s="85"/>
      <c r="K343" s="85"/>
      <c r="L343" s="85"/>
      <c r="M343" s="85"/>
      <c r="N343" s="85"/>
      <c r="O343" s="85"/>
      <c r="P343" s="85"/>
      <c r="Q343" s="85"/>
      <c r="R343" s="85"/>
    </row>
    <row r="344" spans="2:18">
      <c r="B344" s="83"/>
      <c r="C344" s="83"/>
      <c r="D344" s="51"/>
      <c r="E344" s="48"/>
      <c r="F344" s="81"/>
      <c r="G344" s="52"/>
      <c r="H344" s="48"/>
      <c r="I344" s="85"/>
      <c r="J344" s="85"/>
      <c r="K344" s="85"/>
      <c r="L344" s="85"/>
      <c r="M344" s="85"/>
      <c r="N344" s="85"/>
      <c r="O344" s="85"/>
      <c r="P344" s="85"/>
      <c r="Q344" s="85"/>
      <c r="R344" s="85"/>
    </row>
    <row r="345" spans="2:18">
      <c r="B345" s="83"/>
      <c r="C345" s="83"/>
      <c r="D345" s="51"/>
      <c r="E345" s="48"/>
      <c r="F345" s="81"/>
      <c r="G345" s="52"/>
      <c r="H345" s="48"/>
      <c r="I345" s="85"/>
      <c r="J345" s="85"/>
      <c r="K345" s="85"/>
      <c r="L345" s="85"/>
      <c r="M345" s="85"/>
      <c r="N345" s="85"/>
      <c r="O345" s="85"/>
      <c r="P345" s="85"/>
      <c r="Q345" s="85"/>
      <c r="R345" s="85"/>
    </row>
    <row r="346" spans="2:18">
      <c r="B346" s="83"/>
      <c r="C346" s="83"/>
      <c r="D346" s="51"/>
      <c r="E346" s="48"/>
      <c r="F346" s="81"/>
      <c r="G346" s="52"/>
      <c r="H346" s="48"/>
      <c r="I346" s="85"/>
      <c r="J346" s="85"/>
      <c r="K346" s="85"/>
      <c r="L346" s="85"/>
      <c r="M346" s="85"/>
      <c r="N346" s="85"/>
      <c r="O346" s="85"/>
      <c r="P346" s="85"/>
      <c r="Q346" s="85"/>
      <c r="R346" s="85"/>
    </row>
    <row r="347" spans="2:18">
      <c r="B347" s="83"/>
      <c r="C347" s="83"/>
      <c r="D347" s="51"/>
      <c r="E347" s="48"/>
      <c r="F347" s="81"/>
      <c r="G347" s="52"/>
      <c r="H347" s="48"/>
      <c r="I347" s="85"/>
      <c r="J347" s="85"/>
      <c r="K347" s="85"/>
      <c r="L347" s="85"/>
      <c r="M347" s="85"/>
      <c r="N347" s="85"/>
      <c r="O347" s="85"/>
      <c r="P347" s="85"/>
      <c r="Q347" s="85"/>
      <c r="R347" s="85"/>
    </row>
    <row r="348" spans="2:18">
      <c r="B348" s="83"/>
      <c r="C348" s="83"/>
      <c r="D348" s="51"/>
      <c r="E348" s="48"/>
      <c r="F348" s="81"/>
      <c r="G348" s="52"/>
      <c r="H348" s="48"/>
      <c r="I348" s="85"/>
      <c r="J348" s="85"/>
      <c r="K348" s="85"/>
      <c r="L348" s="85"/>
      <c r="M348" s="85"/>
      <c r="N348" s="85"/>
      <c r="O348" s="85"/>
      <c r="P348" s="85"/>
      <c r="Q348" s="85"/>
      <c r="R348" s="85"/>
    </row>
    <row r="349" spans="2:18">
      <c r="B349" s="83"/>
      <c r="C349" s="83"/>
      <c r="D349" s="51"/>
      <c r="E349" s="48"/>
      <c r="F349" s="81"/>
      <c r="G349" s="52"/>
      <c r="H349" s="48"/>
      <c r="I349" s="85"/>
      <c r="J349" s="85"/>
      <c r="K349" s="85"/>
      <c r="L349" s="85"/>
      <c r="M349" s="85"/>
      <c r="N349" s="85"/>
      <c r="O349" s="85"/>
      <c r="P349" s="85"/>
      <c r="Q349" s="85"/>
      <c r="R349" s="85"/>
    </row>
    <row r="350" spans="2:18">
      <c r="B350" s="83"/>
      <c r="C350" s="83"/>
      <c r="D350" s="51"/>
      <c r="E350" s="48"/>
      <c r="F350" s="81"/>
      <c r="G350" s="52"/>
      <c r="H350" s="48"/>
      <c r="I350" s="85"/>
      <c r="J350" s="85"/>
      <c r="K350" s="85"/>
      <c r="L350" s="85"/>
      <c r="M350" s="85"/>
      <c r="N350" s="85"/>
      <c r="O350" s="85"/>
      <c r="P350" s="85"/>
      <c r="Q350" s="85"/>
      <c r="R350" s="85"/>
    </row>
    <row r="351" spans="2:18">
      <c r="B351" s="83"/>
      <c r="C351" s="83"/>
      <c r="D351" s="51"/>
      <c r="E351" s="48"/>
      <c r="F351" s="81"/>
      <c r="G351" s="52"/>
      <c r="H351" s="48"/>
      <c r="I351" s="85"/>
      <c r="J351" s="85"/>
      <c r="K351" s="85"/>
      <c r="L351" s="85"/>
      <c r="M351" s="85"/>
      <c r="N351" s="85"/>
      <c r="O351" s="85"/>
      <c r="P351" s="85"/>
      <c r="Q351" s="85"/>
      <c r="R351" s="85"/>
    </row>
    <row r="352" spans="2:18">
      <c r="B352" s="83"/>
      <c r="C352" s="83"/>
      <c r="D352" s="51"/>
      <c r="E352" s="48"/>
      <c r="F352" s="81"/>
      <c r="G352" s="52"/>
      <c r="H352" s="48"/>
      <c r="I352" s="85"/>
      <c r="J352" s="85"/>
      <c r="K352" s="85"/>
      <c r="L352" s="85"/>
      <c r="M352" s="85"/>
      <c r="N352" s="85"/>
      <c r="O352" s="85"/>
      <c r="P352" s="85"/>
      <c r="Q352" s="85"/>
      <c r="R352" s="85"/>
    </row>
    <row r="353" spans="2:18">
      <c r="B353" s="83"/>
      <c r="C353" s="83"/>
      <c r="D353" s="51"/>
      <c r="E353" s="48"/>
      <c r="F353" s="81"/>
      <c r="G353" s="52"/>
      <c r="H353" s="48"/>
      <c r="I353" s="85"/>
      <c r="J353" s="85"/>
      <c r="K353" s="85"/>
      <c r="L353" s="85"/>
      <c r="M353" s="85"/>
      <c r="N353" s="85"/>
      <c r="O353" s="85"/>
      <c r="P353" s="85"/>
      <c r="Q353" s="85"/>
      <c r="R353" s="85"/>
    </row>
    <row r="354" spans="2:18">
      <c r="B354" s="83"/>
      <c r="C354" s="83"/>
      <c r="D354" s="51"/>
      <c r="E354" s="48"/>
      <c r="F354" s="81"/>
      <c r="G354" s="52"/>
      <c r="H354" s="48"/>
      <c r="I354" s="85"/>
      <c r="J354" s="85"/>
      <c r="K354" s="85"/>
      <c r="L354" s="85"/>
      <c r="M354" s="85"/>
      <c r="N354" s="85"/>
      <c r="O354" s="85"/>
      <c r="P354" s="85"/>
      <c r="Q354" s="85"/>
      <c r="R354" s="85"/>
    </row>
    <row r="355" spans="2:18">
      <c r="B355" s="83"/>
      <c r="C355" s="83"/>
      <c r="D355" s="51"/>
      <c r="E355" s="48"/>
      <c r="F355" s="81"/>
      <c r="G355" s="52"/>
      <c r="H355" s="48"/>
      <c r="I355" s="85"/>
      <c r="J355" s="85"/>
      <c r="K355" s="85"/>
      <c r="L355" s="85"/>
      <c r="M355" s="85"/>
      <c r="N355" s="85"/>
      <c r="O355" s="85"/>
      <c r="P355" s="85"/>
      <c r="Q355" s="85"/>
      <c r="R355" s="85"/>
    </row>
    <row r="356" spans="2:18">
      <c r="B356" s="83"/>
      <c r="C356" s="83"/>
      <c r="D356" s="51"/>
      <c r="E356" s="48"/>
      <c r="F356" s="81"/>
      <c r="G356" s="52"/>
      <c r="H356" s="48"/>
      <c r="I356" s="85"/>
      <c r="J356" s="85"/>
      <c r="K356" s="85"/>
      <c r="L356" s="85"/>
      <c r="M356" s="85"/>
      <c r="N356" s="85"/>
      <c r="O356" s="85"/>
      <c r="P356" s="85"/>
      <c r="Q356" s="85"/>
      <c r="R356" s="85"/>
    </row>
    <row r="357" spans="2:18">
      <c r="B357" s="83"/>
      <c r="C357" s="83"/>
      <c r="D357" s="51"/>
      <c r="E357" s="48"/>
      <c r="F357" s="81"/>
      <c r="G357" s="52"/>
      <c r="H357" s="48"/>
      <c r="I357" s="85"/>
      <c r="J357" s="85"/>
      <c r="K357" s="85"/>
      <c r="L357" s="85"/>
      <c r="M357" s="85"/>
      <c r="N357" s="85"/>
      <c r="O357" s="85"/>
      <c r="P357" s="85"/>
      <c r="Q357" s="85"/>
      <c r="R357" s="85"/>
    </row>
    <row r="358" spans="2:18">
      <c r="B358" s="83"/>
      <c r="C358" s="83"/>
      <c r="D358" s="51"/>
      <c r="E358" s="48"/>
      <c r="F358" s="81"/>
      <c r="G358" s="52"/>
      <c r="H358" s="48"/>
      <c r="I358" s="85"/>
      <c r="J358" s="85"/>
      <c r="K358" s="85"/>
      <c r="L358" s="85"/>
      <c r="M358" s="85"/>
      <c r="N358" s="85"/>
      <c r="O358" s="85"/>
      <c r="P358" s="85"/>
      <c r="Q358" s="85"/>
      <c r="R358" s="85"/>
    </row>
    <row r="359" spans="2:18">
      <c r="B359" s="83"/>
      <c r="C359" s="83"/>
      <c r="D359" s="51"/>
      <c r="E359" s="48"/>
      <c r="F359" s="81"/>
      <c r="G359" s="52"/>
      <c r="H359" s="48"/>
      <c r="I359" s="85"/>
      <c r="J359" s="85"/>
      <c r="K359" s="85"/>
      <c r="L359" s="85"/>
      <c r="M359" s="85"/>
      <c r="N359" s="85"/>
      <c r="O359" s="85"/>
      <c r="P359" s="85"/>
      <c r="Q359" s="85"/>
      <c r="R359" s="85"/>
    </row>
    <row r="360" spans="2:18">
      <c r="B360" s="83"/>
      <c r="C360" s="83"/>
      <c r="D360" s="51"/>
      <c r="E360" s="48"/>
      <c r="F360" s="81"/>
      <c r="G360" s="52"/>
      <c r="H360" s="48"/>
      <c r="I360" s="85"/>
      <c r="J360" s="85"/>
      <c r="K360" s="85"/>
      <c r="L360" s="85"/>
      <c r="M360" s="85"/>
      <c r="N360" s="85"/>
      <c r="O360" s="85"/>
      <c r="P360" s="85"/>
      <c r="Q360" s="85"/>
      <c r="R360" s="85"/>
    </row>
    <row r="361" spans="2:18">
      <c r="B361" s="83"/>
      <c r="C361" s="83"/>
      <c r="D361" s="51"/>
      <c r="E361" s="48"/>
      <c r="F361" s="81"/>
      <c r="G361" s="52"/>
      <c r="H361" s="48"/>
      <c r="I361" s="85"/>
      <c r="J361" s="85"/>
      <c r="K361" s="85"/>
      <c r="L361" s="85"/>
      <c r="M361" s="85"/>
      <c r="N361" s="85"/>
      <c r="O361" s="85"/>
      <c r="P361" s="85"/>
      <c r="Q361" s="85"/>
      <c r="R361" s="85"/>
    </row>
    <row r="362" spans="2:18">
      <c r="B362" s="83"/>
      <c r="C362" s="83"/>
      <c r="D362" s="51"/>
      <c r="E362" s="48"/>
      <c r="F362" s="81"/>
      <c r="G362" s="52"/>
      <c r="H362" s="48"/>
      <c r="I362" s="85"/>
      <c r="J362" s="85"/>
      <c r="K362" s="85"/>
      <c r="L362" s="85"/>
      <c r="M362" s="85"/>
      <c r="N362" s="85"/>
      <c r="O362" s="85"/>
      <c r="P362" s="85"/>
      <c r="Q362" s="85"/>
      <c r="R362" s="85"/>
    </row>
    <row r="363" spans="2:18">
      <c r="B363" s="83"/>
      <c r="C363" s="83"/>
      <c r="D363" s="51"/>
      <c r="E363" s="48"/>
      <c r="F363" s="81"/>
      <c r="G363" s="52"/>
      <c r="H363" s="48"/>
      <c r="I363" s="85"/>
      <c r="J363" s="85"/>
      <c r="K363" s="85"/>
      <c r="L363" s="85"/>
      <c r="M363" s="85"/>
      <c r="N363" s="85"/>
      <c r="O363" s="85"/>
      <c r="P363" s="85"/>
      <c r="Q363" s="85"/>
      <c r="R363" s="85"/>
    </row>
    <row r="364" spans="2:18">
      <c r="B364" s="83"/>
      <c r="C364" s="83"/>
      <c r="D364" s="51"/>
      <c r="E364" s="48"/>
      <c r="F364" s="81"/>
      <c r="G364" s="52"/>
      <c r="H364" s="48"/>
      <c r="I364" s="85"/>
      <c r="J364" s="85"/>
      <c r="K364" s="85"/>
      <c r="L364" s="85"/>
      <c r="M364" s="85"/>
      <c r="N364" s="85"/>
      <c r="O364" s="85"/>
      <c r="P364" s="85"/>
      <c r="Q364" s="85"/>
      <c r="R364" s="85"/>
    </row>
    <row r="365" spans="2:18">
      <c r="B365" s="83"/>
      <c r="C365" s="83"/>
      <c r="D365" s="51"/>
      <c r="E365" s="48"/>
      <c r="F365" s="81"/>
      <c r="G365" s="52"/>
      <c r="H365" s="48"/>
      <c r="I365" s="85"/>
      <c r="J365" s="85"/>
      <c r="K365" s="85"/>
      <c r="L365" s="85"/>
      <c r="M365" s="85"/>
      <c r="N365" s="85"/>
      <c r="O365" s="85"/>
      <c r="P365" s="85"/>
      <c r="Q365" s="85"/>
      <c r="R365" s="85"/>
    </row>
    <row r="366" spans="2:18">
      <c r="B366" s="83"/>
      <c r="C366" s="83"/>
      <c r="D366" s="51"/>
      <c r="E366" s="48"/>
      <c r="F366" s="81"/>
      <c r="G366" s="52"/>
      <c r="H366" s="48"/>
      <c r="I366" s="85"/>
      <c r="J366" s="85"/>
      <c r="K366" s="85"/>
      <c r="L366" s="85"/>
      <c r="M366" s="85"/>
      <c r="N366" s="85"/>
      <c r="O366" s="85"/>
      <c r="P366" s="85"/>
      <c r="Q366" s="85"/>
      <c r="R366" s="85"/>
    </row>
    <row r="367" spans="2:18">
      <c r="B367" s="83"/>
      <c r="C367" s="83"/>
      <c r="D367" s="51"/>
      <c r="E367" s="48"/>
      <c r="F367" s="81"/>
      <c r="G367" s="52"/>
      <c r="H367" s="48"/>
      <c r="I367" s="85"/>
      <c r="J367" s="85"/>
      <c r="K367" s="85"/>
      <c r="L367" s="85"/>
      <c r="M367" s="85"/>
      <c r="N367" s="85"/>
      <c r="O367" s="85"/>
      <c r="P367" s="85"/>
      <c r="Q367" s="85"/>
      <c r="R367" s="85"/>
    </row>
    <row r="368" spans="2:18">
      <c r="B368" s="83"/>
      <c r="C368" s="83"/>
      <c r="D368" s="51"/>
      <c r="E368" s="48"/>
      <c r="F368" s="81"/>
      <c r="G368" s="52"/>
      <c r="H368" s="48"/>
      <c r="I368" s="85"/>
      <c r="J368" s="85"/>
      <c r="K368" s="85"/>
      <c r="L368" s="85"/>
      <c r="M368" s="85"/>
      <c r="N368" s="85"/>
      <c r="O368" s="85"/>
      <c r="P368" s="85"/>
      <c r="Q368" s="85"/>
      <c r="R368" s="85"/>
    </row>
    <row r="369" spans="2:18">
      <c r="B369" s="83"/>
      <c r="C369" s="83"/>
      <c r="D369" s="51"/>
      <c r="E369" s="48"/>
      <c r="F369" s="81"/>
      <c r="G369" s="52"/>
      <c r="H369" s="48"/>
      <c r="I369" s="85"/>
      <c r="J369" s="85"/>
      <c r="K369" s="85"/>
      <c r="L369" s="85"/>
      <c r="M369" s="85"/>
      <c r="N369" s="85"/>
      <c r="O369" s="85"/>
      <c r="P369" s="85"/>
      <c r="Q369" s="85"/>
      <c r="R369" s="85"/>
    </row>
    <row r="370" spans="2:18">
      <c r="B370" s="83"/>
      <c r="C370" s="83"/>
      <c r="D370" s="51"/>
      <c r="E370" s="48"/>
      <c r="F370" s="81"/>
      <c r="G370" s="52"/>
      <c r="H370" s="48"/>
      <c r="I370" s="85"/>
      <c r="J370" s="85"/>
      <c r="K370" s="85"/>
      <c r="L370" s="85"/>
      <c r="M370" s="85"/>
      <c r="N370" s="85"/>
      <c r="O370" s="85"/>
      <c r="P370" s="85"/>
      <c r="Q370" s="85"/>
      <c r="R370" s="85"/>
    </row>
    <row r="371" spans="2:18">
      <c r="B371" s="83"/>
      <c r="C371" s="83"/>
      <c r="D371" s="51"/>
      <c r="E371" s="48"/>
      <c r="F371" s="81"/>
      <c r="G371" s="52"/>
      <c r="H371" s="48"/>
      <c r="I371" s="85"/>
      <c r="J371" s="85"/>
      <c r="K371" s="85"/>
      <c r="L371" s="85"/>
      <c r="M371" s="85"/>
      <c r="N371" s="85"/>
      <c r="O371" s="85"/>
      <c r="P371" s="85"/>
      <c r="Q371" s="85"/>
      <c r="R371" s="85"/>
    </row>
    <row r="372" spans="2:18">
      <c r="B372" s="83"/>
      <c r="C372" s="83"/>
      <c r="D372" s="51"/>
      <c r="E372" s="48"/>
      <c r="F372" s="81"/>
      <c r="G372" s="52"/>
      <c r="H372" s="48"/>
      <c r="I372" s="85"/>
      <c r="J372" s="85"/>
      <c r="K372" s="85"/>
      <c r="L372" s="85"/>
      <c r="M372" s="85"/>
      <c r="N372" s="85"/>
      <c r="O372" s="85"/>
      <c r="P372" s="85"/>
      <c r="Q372" s="85"/>
      <c r="R372" s="85"/>
    </row>
    <row r="373" spans="2:18">
      <c r="B373" s="83"/>
      <c r="C373" s="83"/>
      <c r="D373" s="51"/>
      <c r="E373" s="48"/>
      <c r="F373" s="81"/>
      <c r="G373" s="52"/>
      <c r="H373" s="48"/>
      <c r="I373" s="85"/>
      <c r="J373" s="85"/>
      <c r="K373" s="85"/>
      <c r="L373" s="85"/>
      <c r="M373" s="85"/>
      <c r="N373" s="85"/>
      <c r="O373" s="85"/>
      <c r="P373" s="85"/>
      <c r="Q373" s="85"/>
      <c r="R373" s="85"/>
    </row>
    <row r="374" spans="2:18">
      <c r="B374" s="83"/>
      <c r="C374" s="83"/>
      <c r="D374" s="51"/>
      <c r="E374" s="48"/>
      <c r="F374" s="81"/>
      <c r="G374" s="52"/>
      <c r="H374" s="48"/>
      <c r="I374" s="85"/>
      <c r="J374" s="85"/>
      <c r="K374" s="85"/>
      <c r="L374" s="85"/>
      <c r="M374" s="85"/>
      <c r="N374" s="85"/>
      <c r="O374" s="85"/>
      <c r="P374" s="85"/>
      <c r="Q374" s="85"/>
      <c r="R374" s="85"/>
    </row>
    <row r="375" spans="2:18">
      <c r="B375" s="83"/>
      <c r="C375" s="83"/>
      <c r="D375" s="51"/>
      <c r="E375" s="48"/>
      <c r="F375" s="81"/>
      <c r="G375" s="52"/>
      <c r="H375" s="48"/>
      <c r="I375" s="85"/>
      <c r="J375" s="85"/>
      <c r="K375" s="85"/>
      <c r="L375" s="85"/>
      <c r="M375" s="85"/>
      <c r="N375" s="85"/>
      <c r="O375" s="85"/>
      <c r="P375" s="85"/>
      <c r="Q375" s="85"/>
      <c r="R375" s="85"/>
    </row>
    <row r="376" spans="2:18">
      <c r="B376" s="83"/>
      <c r="C376" s="83"/>
      <c r="D376" s="51"/>
      <c r="E376" s="48"/>
      <c r="F376" s="81"/>
      <c r="G376" s="52"/>
      <c r="H376" s="48"/>
      <c r="I376" s="85"/>
      <c r="J376" s="85"/>
      <c r="K376" s="85"/>
      <c r="L376" s="85"/>
      <c r="M376" s="85"/>
      <c r="N376" s="85"/>
      <c r="O376" s="85"/>
      <c r="P376" s="85"/>
      <c r="Q376" s="85"/>
      <c r="R376" s="85"/>
    </row>
    <row r="377" spans="2:18">
      <c r="B377" s="83"/>
      <c r="C377" s="83"/>
      <c r="D377" s="51"/>
      <c r="E377" s="48"/>
      <c r="F377" s="81"/>
      <c r="G377" s="52"/>
      <c r="H377" s="48"/>
      <c r="I377" s="85"/>
      <c r="J377" s="85"/>
      <c r="K377" s="85"/>
      <c r="L377" s="85"/>
      <c r="M377" s="85"/>
      <c r="N377" s="85"/>
      <c r="O377" s="85"/>
      <c r="P377" s="85"/>
      <c r="Q377" s="85"/>
      <c r="R377" s="85"/>
    </row>
    <row r="378" spans="2:18">
      <c r="B378" s="83"/>
      <c r="C378" s="83"/>
      <c r="D378" s="51"/>
      <c r="E378" s="48"/>
      <c r="F378" s="81"/>
      <c r="G378" s="52"/>
      <c r="H378" s="48"/>
      <c r="I378" s="85"/>
      <c r="J378" s="85"/>
      <c r="K378" s="85"/>
      <c r="L378" s="85"/>
      <c r="M378" s="85"/>
      <c r="N378" s="85"/>
      <c r="O378" s="85"/>
      <c r="P378" s="85"/>
      <c r="Q378" s="85"/>
      <c r="R378" s="85"/>
    </row>
    <row r="379" spans="2:18">
      <c r="B379" s="83"/>
      <c r="C379" s="83"/>
      <c r="D379" s="51"/>
      <c r="E379" s="48"/>
      <c r="F379" s="81"/>
      <c r="G379" s="52"/>
      <c r="H379" s="48"/>
      <c r="I379" s="85"/>
      <c r="J379" s="85"/>
      <c r="K379" s="85"/>
      <c r="L379" s="85"/>
      <c r="M379" s="85"/>
      <c r="N379" s="85"/>
      <c r="O379" s="85"/>
      <c r="P379" s="85"/>
      <c r="Q379" s="85"/>
      <c r="R379" s="85"/>
    </row>
    <row r="380" spans="2:18">
      <c r="B380" s="83"/>
      <c r="C380" s="83"/>
      <c r="D380" s="51"/>
      <c r="E380" s="48"/>
      <c r="F380" s="81"/>
      <c r="G380" s="52"/>
      <c r="H380" s="48"/>
      <c r="I380" s="85"/>
      <c r="J380" s="85"/>
      <c r="K380" s="85"/>
      <c r="L380" s="85"/>
      <c r="M380" s="85"/>
      <c r="N380" s="85"/>
      <c r="O380" s="85"/>
      <c r="P380" s="85"/>
      <c r="Q380" s="85"/>
      <c r="R380" s="85"/>
    </row>
    <row r="381" spans="2:18">
      <c r="B381" s="83"/>
      <c r="C381" s="83"/>
      <c r="D381" s="51"/>
      <c r="E381" s="48"/>
      <c r="F381" s="81"/>
      <c r="G381" s="52"/>
      <c r="H381" s="48"/>
      <c r="I381" s="85"/>
      <c r="J381" s="85"/>
      <c r="K381" s="85"/>
      <c r="L381" s="85"/>
      <c r="M381" s="85"/>
      <c r="N381" s="85"/>
      <c r="O381" s="85"/>
      <c r="P381" s="85"/>
      <c r="Q381" s="85"/>
      <c r="R381" s="85"/>
    </row>
    <row r="382" spans="2:18">
      <c r="B382" s="83"/>
      <c r="C382" s="83"/>
      <c r="D382" s="51"/>
      <c r="E382" s="48"/>
      <c r="F382" s="81"/>
      <c r="G382" s="52"/>
      <c r="H382" s="48"/>
      <c r="I382" s="85"/>
      <c r="J382" s="85"/>
      <c r="K382" s="85"/>
      <c r="L382" s="85"/>
      <c r="M382" s="85"/>
      <c r="N382" s="85"/>
      <c r="O382" s="85"/>
      <c r="P382" s="85"/>
      <c r="Q382" s="85"/>
      <c r="R382" s="85"/>
    </row>
    <row r="383" spans="2:18">
      <c r="B383" s="83"/>
      <c r="C383" s="83"/>
      <c r="D383" s="51"/>
      <c r="E383" s="48"/>
      <c r="F383" s="81"/>
      <c r="G383" s="52"/>
      <c r="H383" s="48"/>
      <c r="I383" s="85"/>
      <c r="J383" s="85"/>
      <c r="K383" s="85"/>
      <c r="L383" s="85"/>
      <c r="M383" s="85"/>
      <c r="N383" s="85"/>
      <c r="O383" s="85"/>
      <c r="P383" s="85"/>
      <c r="Q383" s="85"/>
      <c r="R383" s="85"/>
    </row>
    <row r="384" spans="2:18">
      <c r="B384" s="83"/>
      <c r="C384" s="83"/>
      <c r="D384" s="51"/>
      <c r="E384" s="48"/>
      <c r="F384" s="81"/>
      <c r="G384" s="52"/>
      <c r="H384" s="48"/>
      <c r="I384" s="85"/>
      <c r="J384" s="85"/>
      <c r="K384" s="85"/>
      <c r="L384" s="85"/>
      <c r="M384" s="85"/>
      <c r="N384" s="85"/>
      <c r="O384" s="85"/>
      <c r="P384" s="85"/>
      <c r="Q384" s="85"/>
      <c r="R384" s="85"/>
    </row>
    <row r="385" spans="2:18">
      <c r="B385" s="83"/>
      <c r="C385" s="83"/>
      <c r="D385" s="51"/>
      <c r="E385" s="48"/>
      <c r="F385" s="81"/>
      <c r="G385" s="52"/>
      <c r="H385" s="48"/>
      <c r="I385" s="85"/>
      <c r="J385" s="85"/>
      <c r="K385" s="85"/>
      <c r="L385" s="85"/>
      <c r="M385" s="85"/>
      <c r="N385" s="85"/>
      <c r="O385" s="85"/>
      <c r="P385" s="85"/>
      <c r="Q385" s="85"/>
      <c r="R385" s="85"/>
    </row>
    <row r="386" spans="2:18">
      <c r="B386" s="83"/>
      <c r="C386" s="83"/>
      <c r="D386" s="51"/>
      <c r="E386" s="48"/>
      <c r="F386" s="81"/>
      <c r="G386" s="52"/>
      <c r="H386" s="48"/>
      <c r="I386" s="85"/>
      <c r="J386" s="85"/>
      <c r="K386" s="85"/>
      <c r="L386" s="85"/>
      <c r="M386" s="85"/>
      <c r="N386" s="85"/>
      <c r="O386" s="85"/>
      <c r="P386" s="85"/>
      <c r="Q386" s="85"/>
      <c r="R386" s="85"/>
    </row>
    <row r="387" spans="2:18">
      <c r="B387" s="83"/>
      <c r="C387" s="83"/>
      <c r="D387" s="51"/>
      <c r="E387" s="48"/>
      <c r="F387" s="81"/>
      <c r="G387" s="52"/>
      <c r="H387" s="48"/>
      <c r="I387" s="85"/>
      <c r="J387" s="85"/>
      <c r="K387" s="85"/>
      <c r="L387" s="85"/>
      <c r="M387" s="85"/>
      <c r="N387" s="85"/>
      <c r="O387" s="85"/>
      <c r="P387" s="85"/>
      <c r="Q387" s="85"/>
      <c r="R387" s="85"/>
    </row>
    <row r="388" spans="2:18">
      <c r="B388" s="83"/>
      <c r="C388" s="83"/>
      <c r="D388" s="51"/>
      <c r="E388" s="48"/>
      <c r="F388" s="81"/>
      <c r="G388" s="52"/>
      <c r="H388" s="48"/>
      <c r="I388" s="85"/>
      <c r="J388" s="85"/>
      <c r="K388" s="85"/>
      <c r="L388" s="85"/>
      <c r="M388" s="85"/>
      <c r="N388" s="85"/>
      <c r="O388" s="85"/>
      <c r="P388" s="85"/>
      <c r="Q388" s="85"/>
      <c r="R388" s="85"/>
    </row>
    <row r="389" spans="2:18">
      <c r="B389" s="83"/>
      <c r="C389" s="83"/>
      <c r="D389" s="51"/>
      <c r="E389" s="48"/>
      <c r="F389" s="81"/>
      <c r="G389" s="52"/>
      <c r="H389" s="48"/>
      <c r="I389" s="85"/>
      <c r="J389" s="85"/>
      <c r="K389" s="85"/>
      <c r="L389" s="85"/>
      <c r="M389" s="85"/>
      <c r="N389" s="85"/>
      <c r="O389" s="85"/>
      <c r="P389" s="85"/>
      <c r="Q389" s="85"/>
      <c r="R389" s="85"/>
    </row>
    <row r="390" spans="2:18">
      <c r="B390" s="83"/>
      <c r="C390" s="83"/>
      <c r="D390" s="51"/>
      <c r="E390" s="48"/>
      <c r="F390" s="81"/>
      <c r="G390" s="52"/>
      <c r="H390" s="48"/>
      <c r="I390" s="85"/>
      <c r="J390" s="85"/>
      <c r="K390" s="85"/>
      <c r="L390" s="85"/>
      <c r="M390" s="85"/>
      <c r="N390" s="85"/>
      <c r="O390" s="85"/>
      <c r="P390" s="85"/>
      <c r="Q390" s="85"/>
      <c r="R390" s="85"/>
    </row>
    <row r="391" spans="2:18">
      <c r="B391" s="83"/>
      <c r="C391" s="83"/>
      <c r="D391" s="51"/>
      <c r="E391" s="48"/>
      <c r="F391" s="81"/>
      <c r="G391" s="52"/>
      <c r="H391" s="48"/>
      <c r="I391" s="85"/>
      <c r="J391" s="85"/>
      <c r="K391" s="85"/>
      <c r="L391" s="85"/>
      <c r="M391" s="85"/>
      <c r="N391" s="85"/>
      <c r="O391" s="85"/>
      <c r="P391" s="85"/>
      <c r="Q391" s="85"/>
      <c r="R391" s="85"/>
    </row>
    <row r="392" spans="2:18">
      <c r="B392" s="83"/>
      <c r="C392" s="83"/>
      <c r="D392" s="51"/>
      <c r="E392" s="48"/>
      <c r="F392" s="81"/>
      <c r="G392" s="52"/>
      <c r="H392" s="48"/>
      <c r="I392" s="85"/>
      <c r="J392" s="85"/>
      <c r="K392" s="85"/>
      <c r="L392" s="85"/>
      <c r="M392" s="85"/>
      <c r="N392" s="85"/>
      <c r="O392" s="85"/>
      <c r="P392" s="85"/>
      <c r="Q392" s="85"/>
      <c r="R392" s="85"/>
    </row>
    <row r="393" spans="2:18">
      <c r="B393" s="83"/>
      <c r="C393" s="83"/>
      <c r="D393" s="51"/>
      <c r="E393" s="48"/>
      <c r="F393" s="81"/>
      <c r="G393" s="52"/>
      <c r="H393" s="48"/>
      <c r="I393" s="85"/>
      <c r="J393" s="85"/>
      <c r="K393" s="85"/>
      <c r="L393" s="85"/>
      <c r="M393" s="85"/>
      <c r="N393" s="85"/>
      <c r="O393" s="85"/>
      <c r="P393" s="85"/>
      <c r="Q393" s="85"/>
      <c r="R393" s="85"/>
    </row>
    <row r="394" spans="2:18">
      <c r="B394" s="83"/>
      <c r="C394" s="83"/>
      <c r="D394" s="51"/>
      <c r="E394" s="48"/>
      <c r="F394" s="81"/>
      <c r="G394" s="52"/>
      <c r="H394" s="48"/>
      <c r="I394" s="85"/>
      <c r="J394" s="85"/>
      <c r="K394" s="85"/>
      <c r="L394" s="85"/>
      <c r="M394" s="85"/>
      <c r="N394" s="85"/>
      <c r="O394" s="85"/>
      <c r="P394" s="85"/>
      <c r="Q394" s="85"/>
      <c r="R394" s="85"/>
    </row>
    <row r="395" spans="2:18">
      <c r="B395" s="83"/>
      <c r="C395" s="83"/>
      <c r="D395" s="51"/>
      <c r="E395" s="48"/>
      <c r="F395" s="81"/>
      <c r="G395" s="52"/>
      <c r="H395" s="48"/>
      <c r="I395" s="85"/>
      <c r="J395" s="85"/>
      <c r="K395" s="85"/>
      <c r="L395" s="85"/>
      <c r="M395" s="85"/>
      <c r="N395" s="85"/>
      <c r="O395" s="85"/>
      <c r="P395" s="85"/>
      <c r="Q395" s="85"/>
      <c r="R395" s="85"/>
    </row>
    <row r="396" spans="2:18">
      <c r="B396" s="83"/>
      <c r="C396" s="83"/>
      <c r="D396" s="51"/>
      <c r="E396" s="48"/>
      <c r="F396" s="81"/>
      <c r="G396" s="52"/>
      <c r="H396" s="48"/>
      <c r="I396" s="85"/>
      <c r="J396" s="85"/>
      <c r="K396" s="85"/>
      <c r="L396" s="85"/>
      <c r="M396" s="85"/>
      <c r="N396" s="85"/>
      <c r="O396" s="85"/>
      <c r="P396" s="85"/>
      <c r="Q396" s="85"/>
      <c r="R396" s="85"/>
    </row>
    <row r="397" spans="2:18">
      <c r="B397" s="83"/>
      <c r="C397" s="83"/>
      <c r="D397" s="51"/>
      <c r="E397" s="48"/>
      <c r="F397" s="81"/>
      <c r="G397" s="52"/>
      <c r="H397" s="48"/>
      <c r="I397" s="85"/>
      <c r="J397" s="85"/>
      <c r="K397" s="85"/>
      <c r="L397" s="85"/>
      <c r="M397" s="85"/>
      <c r="N397" s="85"/>
      <c r="O397" s="85"/>
      <c r="P397" s="85"/>
      <c r="Q397" s="85"/>
      <c r="R397" s="85"/>
    </row>
    <row r="398" spans="2:18">
      <c r="B398" s="83"/>
      <c r="C398" s="83"/>
      <c r="D398" s="51"/>
      <c r="E398" s="48"/>
      <c r="F398" s="81"/>
      <c r="G398" s="52"/>
      <c r="H398" s="48"/>
      <c r="I398" s="85"/>
      <c r="J398" s="85"/>
      <c r="K398" s="85"/>
      <c r="L398" s="85"/>
      <c r="M398" s="85"/>
      <c r="N398" s="85"/>
      <c r="O398" s="85"/>
      <c r="P398" s="85"/>
      <c r="Q398" s="85"/>
      <c r="R398" s="85"/>
    </row>
    <row r="399" spans="2:18">
      <c r="B399" s="83"/>
      <c r="C399" s="83"/>
      <c r="D399" s="51"/>
      <c r="E399" s="48"/>
      <c r="F399" s="81"/>
      <c r="G399" s="52"/>
      <c r="H399" s="48"/>
      <c r="I399" s="85"/>
      <c r="J399" s="85"/>
      <c r="K399" s="85"/>
      <c r="L399" s="85"/>
      <c r="M399" s="85"/>
      <c r="N399" s="85"/>
      <c r="O399" s="85"/>
      <c r="P399" s="85"/>
      <c r="Q399" s="85"/>
      <c r="R399" s="85"/>
    </row>
    <row r="400" spans="2:18">
      <c r="B400" s="83"/>
      <c r="C400" s="83"/>
      <c r="D400" s="51"/>
      <c r="E400" s="48"/>
      <c r="F400" s="81"/>
      <c r="G400" s="52"/>
      <c r="H400" s="48"/>
      <c r="I400" s="85"/>
      <c r="J400" s="85"/>
      <c r="K400" s="85"/>
      <c r="L400" s="85"/>
      <c r="M400" s="85"/>
      <c r="N400" s="85"/>
      <c r="O400" s="85"/>
      <c r="P400" s="85"/>
      <c r="Q400" s="85"/>
      <c r="R400" s="85"/>
    </row>
    <row r="401" spans="2:18">
      <c r="B401" s="83"/>
      <c r="C401" s="83"/>
      <c r="D401" s="51"/>
      <c r="E401" s="48"/>
      <c r="F401" s="81"/>
      <c r="G401" s="52"/>
      <c r="H401" s="48"/>
      <c r="I401" s="85"/>
      <c r="J401" s="85"/>
      <c r="K401" s="85"/>
      <c r="L401" s="85"/>
      <c r="M401" s="85"/>
      <c r="N401" s="85"/>
      <c r="O401" s="85"/>
      <c r="P401" s="85"/>
      <c r="Q401" s="85"/>
      <c r="R401" s="85"/>
    </row>
    <row r="402" spans="2:18">
      <c r="B402" s="83"/>
      <c r="C402" s="83"/>
      <c r="D402" s="51"/>
      <c r="E402" s="48"/>
      <c r="F402" s="81"/>
      <c r="G402" s="52"/>
      <c r="H402" s="48"/>
      <c r="I402" s="85"/>
      <c r="J402" s="85"/>
      <c r="K402" s="85"/>
      <c r="L402" s="85"/>
      <c r="M402" s="85"/>
      <c r="N402" s="85"/>
      <c r="O402" s="85"/>
      <c r="P402" s="85"/>
      <c r="Q402" s="85"/>
      <c r="R402" s="85"/>
    </row>
    <row r="403" spans="2:18">
      <c r="B403" s="83"/>
      <c r="C403" s="83"/>
      <c r="D403" s="51"/>
      <c r="E403" s="48"/>
      <c r="F403" s="81"/>
      <c r="G403" s="52"/>
      <c r="H403" s="48"/>
      <c r="I403" s="85"/>
      <c r="J403" s="85"/>
      <c r="K403" s="85"/>
      <c r="L403" s="85"/>
      <c r="M403" s="85"/>
      <c r="N403" s="85"/>
      <c r="O403" s="85"/>
      <c r="P403" s="85"/>
      <c r="Q403" s="85"/>
      <c r="R403" s="85"/>
    </row>
    <row r="404" spans="2:18">
      <c r="B404" s="83"/>
      <c r="C404" s="83"/>
      <c r="D404" s="51"/>
      <c r="E404" s="48"/>
      <c r="F404" s="81"/>
      <c r="G404" s="52"/>
      <c r="H404" s="48"/>
      <c r="I404" s="85"/>
      <c r="J404" s="85"/>
      <c r="K404" s="85"/>
      <c r="L404" s="85"/>
      <c r="M404" s="85"/>
      <c r="N404" s="85"/>
      <c r="O404" s="85"/>
      <c r="P404" s="85"/>
      <c r="Q404" s="85"/>
      <c r="R404" s="85"/>
    </row>
    <row r="405" spans="2:18">
      <c r="B405" s="83"/>
      <c r="C405" s="83"/>
      <c r="D405" s="51"/>
      <c r="E405" s="48"/>
      <c r="F405" s="81"/>
      <c r="G405" s="52"/>
      <c r="H405" s="48"/>
      <c r="I405" s="85"/>
      <c r="J405" s="85"/>
      <c r="K405" s="85"/>
      <c r="L405" s="85"/>
      <c r="M405" s="85"/>
      <c r="N405" s="85"/>
      <c r="O405" s="85"/>
      <c r="P405" s="85"/>
      <c r="Q405" s="85"/>
      <c r="R405" s="85"/>
    </row>
    <row r="406" spans="2:18">
      <c r="B406" s="83"/>
      <c r="C406" s="83"/>
      <c r="D406" s="51"/>
      <c r="E406" s="48"/>
      <c r="F406" s="81"/>
      <c r="G406" s="52"/>
      <c r="H406" s="48"/>
      <c r="I406" s="85"/>
      <c r="J406" s="85"/>
      <c r="K406" s="85"/>
      <c r="L406" s="85"/>
      <c r="M406" s="85"/>
      <c r="N406" s="85"/>
      <c r="O406" s="85"/>
      <c r="P406" s="85"/>
      <c r="Q406" s="85"/>
      <c r="R406" s="85"/>
    </row>
    <row r="407" spans="2:18">
      <c r="B407" s="83"/>
      <c r="C407" s="83"/>
      <c r="D407" s="51"/>
      <c r="E407" s="48"/>
      <c r="F407" s="81"/>
      <c r="G407" s="52"/>
      <c r="H407" s="48"/>
      <c r="I407" s="85"/>
      <c r="J407" s="85"/>
      <c r="K407" s="85"/>
      <c r="L407" s="85"/>
      <c r="M407" s="85"/>
      <c r="N407" s="85"/>
      <c r="O407" s="85"/>
      <c r="P407" s="85"/>
      <c r="Q407" s="85"/>
      <c r="R407" s="85"/>
    </row>
    <row r="408" spans="2:18">
      <c r="B408" s="83"/>
      <c r="C408" s="83"/>
      <c r="D408" s="51"/>
      <c r="E408" s="48"/>
      <c r="F408" s="81"/>
      <c r="G408" s="52"/>
      <c r="H408" s="48"/>
      <c r="I408" s="85"/>
      <c r="J408" s="85"/>
      <c r="K408" s="85"/>
      <c r="L408" s="85"/>
      <c r="M408" s="85"/>
      <c r="N408" s="85"/>
      <c r="O408" s="85"/>
      <c r="P408" s="85"/>
      <c r="Q408" s="85"/>
      <c r="R408" s="85"/>
    </row>
    <row r="409" spans="2:18">
      <c r="B409" s="83"/>
      <c r="C409" s="83"/>
      <c r="D409" s="51"/>
      <c r="E409" s="48"/>
      <c r="F409" s="81"/>
      <c r="G409" s="52"/>
      <c r="H409" s="48"/>
      <c r="I409" s="85"/>
      <c r="J409" s="85"/>
      <c r="K409" s="85"/>
      <c r="L409" s="85"/>
      <c r="M409" s="85"/>
      <c r="N409" s="85"/>
      <c r="O409" s="85"/>
      <c r="P409" s="85"/>
      <c r="Q409" s="85"/>
      <c r="R409" s="85"/>
    </row>
    <row r="410" spans="2:18">
      <c r="B410" s="83"/>
      <c r="C410" s="83"/>
      <c r="D410" s="51"/>
      <c r="E410" s="48"/>
      <c r="F410" s="81"/>
      <c r="G410" s="52"/>
      <c r="H410" s="48"/>
      <c r="I410" s="85"/>
      <c r="J410" s="85"/>
      <c r="K410" s="85"/>
      <c r="L410" s="85"/>
      <c r="M410" s="85"/>
      <c r="N410" s="85"/>
      <c r="O410" s="85"/>
      <c r="P410" s="85"/>
      <c r="Q410" s="85"/>
      <c r="R410" s="85"/>
    </row>
    <row r="411" spans="2:18">
      <c r="B411" s="83"/>
      <c r="C411" s="83"/>
      <c r="D411" s="51"/>
      <c r="E411" s="48"/>
      <c r="F411" s="81"/>
      <c r="G411" s="52"/>
      <c r="H411" s="48"/>
      <c r="I411" s="85"/>
      <c r="J411" s="85"/>
      <c r="K411" s="85"/>
      <c r="L411" s="85"/>
      <c r="M411" s="85"/>
      <c r="N411" s="85"/>
      <c r="O411" s="85"/>
      <c r="P411" s="85"/>
      <c r="Q411" s="85"/>
      <c r="R411" s="85"/>
    </row>
    <row r="412" spans="2:18">
      <c r="B412" s="83"/>
      <c r="C412" s="83"/>
      <c r="D412" s="51"/>
      <c r="E412" s="48"/>
      <c r="F412" s="81"/>
      <c r="G412" s="52"/>
      <c r="H412" s="48"/>
      <c r="I412" s="85"/>
      <c r="J412" s="85"/>
      <c r="K412" s="85"/>
      <c r="L412" s="85"/>
      <c r="M412" s="85"/>
      <c r="N412" s="85"/>
      <c r="O412" s="85"/>
      <c r="P412" s="85"/>
      <c r="Q412" s="85"/>
      <c r="R412" s="85"/>
    </row>
    <row r="413" spans="2:18">
      <c r="B413" s="83"/>
      <c r="C413" s="83"/>
      <c r="D413" s="51"/>
      <c r="E413" s="48"/>
      <c r="F413" s="81"/>
      <c r="G413" s="52"/>
      <c r="H413" s="48"/>
      <c r="I413" s="85"/>
      <c r="J413" s="85"/>
      <c r="K413" s="85"/>
      <c r="L413" s="85"/>
      <c r="M413" s="85"/>
      <c r="N413" s="85"/>
      <c r="O413" s="85"/>
      <c r="P413" s="85"/>
      <c r="Q413" s="85"/>
      <c r="R413" s="85"/>
    </row>
    <row r="414" spans="2:18">
      <c r="B414" s="83"/>
      <c r="C414" s="83"/>
      <c r="D414" s="51"/>
      <c r="E414" s="48"/>
      <c r="F414" s="81"/>
      <c r="G414" s="52"/>
      <c r="H414" s="48"/>
      <c r="I414" s="85"/>
      <c r="J414" s="85"/>
      <c r="K414" s="85"/>
      <c r="L414" s="85"/>
      <c r="M414" s="85"/>
      <c r="N414" s="85"/>
      <c r="O414" s="85"/>
      <c r="P414" s="85"/>
      <c r="Q414" s="85"/>
      <c r="R414" s="85"/>
    </row>
  </sheetData>
  <autoFilter ref="B6:Q33" xr:uid="{CB50E2A9-64F7-49C3-ACEC-9ABD63FB652A}"/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50"/>
  <sheetViews>
    <sheetView showGridLines="0" zoomScale="85" zoomScaleNormal="85" workbookViewId="0">
      <pane ySplit="4" topLeftCell="A5" activePane="bottomLeft" state="frozen"/>
      <selection pane="bottomLeft" activeCell="R21" sqref="R21"/>
    </sheetView>
  </sheetViews>
  <sheetFormatPr defaultColWidth="8.796875" defaultRowHeight="12.5"/>
  <cols>
    <col min="1" max="1" width="8.796875" style="106" hidden="1" customWidth="1"/>
    <col min="2" max="2" width="9.69921875" style="106" customWidth="1"/>
    <col min="3" max="3" width="14.3984375" style="106" customWidth="1"/>
    <col min="4" max="4" width="14.59765625" style="106" customWidth="1"/>
    <col min="5" max="6" width="14.59765625" style="106" hidden="1" customWidth="1"/>
    <col min="7" max="8" width="9.69921875" style="106" hidden="1" customWidth="1"/>
    <col min="9" max="10" width="14.59765625" style="106" hidden="1" customWidth="1"/>
    <col min="11" max="12" width="30.796875" style="106" customWidth="1"/>
    <col min="13" max="13" width="11.09765625" style="107" customWidth="1"/>
    <col min="14" max="14" width="10.69921875" style="108" customWidth="1"/>
    <col min="15" max="15" width="9.69921875" style="109" customWidth="1"/>
    <col min="16" max="16" width="15.69921875" style="110" customWidth="1"/>
    <col min="17" max="17" width="12.69921875" style="111" customWidth="1"/>
    <col min="18" max="18" width="10.69921875" style="108" customWidth="1"/>
    <col min="19" max="19" width="8.69921875" style="109" customWidth="1"/>
    <col min="20" max="20" width="15.69921875" style="110" customWidth="1"/>
    <col min="21" max="22" width="12.69921875" style="111" customWidth="1"/>
    <col min="23" max="23" width="11.69921875" style="110" customWidth="1"/>
    <col min="24" max="24" width="11.69921875" style="106" customWidth="1"/>
    <col min="25" max="25" width="18.09765625" style="106" customWidth="1"/>
    <col min="26" max="27" width="11.8984375" style="106" customWidth="1"/>
    <col min="28" max="31" width="15.69921875" style="106" customWidth="1"/>
    <col min="32" max="33" width="30.69921875" style="106" customWidth="1"/>
    <col min="34" max="16384" width="8.796875" style="106"/>
  </cols>
  <sheetData>
    <row r="1" spans="1:33" s="92" customFormat="1" ht="30.5" customHeight="1">
      <c r="M1" s="98"/>
      <c r="N1" s="94"/>
      <c r="O1" s="97"/>
      <c r="P1" s="95"/>
      <c r="Q1" s="93"/>
      <c r="R1" s="94"/>
      <c r="S1" s="97"/>
      <c r="T1" s="95"/>
      <c r="U1" s="93"/>
      <c r="V1" s="93"/>
      <c r="W1" s="95"/>
    </row>
    <row r="2" spans="1:33" s="92" customFormat="1" ht="34.5" customHeight="1">
      <c r="M2" s="98"/>
      <c r="N2" s="94"/>
      <c r="O2" s="97"/>
      <c r="P2" s="95"/>
      <c r="Q2" s="93"/>
      <c r="R2" s="94"/>
      <c r="S2" s="97"/>
      <c r="T2" s="95"/>
      <c r="U2" s="93"/>
      <c r="V2" s="93"/>
      <c r="W2" s="95"/>
    </row>
    <row r="3" spans="1:33" s="96" customFormat="1" ht="16">
      <c r="D3" s="127" t="s">
        <v>4272</v>
      </c>
      <c r="E3" s="128"/>
      <c r="F3" s="128"/>
      <c r="G3" s="128"/>
      <c r="H3" s="128"/>
      <c r="I3" s="128"/>
      <c r="J3" s="128"/>
      <c r="K3" s="122"/>
      <c r="M3" s="119"/>
      <c r="N3" s="125" t="s">
        <v>4264</v>
      </c>
      <c r="O3" s="126"/>
      <c r="P3" s="126"/>
      <c r="Q3" s="126"/>
      <c r="R3" s="123" t="s">
        <v>4265</v>
      </c>
      <c r="S3" s="124"/>
      <c r="T3" s="124"/>
      <c r="U3" s="124"/>
      <c r="V3" s="124"/>
      <c r="W3" s="124"/>
    </row>
    <row r="4" spans="1:33" s="96" customFormat="1" ht="16">
      <c r="A4" s="99" t="s">
        <v>2111</v>
      </c>
      <c r="B4" s="100" t="s">
        <v>4262</v>
      </c>
      <c r="C4" s="113" t="s">
        <v>4273</v>
      </c>
      <c r="D4" s="101" t="s">
        <v>3393</v>
      </c>
      <c r="E4" s="102" t="s">
        <v>3261</v>
      </c>
      <c r="F4" s="102" t="s">
        <v>4258</v>
      </c>
      <c r="G4" s="102" t="s">
        <v>4259</v>
      </c>
      <c r="H4" s="102" t="s">
        <v>3177</v>
      </c>
      <c r="I4" s="102" t="s">
        <v>4260</v>
      </c>
      <c r="J4" s="102" t="s">
        <v>4261</v>
      </c>
      <c r="K4" s="113" t="s">
        <v>4266</v>
      </c>
      <c r="L4" s="103" t="s">
        <v>3395</v>
      </c>
      <c r="M4" s="114" t="s">
        <v>4267</v>
      </c>
      <c r="N4" s="120" t="s">
        <v>4269</v>
      </c>
      <c r="O4" s="120" t="s">
        <v>4270</v>
      </c>
      <c r="P4" s="121" t="s">
        <v>4271</v>
      </c>
      <c r="Q4" s="116" t="s">
        <v>3369</v>
      </c>
      <c r="R4" s="120" t="s">
        <v>4269</v>
      </c>
      <c r="S4" s="120" t="s">
        <v>4270</v>
      </c>
      <c r="T4" s="121" t="s">
        <v>4271</v>
      </c>
      <c r="U4" s="117" t="s">
        <v>3370</v>
      </c>
      <c r="V4" s="117" t="s">
        <v>3371</v>
      </c>
      <c r="W4" s="118" t="s">
        <v>3372</v>
      </c>
      <c r="X4" s="115" t="s">
        <v>4268</v>
      </c>
      <c r="Y4" s="103" t="s">
        <v>3374</v>
      </c>
      <c r="Z4" s="104" t="s">
        <v>3375</v>
      </c>
      <c r="AA4" s="104" t="s">
        <v>4257</v>
      </c>
      <c r="AB4" s="103" t="s">
        <v>4</v>
      </c>
      <c r="AC4" s="103" t="s">
        <v>3376</v>
      </c>
      <c r="AD4" s="103" t="s">
        <v>4317</v>
      </c>
      <c r="AE4" s="103" t="s">
        <v>3377</v>
      </c>
      <c r="AF4" s="105" t="s">
        <v>2357</v>
      </c>
      <c r="AG4" s="105" t="s">
        <v>4263</v>
      </c>
    </row>
    <row r="5" spans="1:33">
      <c r="A5" s="106">
        <v>2321</v>
      </c>
      <c r="B5" s="106" t="s">
        <v>4311</v>
      </c>
      <c r="C5" s="106" t="s">
        <v>4304</v>
      </c>
      <c r="D5" s="106" t="s">
        <v>53</v>
      </c>
      <c r="E5" s="106" t="s">
        <v>21</v>
      </c>
      <c r="F5" s="106" t="s">
        <v>4318</v>
      </c>
      <c r="G5" s="106" t="s">
        <v>4283</v>
      </c>
      <c r="H5" s="106">
        <v>2020</v>
      </c>
      <c r="I5" s="106" t="s">
        <v>3250</v>
      </c>
      <c r="K5" s="106" t="s">
        <v>4308</v>
      </c>
      <c r="L5" s="106" t="s">
        <v>4315</v>
      </c>
      <c r="M5" s="107" t="s">
        <v>4305</v>
      </c>
      <c r="N5" s="108">
        <v>10</v>
      </c>
      <c r="O5" s="109">
        <v>3</v>
      </c>
      <c r="P5" s="110">
        <v>9</v>
      </c>
      <c r="Q5" s="111">
        <v>44508</v>
      </c>
      <c r="R5" s="108">
        <v>10</v>
      </c>
      <c r="S5" s="109">
        <v>3</v>
      </c>
      <c r="T5" s="110">
        <v>30</v>
      </c>
      <c r="U5" s="111">
        <v>44531</v>
      </c>
      <c r="V5" s="111">
        <v>44561</v>
      </c>
      <c r="W5" s="110">
        <v>11</v>
      </c>
      <c r="X5" s="106" t="s">
        <v>4306</v>
      </c>
      <c r="Y5" s="106" t="s">
        <v>4316</v>
      </c>
      <c r="Z5" s="106" t="s">
        <v>4309</v>
      </c>
      <c r="AA5" s="106" t="s">
        <v>4307</v>
      </c>
      <c r="AB5" s="106">
        <v>1</v>
      </c>
      <c r="AC5" s="106">
        <v>2</v>
      </c>
      <c r="AD5" s="106">
        <v>3</v>
      </c>
      <c r="AE5" s="106">
        <v>4</v>
      </c>
      <c r="AF5" s="106">
        <v>5</v>
      </c>
      <c r="AG5" s="106">
        <v>6</v>
      </c>
    </row>
    <row r="1632" spans="12:12">
      <c r="L1632" s="112"/>
    </row>
    <row r="1633" spans="12:12">
      <c r="L1633" s="112"/>
    </row>
    <row r="1634" spans="12:12">
      <c r="L1634" s="112"/>
    </row>
    <row r="1635" spans="12:12">
      <c r="L1635" s="112"/>
    </row>
    <row r="1636" spans="12:12">
      <c r="L1636" s="112"/>
    </row>
    <row r="1637" spans="12:12">
      <c r="L1637" s="112"/>
    </row>
    <row r="1638" spans="12:12">
      <c r="L1638" s="112"/>
    </row>
    <row r="1639" spans="12:12">
      <c r="L1639" s="112"/>
    </row>
    <row r="1640" spans="12:12">
      <c r="L1640" s="112"/>
    </row>
    <row r="1641" spans="12:12">
      <c r="L1641" s="112"/>
    </row>
    <row r="1642" spans="12:12">
      <c r="L1642" s="112"/>
    </row>
    <row r="1643" spans="12:12">
      <c r="L1643" s="112"/>
    </row>
    <row r="1819" spans="12:12">
      <c r="L1819" s="112"/>
    </row>
    <row r="1820" spans="12:12">
      <c r="L1820" s="112"/>
    </row>
    <row r="1821" spans="12:12">
      <c r="L1821" s="112"/>
    </row>
    <row r="1822" spans="12:12">
      <c r="L1822" s="112"/>
    </row>
    <row r="1823" spans="12:12">
      <c r="L1823" s="112"/>
    </row>
    <row r="1824" spans="12:12">
      <c r="L1824" s="112"/>
    </row>
    <row r="1825" spans="12:12">
      <c r="L1825" s="112"/>
    </row>
    <row r="1826" spans="12:12">
      <c r="L1826" s="112"/>
    </row>
    <row r="1827" spans="12:12">
      <c r="L1827" s="112"/>
    </row>
    <row r="1828" spans="12:12">
      <c r="L1828" s="112"/>
    </row>
    <row r="1829" spans="12:12">
      <c r="L1829" s="112"/>
    </row>
    <row r="1839" spans="12:12">
      <c r="L1839" s="112"/>
    </row>
    <row r="1840" spans="12:12">
      <c r="L1840" s="112"/>
    </row>
    <row r="1841" spans="12:12">
      <c r="L1841" s="112"/>
    </row>
    <row r="1842" spans="12:12">
      <c r="L1842" s="112"/>
    </row>
    <row r="1843" spans="12:12">
      <c r="L1843" s="112"/>
    </row>
    <row r="1844" spans="12:12">
      <c r="L1844" s="112"/>
    </row>
    <row r="1845" spans="12:12">
      <c r="L1845" s="112"/>
    </row>
    <row r="1846" spans="12:12">
      <c r="L1846" s="112"/>
    </row>
    <row r="1847" spans="12:12">
      <c r="L1847" s="112"/>
    </row>
    <row r="1848" spans="12:12">
      <c r="L1848" s="112"/>
    </row>
    <row r="1849" spans="12:12">
      <c r="L1849" s="112"/>
    </row>
    <row r="1850" spans="12:12">
      <c r="L1850" s="112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311150</xdr:colOff>
                    <xdr:row>0</xdr:row>
                    <xdr:rowOff>69850</xdr:rowOff>
                  </from>
                  <to>
                    <xdr:col>23</xdr:col>
                    <xdr:colOff>349250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BF16C376-C163-48D9-9FF7-44F1AAC14B73}">
          <x14:formula1>
            <xm:f>validation!$R$2:$R$651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96875" defaultRowHeight="12.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92"/>
  <sheetViews>
    <sheetView workbookViewId="0">
      <selection activeCell="C1" sqref="C1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1923</v>
      </c>
      <c r="C1" t="s">
        <v>4301</v>
      </c>
    </row>
    <row r="2" spans="1:3">
      <c r="A2" t="s">
        <v>1924</v>
      </c>
    </row>
    <row r="3" spans="1:3">
      <c r="A3" t="s">
        <v>1929</v>
      </c>
    </row>
    <row r="4" spans="1:3">
      <c r="A4" t="s">
        <v>1842</v>
      </c>
    </row>
    <row r="5" spans="1:3">
      <c r="A5" t="s">
        <v>1927</v>
      </c>
    </row>
    <row r="6" spans="1:3">
      <c r="A6" t="s">
        <v>1843</v>
      </c>
    </row>
    <row r="7" spans="1:3">
      <c r="A7" t="s">
        <v>1928</v>
      </c>
    </row>
    <row r="8" spans="1:3">
      <c r="A8" t="s">
        <v>1844</v>
      </c>
    </row>
    <row r="9" spans="1:3">
      <c r="A9" t="s">
        <v>2996</v>
      </c>
    </row>
    <row r="10" spans="1:3">
      <c r="A10" t="s">
        <v>1860</v>
      </c>
    </row>
    <row r="11" spans="1:3">
      <c r="A11" t="s">
        <v>2997</v>
      </c>
    </row>
    <row r="12" spans="1:3">
      <c r="A12" t="s">
        <v>1786</v>
      </c>
    </row>
    <row r="13" spans="1:3">
      <c r="A13" t="s">
        <v>2998</v>
      </c>
    </row>
    <row r="14" spans="1:3">
      <c r="A14" t="s">
        <v>2999</v>
      </c>
    </row>
    <row r="15" spans="1:3">
      <c r="A15" t="s">
        <v>3000</v>
      </c>
    </row>
    <row r="16" spans="1:3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3001</v>
      </c>
    </row>
    <row r="23" spans="1:1">
      <c r="A23" t="s">
        <v>1785</v>
      </c>
    </row>
    <row r="24" spans="1:1">
      <c r="A24" t="s">
        <v>3002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3013</v>
      </c>
    </row>
    <row r="56" spans="1:1">
      <c r="A56" t="s">
        <v>1958</v>
      </c>
    </row>
    <row r="57" spans="1:1">
      <c r="A57" t="s">
        <v>3014</v>
      </c>
    </row>
    <row r="58" spans="1:1">
      <c r="A58" t="s">
        <v>3015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3016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3026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3094</v>
      </c>
    </row>
    <row r="80" spans="1:1">
      <c r="A80" t="s">
        <v>3095</v>
      </c>
    </row>
    <row r="81" spans="1:1">
      <c r="A81" t="s">
        <v>3096</v>
      </c>
    </row>
    <row r="82" spans="1:1">
      <c r="A82" t="s">
        <v>3097</v>
      </c>
    </row>
    <row r="83" spans="1:1">
      <c r="A83" t="s">
        <v>3098</v>
      </c>
    </row>
    <row r="84" spans="1:1">
      <c r="A84" t="s">
        <v>3099</v>
      </c>
    </row>
    <row r="85" spans="1:1">
      <c r="A85" t="s">
        <v>3100</v>
      </c>
    </row>
    <row r="86" spans="1:1">
      <c r="A86" t="s">
        <v>3101</v>
      </c>
    </row>
    <row r="87" spans="1:1">
      <c r="A87" t="s">
        <v>3102</v>
      </c>
    </row>
    <row r="88" spans="1:1">
      <c r="A88" t="s">
        <v>3103</v>
      </c>
    </row>
    <row r="89" spans="1:1">
      <c r="A89" t="s">
        <v>3104</v>
      </c>
    </row>
    <row r="90" spans="1:1">
      <c r="A90" t="s">
        <v>3105</v>
      </c>
    </row>
    <row r="91" spans="1:1">
      <c r="A91" t="s">
        <v>3106</v>
      </c>
    </row>
    <row r="92" spans="1:1">
      <c r="A92" t="s">
        <v>3107</v>
      </c>
    </row>
    <row r="93" spans="1:1">
      <c r="A93" t="s">
        <v>3108</v>
      </c>
    </row>
    <row r="94" spans="1:1">
      <c r="A94" t="s">
        <v>3109</v>
      </c>
    </row>
    <row r="95" spans="1:1">
      <c r="A95" t="s">
        <v>3110</v>
      </c>
    </row>
    <row r="96" spans="1:1">
      <c r="A96" t="s">
        <v>3111</v>
      </c>
    </row>
    <row r="97" spans="1:1">
      <c r="A97" t="s">
        <v>3112</v>
      </c>
    </row>
    <row r="98" spans="1:1">
      <c r="A98" t="s">
        <v>3113</v>
      </c>
    </row>
    <row r="99" spans="1:1">
      <c r="A99" t="s">
        <v>3114</v>
      </c>
    </row>
    <row r="100" spans="1:1">
      <c r="A100" t="s">
        <v>3115</v>
      </c>
    </row>
    <row r="101" spans="1:1">
      <c r="A101" t="s">
        <v>3116</v>
      </c>
    </row>
    <row r="102" spans="1:1">
      <c r="A102" t="s">
        <v>3125</v>
      </c>
    </row>
    <row r="103" spans="1:1">
      <c r="A103" t="s">
        <v>3126</v>
      </c>
    </row>
    <row r="104" spans="1:1">
      <c r="A104" t="s">
        <v>3127</v>
      </c>
    </row>
    <row r="105" spans="1:1">
      <c r="A105" t="s">
        <v>3128</v>
      </c>
    </row>
    <row r="106" spans="1:1">
      <c r="A106" t="s">
        <v>3129</v>
      </c>
    </row>
    <row r="107" spans="1:1">
      <c r="A107" t="s">
        <v>3130</v>
      </c>
    </row>
    <row r="108" spans="1:1">
      <c r="A108" t="s">
        <v>3131</v>
      </c>
    </row>
    <row r="109" spans="1:1">
      <c r="A109" t="s">
        <v>3142</v>
      </c>
    </row>
    <row r="110" spans="1:1">
      <c r="A110" t="s">
        <v>3143</v>
      </c>
    </row>
    <row r="111" spans="1:1">
      <c r="A111" t="s">
        <v>3144</v>
      </c>
    </row>
    <row r="112" spans="1:1">
      <c r="A112" t="s">
        <v>3145</v>
      </c>
    </row>
    <row r="113" spans="1:1">
      <c r="A113" t="s">
        <v>3146</v>
      </c>
    </row>
    <row r="114" spans="1:1">
      <c r="A114" t="s">
        <v>3147</v>
      </c>
    </row>
    <row r="115" spans="1:1">
      <c r="A115" t="s">
        <v>3148</v>
      </c>
    </row>
    <row r="116" spans="1:1">
      <c r="A116" t="s">
        <v>3149</v>
      </c>
    </row>
    <row r="117" spans="1:1">
      <c r="A117" t="s">
        <v>3150</v>
      </c>
    </row>
    <row r="118" spans="1:1">
      <c r="A118" t="s">
        <v>3151</v>
      </c>
    </row>
    <row r="119" spans="1:1">
      <c r="A119" t="s">
        <v>3156</v>
      </c>
    </row>
    <row r="120" spans="1:1">
      <c r="A120" t="s">
        <v>3157</v>
      </c>
    </row>
    <row r="121" spans="1:1">
      <c r="A121" t="s">
        <v>3158</v>
      </c>
    </row>
    <row r="122" spans="1:1">
      <c r="A122" t="s">
        <v>3159</v>
      </c>
    </row>
    <row r="123" spans="1:1">
      <c r="A123" t="s">
        <v>3160</v>
      </c>
    </row>
    <row r="124" spans="1:1">
      <c r="A124" t="s">
        <v>3161</v>
      </c>
    </row>
    <row r="125" spans="1:1">
      <c r="A125" t="s">
        <v>3162</v>
      </c>
    </row>
    <row r="126" spans="1:1">
      <c r="A126" t="s">
        <v>3163</v>
      </c>
    </row>
    <row r="127" spans="1:1">
      <c r="A127" t="s">
        <v>3164</v>
      </c>
    </row>
    <row r="128" spans="1:1">
      <c r="A128" t="s">
        <v>3165</v>
      </c>
    </row>
    <row r="129" spans="1:1">
      <c r="A129" t="s">
        <v>3168</v>
      </c>
    </row>
    <row r="130" spans="1:1">
      <c r="A130" t="s">
        <v>3169</v>
      </c>
    </row>
    <row r="131" spans="1:1">
      <c r="A131" t="s">
        <v>3166</v>
      </c>
    </row>
    <row r="132" spans="1:1">
      <c r="A132" t="s">
        <v>3170</v>
      </c>
    </row>
    <row r="133" spans="1:1">
      <c r="A133" t="s">
        <v>3171</v>
      </c>
    </row>
    <row r="134" spans="1:1">
      <c r="A134" t="s">
        <v>3173</v>
      </c>
    </row>
    <row r="135" spans="1:1">
      <c r="A135" t="s">
        <v>3174</v>
      </c>
    </row>
    <row r="136" spans="1:1">
      <c r="A136" t="s">
        <v>3175</v>
      </c>
    </row>
    <row r="137" spans="1:1">
      <c r="A137" t="s">
        <v>4281</v>
      </c>
    </row>
    <row r="138" spans="1:1">
      <c r="A138" t="s">
        <v>4302</v>
      </c>
    </row>
    <row r="139" spans="1:1">
      <c r="A139" t="s">
        <v>4303</v>
      </c>
    </row>
    <row r="140" spans="1:1">
      <c r="A140" t="s">
        <v>2036</v>
      </c>
    </row>
    <row r="141" spans="1:1">
      <c r="A141" t="s">
        <v>1739</v>
      </c>
    </row>
    <row r="142" spans="1:1">
      <c r="A142" t="s">
        <v>1781</v>
      </c>
    </row>
    <row r="143" spans="1:1">
      <c r="A143" t="s">
        <v>2986</v>
      </c>
    </row>
    <row r="144" spans="1:1">
      <c r="A144" t="s">
        <v>1810</v>
      </c>
    </row>
    <row r="145" spans="1:1">
      <c r="A145" t="s">
        <v>1823</v>
      </c>
    </row>
    <row r="146" spans="1:1">
      <c r="A146" t="s">
        <v>1749</v>
      </c>
    </row>
    <row r="147" spans="1:1">
      <c r="A147" t="s">
        <v>2987</v>
      </c>
    </row>
    <row r="148" spans="1:1">
      <c r="A148" t="s">
        <v>1775</v>
      </c>
    </row>
    <row r="149" spans="1:1">
      <c r="A149" t="s">
        <v>2988</v>
      </c>
    </row>
    <row r="150" spans="1:1">
      <c r="A150" t="s">
        <v>1783</v>
      </c>
    </row>
    <row r="151" spans="1:1">
      <c r="A151" t="s">
        <v>1777</v>
      </c>
    </row>
    <row r="152" spans="1:1">
      <c r="A152" t="s">
        <v>1754</v>
      </c>
    </row>
    <row r="153" spans="1:1">
      <c r="A153" t="s">
        <v>1817</v>
      </c>
    </row>
    <row r="154" spans="1:1">
      <c r="A154" t="s">
        <v>1778</v>
      </c>
    </row>
    <row r="155" spans="1:1">
      <c r="A155" t="s">
        <v>2989</v>
      </c>
    </row>
    <row r="156" spans="1:1">
      <c r="A156" t="s">
        <v>1813</v>
      </c>
    </row>
    <row r="157" spans="1:1">
      <c r="A157" t="s">
        <v>1752</v>
      </c>
    </row>
    <row r="158" spans="1:1">
      <c r="A158" t="s">
        <v>1782</v>
      </c>
    </row>
    <row r="159" spans="1:1">
      <c r="A159" t="s">
        <v>2990</v>
      </c>
    </row>
    <row r="160" spans="1:1">
      <c r="A160" t="s">
        <v>1789</v>
      </c>
    </row>
    <row r="161" spans="1:1">
      <c r="A161" t="s">
        <v>1822</v>
      </c>
    </row>
    <row r="162" spans="1:1">
      <c r="A162" t="s">
        <v>1814</v>
      </c>
    </row>
    <row r="163" spans="1:1">
      <c r="A163" t="s">
        <v>1776</v>
      </c>
    </row>
    <row r="164" spans="1:1">
      <c r="A164" t="s">
        <v>1821</v>
      </c>
    </row>
    <row r="165" spans="1:1">
      <c r="A165" t="s">
        <v>1784</v>
      </c>
    </row>
    <row r="166" spans="1:1">
      <c r="A166" t="s">
        <v>1815</v>
      </c>
    </row>
    <row r="167" spans="1:1">
      <c r="A167" t="s">
        <v>1750</v>
      </c>
    </row>
    <row r="168" spans="1:1">
      <c r="A168" t="s">
        <v>1811</v>
      </c>
    </row>
    <row r="169" spans="1:1">
      <c r="A169" t="s">
        <v>1833</v>
      </c>
    </row>
    <row r="170" spans="1:1">
      <c r="A170" t="s">
        <v>1824</v>
      </c>
    </row>
    <row r="171" spans="1:1">
      <c r="A171" t="s">
        <v>1812</v>
      </c>
    </row>
    <row r="172" spans="1:1">
      <c r="A172" t="s">
        <v>1790</v>
      </c>
    </row>
    <row r="173" spans="1:1">
      <c r="A173" t="s">
        <v>1779</v>
      </c>
    </row>
    <row r="174" spans="1:1">
      <c r="A174" t="s">
        <v>1816</v>
      </c>
    </row>
    <row r="175" spans="1:1">
      <c r="A175" t="s">
        <v>1819</v>
      </c>
    </row>
    <row r="176" spans="1:1">
      <c r="A176" t="s">
        <v>1702</v>
      </c>
    </row>
    <row r="177" spans="1:1">
      <c r="A177" t="s">
        <v>2991</v>
      </c>
    </row>
    <row r="178" spans="1:1">
      <c r="A178" t="s">
        <v>2992</v>
      </c>
    </row>
    <row r="179" spans="1:1">
      <c r="A179" t="s">
        <v>1701</v>
      </c>
    </row>
    <row r="180" spans="1:1">
      <c r="A180" t="s">
        <v>1703</v>
      </c>
    </row>
    <row r="181" spans="1:1">
      <c r="A181" t="s">
        <v>2993</v>
      </c>
    </row>
    <row r="182" spans="1:1">
      <c r="A182" t="s">
        <v>1700</v>
      </c>
    </row>
    <row r="183" spans="1:1">
      <c r="A183" t="s">
        <v>2994</v>
      </c>
    </row>
    <row r="184" spans="1:1">
      <c r="A184" t="s">
        <v>2995</v>
      </c>
    </row>
    <row r="185" spans="1:1">
      <c r="A185" t="s">
        <v>1699</v>
      </c>
    </row>
    <row r="186" spans="1:1">
      <c r="A186" t="s">
        <v>1820</v>
      </c>
    </row>
    <row r="187" spans="1:1">
      <c r="A187" t="s">
        <v>1738</v>
      </c>
    </row>
    <row r="188" spans="1:1">
      <c r="A188" t="s">
        <v>1737</v>
      </c>
    </row>
    <row r="189" spans="1:1">
      <c r="A189" t="s">
        <v>1741</v>
      </c>
    </row>
    <row r="190" spans="1:1">
      <c r="A190" t="s">
        <v>1803</v>
      </c>
    </row>
    <row r="191" spans="1:1">
      <c r="A191" t="s">
        <v>1740</v>
      </c>
    </row>
    <row r="192" spans="1:1">
      <c r="A192" t="s">
        <v>1835</v>
      </c>
    </row>
    <row r="193" spans="1:1">
      <c r="A193" t="s">
        <v>1896</v>
      </c>
    </row>
    <row r="194" spans="1:1">
      <c r="A194" t="s">
        <v>1872</v>
      </c>
    </row>
    <row r="195" spans="1:1">
      <c r="A195" t="s">
        <v>1871</v>
      </c>
    </row>
    <row r="196" spans="1:1">
      <c r="A196" t="s">
        <v>1834</v>
      </c>
    </row>
    <row r="197" spans="1:1">
      <c r="A197" t="s">
        <v>1895</v>
      </c>
    </row>
    <row r="198" spans="1:1">
      <c r="A198" t="s">
        <v>1894</v>
      </c>
    </row>
    <row r="199" spans="1:1">
      <c r="A199" t="s">
        <v>1836</v>
      </c>
    </row>
    <row r="200" spans="1:1">
      <c r="A200" t="s">
        <v>1837</v>
      </c>
    </row>
    <row r="201" spans="1:1">
      <c r="A201" t="s">
        <v>1864</v>
      </c>
    </row>
    <row r="202" spans="1:1">
      <c r="A202" t="s">
        <v>1870</v>
      </c>
    </row>
    <row r="203" spans="1:1">
      <c r="A203" t="s">
        <v>1745</v>
      </c>
    </row>
    <row r="204" spans="1:1">
      <c r="A204" t="s">
        <v>1905</v>
      </c>
    </row>
    <row r="205" spans="1:1">
      <c r="A205" t="s">
        <v>1846</v>
      </c>
    </row>
    <row r="206" spans="1:1">
      <c r="A206" t="s">
        <v>1744</v>
      </c>
    </row>
    <row r="207" spans="1:1">
      <c r="A207" t="s">
        <v>1743</v>
      </c>
    </row>
    <row r="208" spans="1:1">
      <c r="A208" t="s">
        <v>1788</v>
      </c>
    </row>
    <row r="209" spans="1:1">
      <c r="A209" t="s">
        <v>1906</v>
      </c>
    </row>
    <row r="210" spans="1:1">
      <c r="A210" t="s">
        <v>1809</v>
      </c>
    </row>
    <row r="211" spans="1:1">
      <c r="A211" t="s">
        <v>1907</v>
      </c>
    </row>
    <row r="212" spans="1:1">
      <c r="A212" t="s">
        <v>1829</v>
      </c>
    </row>
    <row r="213" spans="1:1">
      <c r="A213" t="s">
        <v>1869</v>
      </c>
    </row>
    <row r="214" spans="1:1">
      <c r="A214" t="s">
        <v>1855</v>
      </c>
    </row>
    <row r="215" spans="1:1">
      <c r="A215" t="s">
        <v>1932</v>
      </c>
    </row>
    <row r="216" spans="1:1">
      <c r="A216" t="s">
        <v>1801</v>
      </c>
    </row>
    <row r="217" spans="1:1">
      <c r="A217" t="s">
        <v>1878</v>
      </c>
    </row>
    <row r="218" spans="1:1">
      <c r="A218" t="s">
        <v>1909</v>
      </c>
    </row>
    <row r="219" spans="1:1">
      <c r="A219" t="s">
        <v>1908</v>
      </c>
    </row>
    <row r="220" spans="1:1">
      <c r="A220" t="s">
        <v>1897</v>
      </c>
    </row>
    <row r="221" spans="1:1">
      <c r="A221" t="s">
        <v>1889</v>
      </c>
    </row>
    <row r="222" spans="1:1">
      <c r="A222" t="s">
        <v>1898</v>
      </c>
    </row>
    <row r="223" spans="1:1">
      <c r="A223" t="s">
        <v>1877</v>
      </c>
    </row>
    <row r="224" spans="1:1">
      <c r="A224" t="s">
        <v>1875</v>
      </c>
    </row>
    <row r="225" spans="1:1">
      <c r="A225" t="s">
        <v>1847</v>
      </c>
    </row>
    <row r="226" spans="1:1">
      <c r="A226" t="s">
        <v>1802</v>
      </c>
    </row>
    <row r="227" spans="1:1">
      <c r="A227" t="s">
        <v>3003</v>
      </c>
    </row>
    <row r="228" spans="1:1">
      <c r="A228" t="s">
        <v>3004</v>
      </c>
    </row>
    <row r="229" spans="1:1">
      <c r="A229" t="s">
        <v>1830</v>
      </c>
    </row>
    <row r="230" spans="1:1">
      <c r="A230" t="s">
        <v>1893</v>
      </c>
    </row>
    <row r="231" spans="1:1">
      <c r="A231" t="s">
        <v>1899</v>
      </c>
    </row>
    <row r="232" spans="1:1">
      <c r="A232" t="s">
        <v>1863</v>
      </c>
    </row>
    <row r="233" spans="1:1">
      <c r="A233" t="s">
        <v>1887</v>
      </c>
    </row>
    <row r="234" spans="1:1">
      <c r="A234" t="s">
        <v>1890</v>
      </c>
    </row>
    <row r="235" spans="1:1">
      <c r="A235" t="s">
        <v>1867</v>
      </c>
    </row>
    <row r="236" spans="1:1">
      <c r="A236" t="s">
        <v>1888</v>
      </c>
    </row>
    <row r="237" spans="1:1">
      <c r="A237" t="s">
        <v>1910</v>
      </c>
    </row>
    <row r="238" spans="1:1">
      <c r="A238" t="s">
        <v>1712</v>
      </c>
    </row>
    <row r="239" spans="1:1">
      <c r="A239" t="s">
        <v>1742</v>
      </c>
    </row>
    <row r="240" spans="1:1">
      <c r="A240" t="s">
        <v>1976</v>
      </c>
    </row>
    <row r="241" spans="1:1">
      <c r="A241" t="s">
        <v>1938</v>
      </c>
    </row>
    <row r="242" spans="1:1">
      <c r="A242" t="s">
        <v>1857</v>
      </c>
    </row>
    <row r="243" spans="1:1">
      <c r="A243" t="s">
        <v>3005</v>
      </c>
    </row>
    <row r="244" spans="1:1">
      <c r="A244" t="s">
        <v>1943</v>
      </c>
    </row>
    <row r="245" spans="1:1">
      <c r="A245" t="s">
        <v>1858</v>
      </c>
    </row>
    <row r="246" spans="1:1">
      <c r="A246" t="s">
        <v>3006</v>
      </c>
    </row>
    <row r="247" spans="1:1">
      <c r="A247" t="s">
        <v>1944</v>
      </c>
    </row>
    <row r="248" spans="1:1">
      <c r="A248" t="s">
        <v>1971</v>
      </c>
    </row>
    <row r="249" spans="1:1">
      <c r="A249" t="s">
        <v>1939</v>
      </c>
    </row>
    <row r="250" spans="1:1">
      <c r="A250" t="s">
        <v>2014</v>
      </c>
    </row>
    <row r="251" spans="1:1">
      <c r="A251" t="s">
        <v>1746</v>
      </c>
    </row>
    <row r="252" spans="1:1">
      <c r="A252" t="s">
        <v>1931</v>
      </c>
    </row>
    <row r="253" spans="1:1">
      <c r="A253" t="s">
        <v>1753</v>
      </c>
    </row>
    <row r="254" spans="1:1">
      <c r="A254" t="s">
        <v>1930</v>
      </c>
    </row>
    <row r="255" spans="1:1">
      <c r="A255" t="s">
        <v>1903</v>
      </c>
    </row>
    <row r="256" spans="1:1">
      <c r="A256" t="s">
        <v>1862</v>
      </c>
    </row>
    <row r="257" spans="1:1">
      <c r="A257" t="s">
        <v>3007</v>
      </c>
    </row>
    <row r="258" spans="1:1">
      <c r="A258" t="s">
        <v>2031</v>
      </c>
    </row>
    <row r="259" spans="1:1">
      <c r="A259" t="s">
        <v>1940</v>
      </c>
    </row>
    <row r="260" spans="1:1">
      <c r="A260" t="s">
        <v>1902</v>
      </c>
    </row>
    <row r="261" spans="1:1">
      <c r="A261" t="s">
        <v>1831</v>
      </c>
    </row>
    <row r="262" spans="1:1">
      <c r="A262" t="s">
        <v>1941</v>
      </c>
    </row>
    <row r="263" spans="1:1">
      <c r="A263" t="s">
        <v>1935</v>
      </c>
    </row>
    <row r="264" spans="1:1">
      <c r="A264" t="s">
        <v>1973</v>
      </c>
    </row>
    <row r="265" spans="1:1">
      <c r="A265" t="s">
        <v>2047</v>
      </c>
    </row>
    <row r="266" spans="1:1">
      <c r="A266" t="s">
        <v>1974</v>
      </c>
    </row>
    <row r="267" spans="1:1">
      <c r="A267" t="s">
        <v>1998</v>
      </c>
    </row>
    <row r="268" spans="1:1">
      <c r="A268" t="s">
        <v>1904</v>
      </c>
    </row>
    <row r="269" spans="1:1">
      <c r="A269" t="s">
        <v>3008</v>
      </c>
    </row>
    <row r="270" spans="1:1">
      <c r="A270" t="s">
        <v>3009</v>
      </c>
    </row>
    <row r="271" spans="1:1">
      <c r="A271" t="s">
        <v>3010</v>
      </c>
    </row>
    <row r="272" spans="1:1">
      <c r="A272" t="s">
        <v>1963</v>
      </c>
    </row>
    <row r="273" spans="1:1">
      <c r="A273" t="s">
        <v>1956</v>
      </c>
    </row>
    <row r="274" spans="1:1">
      <c r="A274" t="s">
        <v>1936</v>
      </c>
    </row>
    <row r="275" spans="1:1">
      <c r="A275" t="s">
        <v>1937</v>
      </c>
    </row>
    <row r="276" spans="1:1">
      <c r="A276" t="s">
        <v>2002</v>
      </c>
    </row>
    <row r="277" spans="1:1">
      <c r="A277" t="s">
        <v>1947</v>
      </c>
    </row>
    <row r="278" spans="1:1">
      <c r="A278" t="s">
        <v>1756</v>
      </c>
    </row>
    <row r="279" spans="1:1">
      <c r="A279" t="s">
        <v>3011</v>
      </c>
    </row>
    <row r="280" spans="1:1">
      <c r="A280" t="s">
        <v>3012</v>
      </c>
    </row>
    <row r="281" spans="1:1">
      <c r="A281" t="s">
        <v>1989</v>
      </c>
    </row>
    <row r="282" spans="1:1">
      <c r="A282" t="s">
        <v>2088</v>
      </c>
    </row>
    <row r="283" spans="1:1">
      <c r="A283" t="s">
        <v>1772</v>
      </c>
    </row>
    <row r="284" spans="1:1">
      <c r="A284" t="s">
        <v>2073</v>
      </c>
    </row>
    <row r="285" spans="1:1">
      <c r="A285" t="s">
        <v>1966</v>
      </c>
    </row>
    <row r="286" spans="1:1">
      <c r="A286" t="s">
        <v>2017</v>
      </c>
    </row>
    <row r="287" spans="1:1">
      <c r="A287" t="s">
        <v>2018</v>
      </c>
    </row>
    <row r="288" spans="1:1">
      <c r="A288" t="s">
        <v>1933</v>
      </c>
    </row>
    <row r="289" spans="1:1">
      <c r="A289" t="s">
        <v>1934</v>
      </c>
    </row>
    <row r="290" spans="1:1">
      <c r="A290" t="s">
        <v>2048</v>
      </c>
    </row>
    <row r="291" spans="1:1">
      <c r="A291" t="s">
        <v>2087</v>
      </c>
    </row>
    <row r="292" spans="1:1">
      <c r="A292" t="s">
        <v>2072</v>
      </c>
    </row>
    <row r="293" spans="1:1">
      <c r="A293" t="s">
        <v>1992</v>
      </c>
    </row>
    <row r="294" spans="1:1">
      <c r="A294" t="s">
        <v>2035</v>
      </c>
    </row>
    <row r="295" spans="1:1">
      <c r="A295" t="s">
        <v>2071</v>
      </c>
    </row>
    <row r="296" spans="1:1">
      <c r="A296" t="s">
        <v>1990</v>
      </c>
    </row>
    <row r="297" spans="1:1">
      <c r="A297" t="s">
        <v>2034</v>
      </c>
    </row>
    <row r="298" spans="1:1">
      <c r="A298" t="s">
        <v>2033</v>
      </c>
    </row>
    <row r="299" spans="1:1">
      <c r="A299" t="s">
        <v>1991</v>
      </c>
    </row>
    <row r="300" spans="1:1">
      <c r="A300" t="s">
        <v>2085</v>
      </c>
    </row>
    <row r="301" spans="1:1">
      <c r="A301" t="s">
        <v>1942</v>
      </c>
    </row>
    <row r="302" spans="1:1">
      <c r="A302" t="s">
        <v>1999</v>
      </c>
    </row>
    <row r="303" spans="1:1">
      <c r="A303" t="s">
        <v>1968</v>
      </c>
    </row>
    <row r="304" spans="1:1">
      <c r="A304" t="s">
        <v>1980</v>
      </c>
    </row>
    <row r="305" spans="1:1">
      <c r="A305" t="s">
        <v>3017</v>
      </c>
    </row>
    <row r="306" spans="1:1">
      <c r="A306" t="s">
        <v>1954</v>
      </c>
    </row>
    <row r="307" spans="1:1">
      <c r="A307" t="s">
        <v>3018</v>
      </c>
    </row>
    <row r="308" spans="1:1">
      <c r="A308" t="s">
        <v>1912</v>
      </c>
    </row>
    <row r="309" spans="1:1">
      <c r="A309" t="s">
        <v>1972</v>
      </c>
    </row>
    <row r="310" spans="1:1">
      <c r="A310" t="s">
        <v>1960</v>
      </c>
    </row>
    <row r="311" spans="1:1">
      <c r="A311" t="s">
        <v>1959</v>
      </c>
    </row>
    <row r="312" spans="1:1">
      <c r="A312" t="s">
        <v>2042</v>
      </c>
    </row>
    <row r="313" spans="1:1">
      <c r="A313" t="s">
        <v>2043</v>
      </c>
    </row>
    <row r="314" spans="1:1">
      <c r="A314" t="s">
        <v>2084</v>
      </c>
    </row>
    <row r="315" spans="1:1">
      <c r="A315" t="s">
        <v>2083</v>
      </c>
    </row>
    <row r="316" spans="1:1">
      <c r="A316" t="s">
        <v>1876</v>
      </c>
    </row>
    <row r="317" spans="1:1">
      <c r="A317" t="s">
        <v>2007</v>
      </c>
    </row>
    <row r="318" spans="1:1">
      <c r="A318" t="s">
        <v>2056</v>
      </c>
    </row>
    <row r="319" spans="1:1">
      <c r="A319" t="s">
        <v>2000</v>
      </c>
    </row>
    <row r="320" spans="1:1">
      <c r="A320" t="s">
        <v>2008</v>
      </c>
    </row>
    <row r="321" spans="1:1">
      <c r="A321" t="s">
        <v>2005</v>
      </c>
    </row>
    <row r="322" spans="1:1">
      <c r="A322" t="s">
        <v>3019</v>
      </c>
    </row>
    <row r="323" spans="1:1">
      <c r="A323" t="s">
        <v>1913</v>
      </c>
    </row>
    <row r="324" spans="1:1">
      <c r="A324" t="s">
        <v>3020</v>
      </c>
    </row>
    <row r="325" spans="1:1">
      <c r="A325" t="s">
        <v>2029</v>
      </c>
    </row>
    <row r="326" spans="1:1">
      <c r="A326" t="s">
        <v>1986</v>
      </c>
    </row>
    <row r="327" spans="1:1">
      <c r="A327" t="s">
        <v>1985</v>
      </c>
    </row>
    <row r="328" spans="1:1">
      <c r="A328" t="s">
        <v>1984</v>
      </c>
    </row>
    <row r="329" spans="1:1">
      <c r="A329" t="s">
        <v>1969</v>
      </c>
    </row>
    <row r="330" spans="1:1">
      <c r="A330" t="s">
        <v>1970</v>
      </c>
    </row>
    <row r="331" spans="1:1">
      <c r="A331" t="s">
        <v>1987</v>
      </c>
    </row>
    <row r="332" spans="1:1">
      <c r="A332" t="s">
        <v>1955</v>
      </c>
    </row>
    <row r="333" spans="1:1">
      <c r="A333" t="s">
        <v>3021</v>
      </c>
    </row>
    <row r="334" spans="1:1">
      <c r="A334" t="s">
        <v>3022</v>
      </c>
    </row>
    <row r="335" spans="1:1">
      <c r="A335" t="s">
        <v>2003</v>
      </c>
    </row>
    <row r="336" spans="1:1">
      <c r="A336" t="s">
        <v>2013</v>
      </c>
    </row>
    <row r="337" spans="1:1">
      <c r="A337" t="s">
        <v>1967</v>
      </c>
    </row>
    <row r="338" spans="1:1">
      <c r="A338" t="s">
        <v>1964</v>
      </c>
    </row>
    <row r="339" spans="1:1">
      <c r="A339" t="s">
        <v>3023</v>
      </c>
    </row>
    <row r="340" spans="1:1">
      <c r="A340" t="s">
        <v>3024</v>
      </c>
    </row>
    <row r="341" spans="1:1">
      <c r="A341" t="s">
        <v>1957</v>
      </c>
    </row>
    <row r="342" spans="1:1">
      <c r="A342" t="s">
        <v>3025</v>
      </c>
    </row>
    <row r="343" spans="1:1">
      <c r="A343" t="s">
        <v>2032</v>
      </c>
    </row>
    <row r="344" spans="1:1">
      <c r="A344" t="s">
        <v>2051</v>
      </c>
    </row>
    <row r="345" spans="1:1">
      <c r="A345" t="s">
        <v>1988</v>
      </c>
    </row>
    <row r="346" spans="1:1">
      <c r="A346" t="s">
        <v>1965</v>
      </c>
    </row>
    <row r="347" spans="1:1">
      <c r="A347" t="s">
        <v>2006</v>
      </c>
    </row>
    <row r="348" spans="1:1">
      <c r="A348" t="s">
        <v>2044</v>
      </c>
    </row>
    <row r="349" spans="1:1">
      <c r="A349" t="s">
        <v>2052</v>
      </c>
    </row>
    <row r="350" spans="1:1">
      <c r="A350" t="s">
        <v>2026</v>
      </c>
    </row>
    <row r="351" spans="1:1">
      <c r="A351" t="s">
        <v>2027</v>
      </c>
    </row>
    <row r="352" spans="1:1">
      <c r="A352" t="s">
        <v>1949</v>
      </c>
    </row>
    <row r="353" spans="1:1">
      <c r="A353" t="s">
        <v>1948</v>
      </c>
    </row>
    <row r="354" spans="1:1">
      <c r="A354" t="s">
        <v>3027</v>
      </c>
    </row>
    <row r="355" spans="1:1">
      <c r="A355" t="s">
        <v>1978</v>
      </c>
    </row>
    <row r="356" spans="1:1">
      <c r="A356" t="s">
        <v>1977</v>
      </c>
    </row>
    <row r="357" spans="1:1">
      <c r="A357" t="s">
        <v>1975</v>
      </c>
    </row>
    <row r="358" spans="1:1">
      <c r="A358" t="s">
        <v>1979</v>
      </c>
    </row>
    <row r="359" spans="1:1">
      <c r="A359" t="s">
        <v>2021</v>
      </c>
    </row>
    <row r="360" spans="1:1">
      <c r="A360" t="s">
        <v>3028</v>
      </c>
    </row>
    <row r="361" spans="1:1">
      <c r="A361" t="s">
        <v>2016</v>
      </c>
    </row>
    <row r="362" spans="1:1">
      <c r="A362" t="s">
        <v>2015</v>
      </c>
    </row>
    <row r="363" spans="1:1">
      <c r="A363" t="s">
        <v>3029</v>
      </c>
    </row>
    <row r="364" spans="1:1">
      <c r="A364" t="s">
        <v>2009</v>
      </c>
    </row>
    <row r="365" spans="1:1">
      <c r="A365" t="s">
        <v>2012</v>
      </c>
    </row>
    <row r="366" spans="1:1">
      <c r="A366" t="s">
        <v>1891</v>
      </c>
    </row>
    <row r="367" spans="1:1">
      <c r="A367" t="s">
        <v>2057</v>
      </c>
    </row>
    <row r="368" spans="1:1">
      <c r="A368" t="s">
        <v>3030</v>
      </c>
    </row>
    <row r="369" spans="1:1">
      <c r="A369" t="s">
        <v>2046</v>
      </c>
    </row>
    <row r="370" spans="1:1">
      <c r="A370" t="s">
        <v>2010</v>
      </c>
    </row>
    <row r="371" spans="1:1">
      <c r="A371" t="s">
        <v>2045</v>
      </c>
    </row>
    <row r="372" spans="1:1">
      <c r="A372" t="s">
        <v>2054</v>
      </c>
    </row>
    <row r="373" spans="1:1">
      <c r="A373" t="s">
        <v>2059</v>
      </c>
    </row>
    <row r="374" spans="1:1">
      <c r="A374" t="s">
        <v>1983</v>
      </c>
    </row>
    <row r="375" spans="1:1">
      <c r="A375" t="s">
        <v>1950</v>
      </c>
    </row>
    <row r="376" spans="1:1">
      <c r="A376" t="s">
        <v>2055</v>
      </c>
    </row>
    <row r="377" spans="1:1">
      <c r="A377" t="s">
        <v>1951</v>
      </c>
    </row>
    <row r="378" spans="1:1">
      <c r="A378" t="s">
        <v>2022</v>
      </c>
    </row>
    <row r="379" spans="1:1">
      <c r="A379" t="s">
        <v>2037</v>
      </c>
    </row>
    <row r="380" spans="1:1">
      <c r="A380" t="s">
        <v>2067</v>
      </c>
    </row>
    <row r="381" spans="1:1">
      <c r="A381" t="s">
        <v>2066</v>
      </c>
    </row>
    <row r="382" spans="1:1">
      <c r="A382" t="s">
        <v>2038</v>
      </c>
    </row>
    <row r="383" spans="1:1">
      <c r="A383" t="s">
        <v>2001</v>
      </c>
    </row>
    <row r="384" spans="1:1">
      <c r="A384" t="s">
        <v>2060</v>
      </c>
    </row>
    <row r="385" spans="1:1">
      <c r="A385" t="s">
        <v>2061</v>
      </c>
    </row>
    <row r="386" spans="1:1">
      <c r="A386" t="s">
        <v>2062</v>
      </c>
    </row>
    <row r="387" spans="1:1">
      <c r="A387" t="s">
        <v>2039</v>
      </c>
    </row>
    <row r="388" spans="1:1">
      <c r="A388" t="s">
        <v>3031</v>
      </c>
    </row>
    <row r="389" spans="1:1">
      <c r="A389" t="s">
        <v>2004</v>
      </c>
    </row>
    <row r="390" spans="1:1">
      <c r="A390" t="s">
        <v>2053</v>
      </c>
    </row>
    <row r="391" spans="1:1">
      <c r="A391" t="s">
        <v>2065</v>
      </c>
    </row>
    <row r="392" spans="1:1">
      <c r="A392" t="s">
        <v>2023</v>
      </c>
    </row>
    <row r="393" spans="1:1">
      <c r="A393" t="s">
        <v>3032</v>
      </c>
    </row>
    <row r="394" spans="1:1">
      <c r="A394" t="s">
        <v>3033</v>
      </c>
    </row>
    <row r="395" spans="1:1">
      <c r="A395" t="s">
        <v>2011</v>
      </c>
    </row>
    <row r="396" spans="1:1">
      <c r="A396" t="s">
        <v>2019</v>
      </c>
    </row>
    <row r="397" spans="1:1">
      <c r="A397" t="s">
        <v>2020</v>
      </c>
    </row>
    <row r="398" spans="1:1">
      <c r="A398" t="s">
        <v>2024</v>
      </c>
    </row>
    <row r="399" spans="1:1">
      <c r="A399" t="s">
        <v>2058</v>
      </c>
    </row>
    <row r="400" spans="1:1">
      <c r="A400" t="s">
        <v>2040</v>
      </c>
    </row>
    <row r="401" spans="1:1">
      <c r="A401" t="s">
        <v>3034</v>
      </c>
    </row>
    <row r="402" spans="1:1">
      <c r="A402" t="s">
        <v>1961</v>
      </c>
    </row>
    <row r="403" spans="1:1">
      <c r="A403" t="s">
        <v>3035</v>
      </c>
    </row>
    <row r="404" spans="1:1">
      <c r="A404" t="s">
        <v>2025</v>
      </c>
    </row>
    <row r="405" spans="1:1">
      <c r="A405" t="s">
        <v>3036</v>
      </c>
    </row>
    <row r="406" spans="1:1">
      <c r="A406" t="s">
        <v>2030</v>
      </c>
    </row>
    <row r="407" spans="1:1">
      <c r="A407" t="s">
        <v>2077</v>
      </c>
    </row>
    <row r="408" spans="1:1">
      <c r="A408" t="s">
        <v>2076</v>
      </c>
    </row>
    <row r="409" spans="1:1">
      <c r="A409" t="s">
        <v>3037</v>
      </c>
    </row>
    <row r="410" spans="1:1">
      <c r="A410" t="s">
        <v>3038</v>
      </c>
    </row>
    <row r="411" spans="1:1">
      <c r="A411" t="s">
        <v>3039</v>
      </c>
    </row>
    <row r="412" spans="1:1">
      <c r="A412" t="s">
        <v>3040</v>
      </c>
    </row>
    <row r="413" spans="1:1">
      <c r="A413" t="s">
        <v>3041</v>
      </c>
    </row>
    <row r="414" spans="1:1">
      <c r="A414" t="s">
        <v>3042</v>
      </c>
    </row>
    <row r="415" spans="1:1">
      <c r="A415" t="s">
        <v>3043</v>
      </c>
    </row>
    <row r="416" spans="1:1">
      <c r="A416" t="s">
        <v>3044</v>
      </c>
    </row>
    <row r="417" spans="1:1">
      <c r="A417" t="s">
        <v>3045</v>
      </c>
    </row>
    <row r="418" spans="1:1">
      <c r="A418" t="s">
        <v>3046</v>
      </c>
    </row>
    <row r="419" spans="1:1">
      <c r="A419" t="s">
        <v>3047</v>
      </c>
    </row>
    <row r="420" spans="1:1">
      <c r="A420" t="s">
        <v>3048</v>
      </c>
    </row>
    <row r="421" spans="1:1">
      <c r="A421" t="s">
        <v>3049</v>
      </c>
    </row>
    <row r="422" spans="1:1">
      <c r="A422" t="s">
        <v>3050</v>
      </c>
    </row>
    <row r="423" spans="1:1">
      <c r="A423" t="s">
        <v>3051</v>
      </c>
    </row>
    <row r="424" spans="1:1">
      <c r="A424" t="s">
        <v>3052</v>
      </c>
    </row>
    <row r="425" spans="1:1">
      <c r="A425" t="s">
        <v>3053</v>
      </c>
    </row>
    <row r="426" spans="1:1">
      <c r="A426" t="s">
        <v>3054</v>
      </c>
    </row>
    <row r="427" spans="1:1">
      <c r="A427" t="s">
        <v>3055</v>
      </c>
    </row>
    <row r="428" spans="1:1">
      <c r="A428" t="s">
        <v>2068</v>
      </c>
    </row>
    <row r="429" spans="1:1">
      <c r="A429" t="s">
        <v>2079</v>
      </c>
    </row>
    <row r="430" spans="1:1">
      <c r="A430" t="s">
        <v>2078</v>
      </c>
    </row>
    <row r="431" spans="1:1">
      <c r="A431" t="s">
        <v>3056</v>
      </c>
    </row>
    <row r="432" spans="1:1">
      <c r="A432" t="s">
        <v>3057</v>
      </c>
    </row>
    <row r="433" spans="1:1">
      <c r="A433" t="s">
        <v>3058</v>
      </c>
    </row>
    <row r="434" spans="1:1">
      <c r="A434" t="s">
        <v>3059</v>
      </c>
    </row>
    <row r="435" spans="1:1">
      <c r="A435" t="s">
        <v>3060</v>
      </c>
    </row>
    <row r="436" spans="1:1">
      <c r="A436" t="s">
        <v>3061</v>
      </c>
    </row>
    <row r="437" spans="1:1">
      <c r="A437" t="s">
        <v>3062</v>
      </c>
    </row>
    <row r="438" spans="1:1">
      <c r="A438" t="s">
        <v>3063</v>
      </c>
    </row>
    <row r="439" spans="1:1">
      <c r="A439" t="s">
        <v>3064</v>
      </c>
    </row>
    <row r="440" spans="1:1">
      <c r="A440" t="s">
        <v>3065</v>
      </c>
    </row>
    <row r="441" spans="1:1">
      <c r="A441" t="s">
        <v>3066</v>
      </c>
    </row>
    <row r="442" spans="1:1">
      <c r="A442" t="s">
        <v>3067</v>
      </c>
    </row>
    <row r="443" spans="1:1">
      <c r="A443" t="s">
        <v>3068</v>
      </c>
    </row>
    <row r="444" spans="1:1">
      <c r="A444" t="s">
        <v>3069</v>
      </c>
    </row>
    <row r="445" spans="1:1">
      <c r="A445" t="s">
        <v>3070</v>
      </c>
    </row>
    <row r="446" spans="1:1">
      <c r="A446" t="s">
        <v>3071</v>
      </c>
    </row>
    <row r="447" spans="1:1">
      <c r="A447" t="s">
        <v>3072</v>
      </c>
    </row>
    <row r="448" spans="1:1">
      <c r="A448" t="s">
        <v>3073</v>
      </c>
    </row>
    <row r="449" spans="1:1">
      <c r="A449" t="s">
        <v>3074</v>
      </c>
    </row>
    <row r="450" spans="1:1">
      <c r="A450" t="s">
        <v>3075</v>
      </c>
    </row>
    <row r="451" spans="1:1">
      <c r="A451" t="s">
        <v>3076</v>
      </c>
    </row>
    <row r="452" spans="1:1">
      <c r="A452" t="s">
        <v>3077</v>
      </c>
    </row>
    <row r="453" spans="1:1">
      <c r="A453" t="s">
        <v>3078</v>
      </c>
    </row>
    <row r="454" spans="1:1">
      <c r="A454" t="s">
        <v>3079</v>
      </c>
    </row>
    <row r="455" spans="1:1">
      <c r="A455" t="s">
        <v>3080</v>
      </c>
    </row>
    <row r="456" spans="1:1">
      <c r="A456" t="s">
        <v>3081</v>
      </c>
    </row>
    <row r="457" spans="1:1">
      <c r="A457" t="s">
        <v>3082</v>
      </c>
    </row>
    <row r="458" spans="1:1">
      <c r="A458" t="s">
        <v>2063</v>
      </c>
    </row>
    <row r="459" spans="1:1">
      <c r="A459" t="s">
        <v>3083</v>
      </c>
    </row>
    <row r="460" spans="1:1">
      <c r="A460" t="s">
        <v>3084</v>
      </c>
    </row>
    <row r="461" spans="1:1">
      <c r="A461" t="s">
        <v>3085</v>
      </c>
    </row>
    <row r="462" spans="1:1">
      <c r="A462" t="s">
        <v>3086</v>
      </c>
    </row>
    <row r="463" spans="1:1">
      <c r="A463" t="s">
        <v>3087</v>
      </c>
    </row>
    <row r="464" spans="1:1">
      <c r="A464" t="s">
        <v>3088</v>
      </c>
    </row>
    <row r="465" spans="1:1">
      <c r="A465" t="s">
        <v>3089</v>
      </c>
    </row>
    <row r="466" spans="1:1">
      <c r="A466" t="s">
        <v>3090</v>
      </c>
    </row>
    <row r="467" spans="1:1">
      <c r="A467" t="s">
        <v>3091</v>
      </c>
    </row>
    <row r="468" spans="1:1">
      <c r="A468" t="s">
        <v>3092</v>
      </c>
    </row>
    <row r="469" spans="1:1">
      <c r="A469" t="s">
        <v>3093</v>
      </c>
    </row>
    <row r="470" spans="1:1">
      <c r="A470" t="s">
        <v>2082</v>
      </c>
    </row>
    <row r="471" spans="1:1">
      <c r="A471" t="s">
        <v>3117</v>
      </c>
    </row>
    <row r="472" spans="1:1">
      <c r="A472" t="s">
        <v>3118</v>
      </c>
    </row>
    <row r="473" spans="1:1">
      <c r="A473" t="s">
        <v>3119</v>
      </c>
    </row>
    <row r="474" spans="1:1">
      <c r="A474" t="s">
        <v>3120</v>
      </c>
    </row>
    <row r="475" spans="1:1">
      <c r="A475" t="s">
        <v>3121</v>
      </c>
    </row>
    <row r="476" spans="1:1">
      <c r="A476" t="s">
        <v>3122</v>
      </c>
    </row>
    <row r="477" spans="1:1">
      <c r="A477" t="s">
        <v>3123</v>
      </c>
    </row>
    <row r="478" spans="1:1">
      <c r="A478" t="s">
        <v>3124</v>
      </c>
    </row>
    <row r="479" spans="1:1">
      <c r="A479" t="s">
        <v>3132</v>
      </c>
    </row>
    <row r="480" spans="1:1">
      <c r="A480" t="s">
        <v>3133</v>
      </c>
    </row>
    <row r="481" spans="1:1">
      <c r="A481" t="s">
        <v>3134</v>
      </c>
    </row>
    <row r="482" spans="1:1">
      <c r="A482" t="s">
        <v>3135</v>
      </c>
    </row>
    <row r="483" spans="1:1">
      <c r="A483" t="s">
        <v>3136</v>
      </c>
    </row>
    <row r="484" spans="1:1">
      <c r="A484" t="s">
        <v>3137</v>
      </c>
    </row>
    <row r="485" spans="1:1">
      <c r="A485" t="s">
        <v>3138</v>
      </c>
    </row>
    <row r="486" spans="1:1">
      <c r="A486" t="s">
        <v>3139</v>
      </c>
    </row>
    <row r="487" spans="1:1">
      <c r="A487" t="s">
        <v>3140</v>
      </c>
    </row>
    <row r="488" spans="1:1">
      <c r="A488" t="s">
        <v>3141</v>
      </c>
    </row>
    <row r="489" spans="1:1">
      <c r="A489" t="s">
        <v>3152</v>
      </c>
    </row>
    <row r="490" spans="1:1">
      <c r="A490" t="s">
        <v>3153</v>
      </c>
    </row>
    <row r="491" spans="1:1">
      <c r="A491" t="s">
        <v>3154</v>
      </c>
    </row>
    <row r="492" spans="1:1">
      <c r="A492" t="s">
        <v>3155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2848</v>
      </c>
      <c r="G1" s="25" t="s">
        <v>2110</v>
      </c>
      <c r="H1" t="s">
        <v>3177</v>
      </c>
      <c r="I1" s="26" t="str">
        <f>"id : "&amp;J1</f>
        <v>id : 421</v>
      </c>
      <c r="J1" s="27">
        <v>421</v>
      </c>
      <c r="K1" s="27" t="str">
        <f>"Gender : "&amp;L1</f>
        <v>Gender : Mens</v>
      </c>
      <c r="L1" s="32" t="s">
        <v>2329</v>
      </c>
      <c r="N1">
        <v>542</v>
      </c>
      <c r="O1" t="s">
        <v>496</v>
      </c>
      <c r="P1" t="s">
        <v>488</v>
      </c>
      <c r="Q1" t="s">
        <v>1582</v>
      </c>
      <c r="R1" t="s">
        <v>2326</v>
      </c>
      <c r="S1">
        <v>2021</v>
      </c>
      <c r="T1" t="s">
        <v>2329</v>
      </c>
      <c r="U1" t="s">
        <v>2330</v>
      </c>
      <c r="V1" t="s">
        <v>2331</v>
      </c>
      <c r="W1" t="s">
        <v>2319</v>
      </c>
      <c r="Y1" t="s">
        <v>2334</v>
      </c>
      <c r="AA1" t="s">
        <v>3353</v>
      </c>
      <c r="AB1" t="s">
        <v>3354</v>
      </c>
      <c r="AC1" t="s">
        <v>3355</v>
      </c>
      <c r="AD1" t="s">
        <v>3378</v>
      </c>
      <c r="AE1" t="s">
        <v>3367</v>
      </c>
      <c r="AF1" t="s">
        <v>3368</v>
      </c>
      <c r="AG1" t="s">
        <v>3373</v>
      </c>
      <c r="AH1" t="s">
        <v>3396</v>
      </c>
      <c r="AI1" t="s">
        <v>3401</v>
      </c>
    </row>
    <row r="2" spans="1:35">
      <c r="A2" t="s">
        <v>2090</v>
      </c>
      <c r="B2" t="s">
        <v>4277</v>
      </c>
      <c r="C2" t="s">
        <v>2321</v>
      </c>
      <c r="D2" t="s">
        <v>2098</v>
      </c>
      <c r="E2" t="s">
        <v>3179</v>
      </c>
      <c r="F2" t="s">
        <v>2247</v>
      </c>
      <c r="G2" t="s">
        <v>4285</v>
      </c>
      <c r="H2">
        <v>2019</v>
      </c>
      <c r="I2" s="28" t="str">
        <f>"Indent No.: "&amp;J2</f>
        <v>Indent No.: DHGI-2190</v>
      </c>
      <c r="J2" s="29" t="s">
        <v>4284</v>
      </c>
      <c r="K2" s="29" t="str">
        <f>"Fabric Type : "&amp;L2</f>
        <v>Fabric Type : Woven</v>
      </c>
      <c r="L2" s="33" t="s">
        <v>2330</v>
      </c>
      <c r="N2">
        <v>543</v>
      </c>
      <c r="O2" t="s">
        <v>582</v>
      </c>
      <c r="P2" t="s">
        <v>488</v>
      </c>
      <c r="Q2" t="s">
        <v>1689</v>
      </c>
      <c r="R2" t="s">
        <v>2326</v>
      </c>
      <c r="S2">
        <v>2021</v>
      </c>
      <c r="T2" t="s">
        <v>2328</v>
      </c>
      <c r="U2" t="s">
        <v>2330</v>
      </c>
      <c r="V2" t="s">
        <v>2331</v>
      </c>
      <c r="W2" t="s">
        <v>2319</v>
      </c>
      <c r="Y2" t="s">
        <v>2333</v>
      </c>
      <c r="AB2" t="s">
        <v>3356</v>
      </c>
      <c r="AC2" t="s">
        <v>3365</v>
      </c>
      <c r="AD2" t="s">
        <v>3382</v>
      </c>
      <c r="AE2" t="s">
        <v>4198</v>
      </c>
      <c r="AF2" t="s">
        <v>3388</v>
      </c>
      <c r="AG2" t="s">
        <v>3391</v>
      </c>
    </row>
    <row r="3" spans="1:35">
      <c r="A3" t="s">
        <v>2091</v>
      </c>
      <c r="B3" t="s">
        <v>4278</v>
      </c>
      <c r="C3" t="s">
        <v>2322</v>
      </c>
      <c r="D3" t="s">
        <v>2099</v>
      </c>
      <c r="E3" t="s">
        <v>3180</v>
      </c>
      <c r="F3" t="s">
        <v>2248</v>
      </c>
      <c r="G3" t="s">
        <v>4286</v>
      </c>
      <c r="H3">
        <v>2020</v>
      </c>
      <c r="I3" s="28" t="str">
        <f>"Brand name : "&amp;J3</f>
        <v>Brand name : A&amp;F</v>
      </c>
      <c r="J3" s="29" t="s">
        <v>21</v>
      </c>
      <c r="K3" s="29" t="str">
        <f>"Garment Type : "&amp;L3</f>
        <v>Garment Type : Swimwear</v>
      </c>
      <c r="L3" s="33" t="s">
        <v>3178</v>
      </c>
      <c r="N3">
        <v>544</v>
      </c>
      <c r="O3" t="s">
        <v>581</v>
      </c>
      <c r="P3" t="s">
        <v>488</v>
      </c>
      <c r="Q3" t="s">
        <v>1676</v>
      </c>
      <c r="R3" t="s">
        <v>2326</v>
      </c>
      <c r="S3">
        <v>2021</v>
      </c>
      <c r="T3" t="s">
        <v>2328</v>
      </c>
      <c r="U3" t="s">
        <v>2330</v>
      </c>
      <c r="V3" t="s">
        <v>2331</v>
      </c>
      <c r="W3" t="s">
        <v>2319</v>
      </c>
      <c r="Y3" t="s">
        <v>2333</v>
      </c>
      <c r="AA3" t="s">
        <v>2376</v>
      </c>
      <c r="AB3" t="s">
        <v>3357</v>
      </c>
      <c r="AC3" t="s">
        <v>3366</v>
      </c>
      <c r="AD3" t="s">
        <v>3383</v>
      </c>
      <c r="AE3" t="s">
        <v>3386</v>
      </c>
      <c r="AF3" t="s">
        <v>3389</v>
      </c>
      <c r="AG3" t="s">
        <v>3392</v>
      </c>
      <c r="AH3" t="s">
        <v>3397</v>
      </c>
      <c r="AI3" t="s">
        <v>3402</v>
      </c>
    </row>
    <row r="4" spans="1:35">
      <c r="B4" t="s">
        <v>2092</v>
      </c>
      <c r="C4" t="s">
        <v>2323</v>
      </c>
      <c r="D4" t="s">
        <v>2100</v>
      </c>
      <c r="F4" t="s">
        <v>2249</v>
      </c>
      <c r="G4" t="s">
        <v>2326</v>
      </c>
      <c r="H4">
        <v>2021</v>
      </c>
      <c r="I4" s="28" t="str">
        <f>"Design No.: "&amp;J4</f>
        <v>Design No.: 133S0175</v>
      </c>
      <c r="J4" s="29" t="s">
        <v>4292</v>
      </c>
      <c r="K4" s="29" t="str">
        <f>"Order Type : "&amp;L4</f>
        <v>Order Type : Bulk</v>
      </c>
      <c r="L4" s="33" t="s">
        <v>2847</v>
      </c>
      <c r="N4">
        <v>545</v>
      </c>
      <c r="O4" t="s">
        <v>532</v>
      </c>
      <c r="P4" t="s">
        <v>488</v>
      </c>
      <c r="Q4" t="s">
        <v>1603</v>
      </c>
      <c r="R4" t="s">
        <v>2326</v>
      </c>
      <c r="S4">
        <v>2021</v>
      </c>
      <c r="T4" t="s">
        <v>2328</v>
      </c>
      <c r="U4" t="s">
        <v>2330</v>
      </c>
      <c r="V4" t="s">
        <v>2331</v>
      </c>
      <c r="W4" t="s">
        <v>2319</v>
      </c>
      <c r="Y4" t="s">
        <v>2333</v>
      </c>
      <c r="AA4" t="s">
        <v>2377</v>
      </c>
      <c r="AB4" t="s">
        <v>3358</v>
      </c>
      <c r="AD4" t="s">
        <v>3381</v>
      </c>
      <c r="AF4" t="s">
        <v>3390</v>
      </c>
      <c r="AH4" t="s">
        <v>3399</v>
      </c>
      <c r="AI4" t="s">
        <v>3403</v>
      </c>
    </row>
    <row r="5" spans="1:35">
      <c r="B5" t="s">
        <v>2093</v>
      </c>
      <c r="C5" t="s">
        <v>2324</v>
      </c>
      <c r="D5" t="s">
        <v>2101</v>
      </c>
      <c r="F5" t="s">
        <v>2250</v>
      </c>
      <c r="G5" t="s">
        <v>4287</v>
      </c>
      <c r="H5">
        <v>2022</v>
      </c>
      <c r="I5" s="28" t="str">
        <f>"Season : "&amp;J5</f>
        <v>Season : SP</v>
      </c>
      <c r="J5" s="29" t="s">
        <v>4283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2326</v>
      </c>
      <c r="S5">
        <v>2021</v>
      </c>
      <c r="T5" t="s">
        <v>2320</v>
      </c>
      <c r="U5" t="s">
        <v>2330</v>
      </c>
      <c r="V5" t="s">
        <v>2331</v>
      </c>
      <c r="W5" t="s">
        <v>2319</v>
      </c>
      <c r="Y5" t="s">
        <v>2334</v>
      </c>
      <c r="AA5" t="s">
        <v>2378</v>
      </c>
      <c r="AB5" t="s">
        <v>3250</v>
      </c>
      <c r="AD5" t="s">
        <v>3385</v>
      </c>
      <c r="AH5" t="s">
        <v>3400</v>
      </c>
      <c r="AI5" t="s">
        <v>3404</v>
      </c>
    </row>
    <row r="6" spans="1:35" ht="13.5" thickBot="1">
      <c r="B6" t="s">
        <v>2094</v>
      </c>
      <c r="C6" t="s">
        <v>2325</v>
      </c>
      <c r="D6" t="s">
        <v>2102</v>
      </c>
      <c r="F6" t="s">
        <v>2251</v>
      </c>
      <c r="G6" t="s">
        <v>4288</v>
      </c>
      <c r="I6" s="30" t="str">
        <f>"Year : "&amp;J6</f>
        <v>Year : 2022</v>
      </c>
      <c r="J6" s="31">
        <v>2022</v>
      </c>
      <c r="K6" s="31" t="str">
        <f>"Manufacturer : "&amp;L6</f>
        <v>Manufacturer : Pt. Koin Baju Global</v>
      </c>
      <c r="L6" s="34" t="s">
        <v>4290</v>
      </c>
      <c r="N6">
        <v>547</v>
      </c>
      <c r="O6" t="s">
        <v>530</v>
      </c>
      <c r="P6" t="s">
        <v>488</v>
      </c>
      <c r="Q6" t="s">
        <v>1602</v>
      </c>
      <c r="R6" t="s">
        <v>2326</v>
      </c>
      <c r="S6">
        <v>2021</v>
      </c>
      <c r="T6" t="s">
        <v>2320</v>
      </c>
      <c r="U6" t="s">
        <v>2330</v>
      </c>
      <c r="V6" t="s">
        <v>2331</v>
      </c>
      <c r="W6" t="s">
        <v>2319</v>
      </c>
      <c r="Y6" t="s">
        <v>2332</v>
      </c>
      <c r="AA6" t="s">
        <v>2379</v>
      </c>
      <c r="AB6" t="s">
        <v>3359</v>
      </c>
      <c r="AD6" t="s">
        <v>2196</v>
      </c>
      <c r="AH6" t="s">
        <v>3398</v>
      </c>
    </row>
    <row r="7" spans="1:35">
      <c r="B7" t="s">
        <v>4279</v>
      </c>
      <c r="D7" t="s">
        <v>2103</v>
      </c>
      <c r="F7" t="s">
        <v>2252</v>
      </c>
      <c r="G7" t="s">
        <v>4283</v>
      </c>
      <c r="N7">
        <v>548</v>
      </c>
      <c r="O7" t="s">
        <v>529</v>
      </c>
      <c r="P7" t="s">
        <v>488</v>
      </c>
      <c r="Q7" t="s">
        <v>1601</v>
      </c>
      <c r="R7" t="s">
        <v>2326</v>
      </c>
      <c r="S7">
        <v>2021</v>
      </c>
      <c r="T7" t="s">
        <v>2320</v>
      </c>
      <c r="U7" t="s">
        <v>2330</v>
      </c>
      <c r="V7" t="s">
        <v>2331</v>
      </c>
      <c r="W7" t="s">
        <v>2319</v>
      </c>
      <c r="Y7" t="s">
        <v>2332</v>
      </c>
      <c r="AA7" t="s">
        <v>2380</v>
      </c>
      <c r="AB7" t="s">
        <v>3352</v>
      </c>
      <c r="AD7" t="s">
        <v>3380</v>
      </c>
    </row>
    <row r="8" spans="1:35">
      <c r="D8" t="s">
        <v>2104</v>
      </c>
      <c r="F8" t="s">
        <v>2253</v>
      </c>
      <c r="G8" t="s">
        <v>2327</v>
      </c>
      <c r="N8">
        <v>549</v>
      </c>
      <c r="O8" t="s">
        <v>730</v>
      </c>
      <c r="P8" t="s">
        <v>488</v>
      </c>
      <c r="Q8" t="s">
        <v>2335</v>
      </c>
      <c r="R8" t="s">
        <v>2326</v>
      </c>
      <c r="S8">
        <v>2021</v>
      </c>
      <c r="T8" t="s">
        <v>2329</v>
      </c>
      <c r="U8" t="s">
        <v>2330</v>
      </c>
      <c r="V8" t="s">
        <v>2331</v>
      </c>
      <c r="W8" t="s">
        <v>2319</v>
      </c>
      <c r="Y8" t="s">
        <v>2332</v>
      </c>
      <c r="AA8" t="s">
        <v>2381</v>
      </c>
      <c r="AB8" t="s">
        <v>3360</v>
      </c>
      <c r="AD8" t="s">
        <v>2324</v>
      </c>
    </row>
    <row r="9" spans="1:35">
      <c r="D9" t="s">
        <v>2105</v>
      </c>
      <c r="F9" t="s">
        <v>2254</v>
      </c>
      <c r="G9" t="s">
        <v>4289</v>
      </c>
      <c r="N9">
        <v>535</v>
      </c>
      <c r="O9" t="s">
        <v>2336</v>
      </c>
      <c r="P9" t="s">
        <v>488</v>
      </c>
      <c r="Q9" t="s">
        <v>1854</v>
      </c>
      <c r="R9" t="s">
        <v>2326</v>
      </c>
      <c r="S9">
        <v>2020</v>
      </c>
      <c r="T9" t="s">
        <v>2329</v>
      </c>
      <c r="U9" t="s">
        <v>2330</v>
      </c>
      <c r="V9" t="s">
        <v>2331</v>
      </c>
      <c r="W9" t="s">
        <v>2319</v>
      </c>
      <c r="Y9" t="s">
        <v>2332</v>
      </c>
      <c r="AA9" t="s">
        <v>2363</v>
      </c>
      <c r="AB9" t="s">
        <v>3361</v>
      </c>
      <c r="AD9" t="s">
        <v>3379</v>
      </c>
    </row>
    <row r="10" spans="1:35">
      <c r="D10" t="s">
        <v>2106</v>
      </c>
      <c r="F10" t="s">
        <v>2255</v>
      </c>
      <c r="N10">
        <v>536</v>
      </c>
      <c r="O10" t="s">
        <v>2337</v>
      </c>
      <c r="P10" t="s">
        <v>488</v>
      </c>
      <c r="Q10" t="s">
        <v>2338</v>
      </c>
      <c r="R10" t="s">
        <v>2326</v>
      </c>
      <c r="S10">
        <v>2020</v>
      </c>
      <c r="T10" t="s">
        <v>2320</v>
      </c>
      <c r="U10" t="s">
        <v>2330</v>
      </c>
      <c r="V10" t="s">
        <v>2331</v>
      </c>
      <c r="W10" t="s">
        <v>2319</v>
      </c>
      <c r="Y10" t="s">
        <v>2332</v>
      </c>
      <c r="AA10" t="s">
        <v>2382</v>
      </c>
      <c r="AB10" t="s">
        <v>3362</v>
      </c>
      <c r="AD10" t="s">
        <v>3384</v>
      </c>
    </row>
    <row r="11" spans="1:35">
      <c r="D11" t="s">
        <v>2107</v>
      </c>
      <c r="F11" t="s">
        <v>2256</v>
      </c>
      <c r="N11">
        <v>537</v>
      </c>
      <c r="O11" t="s">
        <v>2339</v>
      </c>
      <c r="P11" t="s">
        <v>488</v>
      </c>
      <c r="Q11" t="s">
        <v>2340</v>
      </c>
      <c r="R11" t="s">
        <v>2326</v>
      </c>
      <c r="S11">
        <v>2020</v>
      </c>
      <c r="T11" t="s">
        <v>2328</v>
      </c>
      <c r="U11" t="s">
        <v>2330</v>
      </c>
      <c r="V11" t="s">
        <v>2331</v>
      </c>
      <c r="W11" t="s">
        <v>2319</v>
      </c>
      <c r="Y11" t="s">
        <v>2332</v>
      </c>
      <c r="AA11" t="s">
        <v>2383</v>
      </c>
      <c r="AB11" t="s">
        <v>3363</v>
      </c>
    </row>
    <row r="12" spans="1:35">
      <c r="D12" t="s">
        <v>2108</v>
      </c>
      <c r="F12" t="s">
        <v>2257</v>
      </c>
      <c r="N12">
        <v>538</v>
      </c>
      <c r="O12" t="s">
        <v>2341</v>
      </c>
      <c r="P12" t="s">
        <v>488</v>
      </c>
      <c r="Q12" t="s">
        <v>2342</v>
      </c>
      <c r="R12" t="s">
        <v>2326</v>
      </c>
      <c r="S12">
        <v>2020</v>
      </c>
      <c r="T12" t="s">
        <v>2328</v>
      </c>
      <c r="U12" t="s">
        <v>2330</v>
      </c>
      <c r="V12" t="s">
        <v>2331</v>
      </c>
      <c r="W12" t="s">
        <v>2319</v>
      </c>
      <c r="Y12" t="s">
        <v>2332</v>
      </c>
      <c r="AA12" t="s">
        <v>2384</v>
      </c>
      <c r="AB12" t="s">
        <v>3364</v>
      </c>
    </row>
    <row r="13" spans="1:35">
      <c r="D13" t="s">
        <v>2109</v>
      </c>
      <c r="F13" t="s">
        <v>2258</v>
      </c>
      <c r="N13">
        <v>539</v>
      </c>
      <c r="O13" t="s">
        <v>2343</v>
      </c>
      <c r="P13" t="s">
        <v>488</v>
      </c>
      <c r="Q13" t="s">
        <v>2344</v>
      </c>
      <c r="R13" t="s">
        <v>2326</v>
      </c>
      <c r="S13">
        <v>2020</v>
      </c>
      <c r="T13" t="s">
        <v>2320</v>
      </c>
      <c r="U13" t="s">
        <v>2330</v>
      </c>
      <c r="V13" t="s">
        <v>2331</v>
      </c>
      <c r="W13" t="s">
        <v>2319</v>
      </c>
      <c r="Y13" t="s">
        <v>2334</v>
      </c>
      <c r="AA13" t="s">
        <v>2385</v>
      </c>
      <c r="AB13" t="s">
        <v>3356</v>
      </c>
    </row>
    <row r="14" spans="1:35">
      <c r="I14"/>
      <c r="J14"/>
      <c r="K14"/>
      <c r="L14"/>
      <c r="AA14" t="s">
        <v>2386</v>
      </c>
    </row>
    <row r="15" spans="1:35">
      <c r="I15"/>
      <c r="J15"/>
      <c r="K15"/>
      <c r="L15"/>
      <c r="AA15" t="s">
        <v>2387</v>
      </c>
    </row>
    <row r="16" spans="1:35">
      <c r="F16">
        <v>0</v>
      </c>
      <c r="I16"/>
      <c r="J16"/>
      <c r="K16"/>
      <c r="L16"/>
      <c r="AA16" t="s">
        <v>2388</v>
      </c>
    </row>
    <row r="17" spans="9:27">
      <c r="I17"/>
      <c r="J17"/>
      <c r="K17"/>
      <c r="L17"/>
      <c r="AA17" t="s">
        <v>2850</v>
      </c>
    </row>
    <row r="18" spans="9:27">
      <c r="I18"/>
      <c r="J18"/>
      <c r="K18"/>
      <c r="L18"/>
      <c r="AA18" t="s">
        <v>2389</v>
      </c>
    </row>
    <row r="19" spans="9:27">
      <c r="I19"/>
      <c r="J19"/>
      <c r="K19"/>
      <c r="L19"/>
      <c r="AA19" t="s">
        <v>2390</v>
      </c>
    </row>
    <row r="20" spans="9:27">
      <c r="I20"/>
      <c r="J20"/>
      <c r="K20"/>
      <c r="L20"/>
      <c r="AA20" t="s">
        <v>2391</v>
      </c>
    </row>
    <row r="21" spans="9:27">
      <c r="I21"/>
      <c r="J21"/>
      <c r="K21"/>
      <c r="L21"/>
      <c r="AA21" t="s">
        <v>2392</v>
      </c>
    </row>
    <row r="22" spans="9:27">
      <c r="I22"/>
      <c r="J22"/>
      <c r="K22"/>
      <c r="L22"/>
      <c r="AA22" t="s">
        <v>2393</v>
      </c>
    </row>
    <row r="23" spans="9:27">
      <c r="I23"/>
      <c r="J23"/>
      <c r="K23"/>
      <c r="L23"/>
      <c r="AA23" t="s">
        <v>2394</v>
      </c>
    </row>
    <row r="24" spans="9:27">
      <c r="I24"/>
      <c r="J24"/>
      <c r="K24"/>
      <c r="L24"/>
      <c r="AA24" t="s">
        <v>2395</v>
      </c>
    </row>
    <row r="25" spans="9:27">
      <c r="I25"/>
      <c r="J25"/>
      <c r="K25"/>
      <c r="L25"/>
      <c r="AA25" t="s">
        <v>2396</v>
      </c>
    </row>
    <row r="26" spans="9:27">
      <c r="I26"/>
      <c r="J26"/>
      <c r="K26"/>
      <c r="L26"/>
      <c r="AA26" t="s">
        <v>2397</v>
      </c>
    </row>
    <row r="27" spans="9:27">
      <c r="I27"/>
      <c r="J27"/>
      <c r="K27"/>
      <c r="L27"/>
      <c r="AA27" t="s">
        <v>2398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51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2347</v>
      </c>
      <c r="L1" s="21" t="s">
        <v>2355</v>
      </c>
      <c r="M1" s="21" t="s">
        <v>2349</v>
      </c>
      <c r="N1" s="21" t="s">
        <v>2359</v>
      </c>
      <c r="O1" s="21" t="s">
        <v>2351</v>
      </c>
      <c r="P1" s="43"/>
      <c r="Q1" s="21" t="s">
        <v>3394</v>
      </c>
      <c r="R1" s="21" t="s">
        <v>3405</v>
      </c>
      <c r="S1" s="21" t="s">
        <v>3367</v>
      </c>
      <c r="T1" s="21" t="s">
        <v>3368</v>
      </c>
      <c r="U1" s="21" t="s">
        <v>3373</v>
      </c>
      <c r="V1" s="21" t="s">
        <v>3396</v>
      </c>
      <c r="W1" s="21" t="s">
        <v>3401</v>
      </c>
    </row>
    <row r="2" spans="1:23">
      <c r="A2" s="22" t="s">
        <v>2263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2197</v>
      </c>
      <c r="J2" s="44"/>
      <c r="K2" s="22" t="s">
        <v>2369</v>
      </c>
      <c r="P2" s="44"/>
      <c r="Q2" s="22" t="s">
        <v>3382</v>
      </c>
      <c r="R2" s="22" t="s">
        <v>3406</v>
      </c>
      <c r="S2" s="22" t="s">
        <v>4027</v>
      </c>
      <c r="T2" s="22" t="s">
        <v>3388</v>
      </c>
      <c r="U2" s="22" t="s">
        <v>3391</v>
      </c>
      <c r="V2" s="22" t="s">
        <v>3397</v>
      </c>
      <c r="W2" s="22" t="s">
        <v>3402</v>
      </c>
    </row>
    <row r="3" spans="1:23">
      <c r="A3" s="22" t="s">
        <v>2264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4312</v>
      </c>
      <c r="I3" s="22" t="s">
        <v>2198</v>
      </c>
      <c r="J3" s="44"/>
      <c r="K3" s="22" t="s">
        <v>2368</v>
      </c>
      <c r="L3" s="22" t="s">
        <v>2376</v>
      </c>
      <c r="M3" s="22" t="s">
        <v>2362</v>
      </c>
      <c r="N3" s="22" t="s">
        <v>3236</v>
      </c>
      <c r="O3" s="22" t="s">
        <v>2399</v>
      </c>
      <c r="P3" s="44"/>
      <c r="Q3" s="22" t="s">
        <v>3383</v>
      </c>
      <c r="R3" s="22" t="s">
        <v>3407</v>
      </c>
      <c r="S3" s="22" t="s">
        <v>3387</v>
      </c>
      <c r="T3" s="22" t="s">
        <v>3389</v>
      </c>
      <c r="U3" s="22" t="s">
        <v>3392</v>
      </c>
      <c r="V3" s="22" t="s">
        <v>3399</v>
      </c>
      <c r="W3" s="22" t="s">
        <v>3403</v>
      </c>
    </row>
    <row r="4" spans="1:23">
      <c r="A4" s="22" t="s">
        <v>2265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4313</v>
      </c>
      <c r="I4" s="22" t="s">
        <v>2199</v>
      </c>
      <c r="J4" s="44"/>
      <c r="K4" s="22" t="s">
        <v>2370</v>
      </c>
      <c r="L4" s="22" t="s">
        <v>2377</v>
      </c>
      <c r="M4" s="22" t="s">
        <v>2862</v>
      </c>
      <c r="N4" s="22" t="s">
        <v>3240</v>
      </c>
      <c r="O4" s="22" t="s">
        <v>2400</v>
      </c>
      <c r="P4" s="44"/>
      <c r="Q4" s="22" t="s">
        <v>3381</v>
      </c>
      <c r="R4" s="22" t="s">
        <v>3408</v>
      </c>
      <c r="S4" s="22" t="s">
        <v>3386</v>
      </c>
      <c r="T4" s="22" t="s">
        <v>3390</v>
      </c>
      <c r="V4" s="22" t="s">
        <v>3400</v>
      </c>
      <c r="W4" s="22" t="s">
        <v>3404</v>
      </c>
    </row>
    <row r="5" spans="1:23">
      <c r="A5" s="22" t="s">
        <v>2266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2262</v>
      </c>
      <c r="H5" s="22" t="s">
        <v>4314</v>
      </c>
      <c r="I5" s="22" t="s">
        <v>2200</v>
      </c>
      <c r="J5" s="44"/>
      <c r="K5" s="22" t="s">
        <v>2371</v>
      </c>
      <c r="L5" s="22" t="s">
        <v>2378</v>
      </c>
      <c r="M5" s="22" t="s">
        <v>2865</v>
      </c>
      <c r="N5" s="22" t="s">
        <v>3241</v>
      </c>
      <c r="O5" s="22" t="s">
        <v>2401</v>
      </c>
      <c r="P5" s="44"/>
      <c r="Q5" s="22" t="s">
        <v>3385</v>
      </c>
      <c r="R5" s="22" t="s">
        <v>3409</v>
      </c>
      <c r="S5" s="22" t="s">
        <v>4028</v>
      </c>
      <c r="V5" s="22" t="s">
        <v>3398</v>
      </c>
    </row>
    <row r="6" spans="1:23">
      <c r="A6" s="22" t="s">
        <v>2267</v>
      </c>
      <c r="B6" s="22" t="s">
        <v>4280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2260</v>
      </c>
      <c r="I6" s="22" t="s">
        <v>2201</v>
      </c>
      <c r="J6" s="44"/>
      <c r="K6" s="22" t="s">
        <v>2372</v>
      </c>
      <c r="L6" s="22" t="s">
        <v>2379</v>
      </c>
      <c r="M6" s="22" t="s">
        <v>2981</v>
      </c>
      <c r="N6" s="22" t="s">
        <v>3237</v>
      </c>
      <c r="O6" s="22" t="s">
        <v>2402</v>
      </c>
      <c r="P6" s="44"/>
      <c r="Q6" s="22" t="s">
        <v>2196</v>
      </c>
      <c r="R6" s="22" t="s">
        <v>3410</v>
      </c>
      <c r="S6" s="22" t="s">
        <v>4029</v>
      </c>
    </row>
    <row r="7" spans="1:23">
      <c r="A7" s="22" t="s">
        <v>2268</v>
      </c>
      <c r="B7" s="22" t="s">
        <v>2126</v>
      </c>
      <c r="D7" s="22" t="s">
        <v>2133</v>
      </c>
      <c r="F7" s="22" t="s">
        <v>2148</v>
      </c>
      <c r="I7" s="22" t="s">
        <v>2202</v>
      </c>
      <c r="J7" s="44"/>
      <c r="K7" s="22" t="s">
        <v>2373</v>
      </c>
      <c r="L7" s="22" t="s">
        <v>2380</v>
      </c>
      <c r="M7" s="22" t="s">
        <v>1097</v>
      </c>
      <c r="N7" s="22" t="s">
        <v>3233</v>
      </c>
      <c r="O7" s="22" t="s">
        <v>2403</v>
      </c>
      <c r="P7" s="44"/>
      <c r="Q7" s="22" t="s">
        <v>3380</v>
      </c>
      <c r="R7" s="22" t="s">
        <v>3411</v>
      </c>
      <c r="S7" s="22" t="s">
        <v>4030</v>
      </c>
    </row>
    <row r="8" spans="1:23" ht="26">
      <c r="A8" s="22" t="s">
        <v>2269</v>
      </c>
      <c r="B8" s="22" t="s">
        <v>2127</v>
      </c>
      <c r="D8" s="22" t="s">
        <v>2134</v>
      </c>
      <c r="F8" s="22" t="s">
        <v>2149</v>
      </c>
      <c r="I8" s="22" t="s">
        <v>2203</v>
      </c>
      <c r="J8" s="44"/>
      <c r="K8" s="22" t="s">
        <v>2374</v>
      </c>
      <c r="L8" s="22" t="s">
        <v>2381</v>
      </c>
      <c r="M8" s="22" t="s">
        <v>2863</v>
      </c>
      <c r="N8" s="57" t="s">
        <v>3229</v>
      </c>
      <c r="O8" s="22" t="s">
        <v>2404</v>
      </c>
      <c r="P8" s="44"/>
      <c r="Q8" s="22" t="s">
        <v>2324</v>
      </c>
      <c r="R8" s="22" t="s">
        <v>3412</v>
      </c>
      <c r="S8" s="22" t="s">
        <v>4031</v>
      </c>
    </row>
    <row r="9" spans="1:23">
      <c r="A9" s="22" t="s">
        <v>2270</v>
      </c>
      <c r="B9" s="22" t="s">
        <v>2261</v>
      </c>
      <c r="D9" s="22" t="s">
        <v>2135</v>
      </c>
      <c r="F9" s="22" t="s">
        <v>2150</v>
      </c>
      <c r="I9" s="22" t="s">
        <v>2204</v>
      </c>
      <c r="J9" s="44"/>
      <c r="K9" s="22" t="s">
        <v>2375</v>
      </c>
      <c r="L9" s="22" t="s">
        <v>2363</v>
      </c>
      <c r="M9" s="22" t="s">
        <v>2860</v>
      </c>
      <c r="N9" s="57" t="s">
        <v>3204</v>
      </c>
      <c r="O9" s="22" t="s">
        <v>2405</v>
      </c>
      <c r="P9" s="44"/>
      <c r="Q9" s="22" t="s">
        <v>3379</v>
      </c>
      <c r="R9" s="22" t="s">
        <v>3413</v>
      </c>
      <c r="S9" s="22" t="s">
        <v>4032</v>
      </c>
    </row>
    <row r="10" spans="1:23">
      <c r="A10" s="22" t="s">
        <v>2271</v>
      </c>
      <c r="D10" s="22" t="s">
        <v>2136</v>
      </c>
      <c r="F10" s="22" t="s">
        <v>2151</v>
      </c>
      <c r="I10" s="22" t="s">
        <v>2205</v>
      </c>
      <c r="J10" s="44"/>
      <c r="L10" s="22" t="s">
        <v>2382</v>
      </c>
      <c r="M10" s="22" t="s">
        <v>1214</v>
      </c>
      <c r="N10" s="22" t="s">
        <v>3234</v>
      </c>
      <c r="O10" s="22" t="s">
        <v>2406</v>
      </c>
      <c r="P10" s="44"/>
      <c r="Q10" s="22" t="s">
        <v>3384</v>
      </c>
      <c r="R10" s="22" t="s">
        <v>3414</v>
      </c>
      <c r="S10" s="22" t="s">
        <v>4033</v>
      </c>
    </row>
    <row r="11" spans="1:23">
      <c r="A11" s="22" t="s">
        <v>2272</v>
      </c>
      <c r="D11" s="22" t="s">
        <v>2137</v>
      </c>
      <c r="F11" s="22" t="s">
        <v>2152</v>
      </c>
      <c r="I11" s="22" t="s">
        <v>2206</v>
      </c>
      <c r="J11" s="44"/>
      <c r="L11" s="22" t="s">
        <v>2383</v>
      </c>
      <c r="M11" s="22" t="s">
        <v>2859</v>
      </c>
      <c r="N11" s="22" t="s">
        <v>3242</v>
      </c>
      <c r="O11" s="22" t="s">
        <v>2407</v>
      </c>
      <c r="P11" s="44"/>
      <c r="Q11" s="22" t="s">
        <v>3383</v>
      </c>
      <c r="R11" s="22" t="s">
        <v>3415</v>
      </c>
      <c r="S11" s="22" t="s">
        <v>4034</v>
      </c>
    </row>
    <row r="12" spans="1:23" ht="39">
      <c r="A12" s="22" t="s">
        <v>2273</v>
      </c>
      <c r="D12" s="22" t="s">
        <v>2138</v>
      </c>
      <c r="F12" s="22" t="s">
        <v>2153</v>
      </c>
      <c r="I12" s="22" t="s">
        <v>2207</v>
      </c>
      <c r="J12" s="44"/>
      <c r="L12" s="22" t="s">
        <v>2384</v>
      </c>
      <c r="M12" s="22" t="s">
        <v>2982</v>
      </c>
      <c r="N12" s="57" t="s">
        <v>3243</v>
      </c>
      <c r="O12" s="22" t="s">
        <v>2408</v>
      </c>
      <c r="P12" s="44"/>
      <c r="Q12" s="22" t="s">
        <v>3384</v>
      </c>
      <c r="R12" s="22" t="s">
        <v>3416</v>
      </c>
      <c r="S12" s="22" t="s">
        <v>4035</v>
      </c>
    </row>
    <row r="13" spans="1:23">
      <c r="A13" s="22" t="s">
        <v>2274</v>
      </c>
      <c r="F13" s="22" t="s">
        <v>2154</v>
      </c>
      <c r="I13" s="22" t="s">
        <v>2208</v>
      </c>
      <c r="J13" s="44"/>
      <c r="L13" s="22" t="s">
        <v>2385</v>
      </c>
      <c r="M13" s="22" t="s">
        <v>2861</v>
      </c>
      <c r="N13" s="22" t="s">
        <v>3244</v>
      </c>
      <c r="O13" s="22" t="s">
        <v>2409</v>
      </c>
      <c r="P13" s="44"/>
      <c r="Q13" s="22" t="s">
        <v>3385</v>
      </c>
      <c r="R13" s="22" t="s">
        <v>3417</v>
      </c>
      <c r="S13" s="22" t="s">
        <v>4036</v>
      </c>
    </row>
    <row r="14" spans="1:23" ht="39">
      <c r="A14" s="22" t="s">
        <v>2275</v>
      </c>
      <c r="F14" s="22" t="s">
        <v>2155</v>
      </c>
      <c r="I14" s="22" t="s">
        <v>2209</v>
      </c>
      <c r="J14" s="44"/>
      <c r="L14" s="22" t="s">
        <v>2386</v>
      </c>
      <c r="M14" s="22" t="s">
        <v>945</v>
      </c>
      <c r="N14" s="57" t="s">
        <v>3235</v>
      </c>
      <c r="O14" s="22" t="s">
        <v>2410</v>
      </c>
      <c r="P14" s="44"/>
      <c r="R14" s="22" t="s">
        <v>3418</v>
      </c>
      <c r="S14" s="22" t="s">
        <v>4037</v>
      </c>
    </row>
    <row r="15" spans="1:23">
      <c r="A15" s="22" t="s">
        <v>2276</v>
      </c>
      <c r="F15" s="22" t="s">
        <v>2156</v>
      </c>
      <c r="I15" s="22" t="s">
        <v>2210</v>
      </c>
      <c r="J15" s="44"/>
      <c r="L15" s="22" t="s">
        <v>2387</v>
      </c>
      <c r="M15" s="22" t="s">
        <v>2864</v>
      </c>
      <c r="N15" s="22" t="s">
        <v>2874</v>
      </c>
      <c r="O15" s="22" t="s">
        <v>2411</v>
      </c>
      <c r="P15" s="44"/>
      <c r="R15" s="22" t="s">
        <v>3419</v>
      </c>
      <c r="S15" s="22" t="s">
        <v>4038</v>
      </c>
    </row>
    <row r="16" spans="1:23">
      <c r="A16" s="22" t="s">
        <v>2318</v>
      </c>
      <c r="F16" s="22" t="s">
        <v>2157</v>
      </c>
      <c r="I16" s="22" t="s">
        <v>2211</v>
      </c>
      <c r="J16" s="44"/>
      <c r="L16" s="22" t="s">
        <v>2388</v>
      </c>
      <c r="M16" s="22" t="s">
        <v>2866</v>
      </c>
      <c r="N16" s="22" t="s">
        <v>3274</v>
      </c>
      <c r="O16" s="22" t="s">
        <v>2412</v>
      </c>
      <c r="P16" s="44"/>
      <c r="R16" s="22" t="s">
        <v>3420</v>
      </c>
      <c r="S16" s="22" t="s">
        <v>4039</v>
      </c>
    </row>
    <row r="17" spans="1:19">
      <c r="A17" s="22" t="s">
        <v>2277</v>
      </c>
      <c r="F17" s="22" t="s">
        <v>2158</v>
      </c>
      <c r="I17" s="22" t="s">
        <v>2212</v>
      </c>
      <c r="J17" s="44"/>
      <c r="L17" s="22" t="s">
        <v>2850</v>
      </c>
      <c r="M17" s="22" t="s">
        <v>2983</v>
      </c>
      <c r="N17" s="22" t="s">
        <v>3341</v>
      </c>
      <c r="O17" s="22" t="s">
        <v>2413</v>
      </c>
      <c r="P17" s="44"/>
      <c r="R17" s="22" t="s">
        <v>3421</v>
      </c>
      <c r="S17" s="22" t="s">
        <v>4040</v>
      </c>
    </row>
    <row r="18" spans="1:19">
      <c r="A18" s="22" t="s">
        <v>2278</v>
      </c>
      <c r="F18" s="22" t="s">
        <v>2159</v>
      </c>
      <c r="I18" s="22" t="s">
        <v>2213</v>
      </c>
      <c r="J18" s="44"/>
      <c r="L18" s="22" t="s">
        <v>2389</v>
      </c>
      <c r="M18" s="22" t="s">
        <v>2984</v>
      </c>
      <c r="N18" s="22" t="s">
        <v>3198</v>
      </c>
      <c r="O18" s="22" t="s">
        <v>2414</v>
      </c>
      <c r="P18" s="44"/>
      <c r="R18" s="22" t="s">
        <v>3422</v>
      </c>
      <c r="S18" s="22" t="s">
        <v>4041</v>
      </c>
    </row>
    <row r="19" spans="1:19" ht="26">
      <c r="A19" s="22" t="s">
        <v>2279</v>
      </c>
      <c r="F19" s="22" t="s">
        <v>2160</v>
      </c>
      <c r="I19" s="22" t="s">
        <v>2214</v>
      </c>
      <c r="J19" s="44"/>
      <c r="L19" s="22" t="s">
        <v>2390</v>
      </c>
      <c r="M19" s="22" t="s">
        <v>2361</v>
      </c>
      <c r="N19" s="57" t="s">
        <v>3282</v>
      </c>
      <c r="O19" s="22" t="s">
        <v>2415</v>
      </c>
      <c r="P19" s="44"/>
      <c r="R19" s="22" t="s">
        <v>3423</v>
      </c>
      <c r="S19" s="22" t="s">
        <v>4042</v>
      </c>
    </row>
    <row r="20" spans="1:19">
      <c r="A20" s="22" t="s">
        <v>2280</v>
      </c>
      <c r="F20" s="22" t="s">
        <v>2161</v>
      </c>
      <c r="I20" s="22" t="s">
        <v>2215</v>
      </c>
      <c r="J20" s="44"/>
      <c r="L20" s="22" t="s">
        <v>2391</v>
      </c>
      <c r="N20" s="22" t="s">
        <v>3342</v>
      </c>
      <c r="O20" s="22" t="s">
        <v>2416</v>
      </c>
      <c r="P20" s="44"/>
      <c r="R20" s="22" t="s">
        <v>3424</v>
      </c>
      <c r="S20" s="22" t="s">
        <v>4043</v>
      </c>
    </row>
    <row r="21" spans="1:19">
      <c r="A21" s="22" t="s">
        <v>2281</v>
      </c>
      <c r="F21" s="22" t="s">
        <v>2162</v>
      </c>
      <c r="I21" s="22" t="s">
        <v>2223</v>
      </c>
      <c r="J21" s="44"/>
      <c r="L21" s="22" t="s">
        <v>2392</v>
      </c>
      <c r="N21" s="22" t="s">
        <v>3293</v>
      </c>
      <c r="O21" s="22" t="s">
        <v>2417</v>
      </c>
      <c r="P21" s="44"/>
      <c r="R21" s="22" t="s">
        <v>3425</v>
      </c>
      <c r="S21" s="22" t="s">
        <v>4044</v>
      </c>
    </row>
    <row r="22" spans="1:19" ht="26">
      <c r="A22" s="22" t="s">
        <v>2282</v>
      </c>
      <c r="F22" s="22" t="s">
        <v>2163</v>
      </c>
      <c r="I22" s="22" t="s">
        <v>2225</v>
      </c>
      <c r="J22" s="44"/>
      <c r="L22" s="22" t="s">
        <v>2393</v>
      </c>
      <c r="N22" s="57" t="s">
        <v>3283</v>
      </c>
      <c r="O22" s="22" t="s">
        <v>2418</v>
      </c>
      <c r="P22" s="44"/>
      <c r="R22" s="22" t="s">
        <v>3426</v>
      </c>
      <c r="S22" s="22" t="s">
        <v>4045</v>
      </c>
    </row>
    <row r="23" spans="1:19" ht="39">
      <c r="A23" s="22" t="s">
        <v>2283</v>
      </c>
      <c r="F23" s="22" t="s">
        <v>2164</v>
      </c>
      <c r="I23" s="22" t="s">
        <v>2226</v>
      </c>
      <c r="J23" s="44"/>
      <c r="L23" s="22" t="s">
        <v>2394</v>
      </c>
      <c r="N23" s="57" t="s">
        <v>3328</v>
      </c>
      <c r="O23" s="22" t="s">
        <v>2419</v>
      </c>
      <c r="P23" s="44"/>
      <c r="R23" s="22" t="s">
        <v>3427</v>
      </c>
      <c r="S23" s="22" t="s">
        <v>4046</v>
      </c>
    </row>
    <row r="24" spans="1:19" ht="39">
      <c r="A24" s="22" t="s">
        <v>2284</v>
      </c>
      <c r="F24" s="22" t="s">
        <v>2165</v>
      </c>
      <c r="I24" s="22" t="s">
        <v>2227</v>
      </c>
      <c r="J24" s="44"/>
      <c r="L24" s="22" t="s">
        <v>2395</v>
      </c>
      <c r="N24" s="57" t="s">
        <v>2875</v>
      </c>
      <c r="O24" s="22" t="s">
        <v>2420</v>
      </c>
      <c r="P24" s="44"/>
      <c r="R24" s="22" t="s">
        <v>3428</v>
      </c>
      <c r="S24" s="22" t="s">
        <v>4047</v>
      </c>
    </row>
    <row r="25" spans="1:19" ht="39">
      <c r="A25" s="22" t="s">
        <v>2285</v>
      </c>
      <c r="F25" s="22" t="s">
        <v>2166</v>
      </c>
      <c r="I25" s="22" t="s">
        <v>2229</v>
      </c>
      <c r="J25" s="44"/>
      <c r="L25" s="22" t="s">
        <v>2396</v>
      </c>
      <c r="N25" s="57" t="s">
        <v>2876</v>
      </c>
      <c r="O25" s="22" t="s">
        <v>2421</v>
      </c>
      <c r="P25" s="44"/>
      <c r="R25" s="22" t="s">
        <v>3429</v>
      </c>
      <c r="S25" s="22" t="s">
        <v>4048</v>
      </c>
    </row>
    <row r="26" spans="1:19" ht="26">
      <c r="A26" s="22" t="s">
        <v>2286</v>
      </c>
      <c r="F26" s="22" t="s">
        <v>2167</v>
      </c>
      <c r="I26" s="22" t="s">
        <v>2230</v>
      </c>
      <c r="J26" s="44"/>
      <c r="L26" s="22" t="s">
        <v>2397</v>
      </c>
      <c r="N26" s="57" t="s">
        <v>3210</v>
      </c>
      <c r="O26" s="22" t="s">
        <v>2422</v>
      </c>
      <c r="P26" s="44"/>
      <c r="R26" s="22" t="s">
        <v>3430</v>
      </c>
      <c r="S26" s="22" t="s">
        <v>4049</v>
      </c>
    </row>
    <row r="27" spans="1:19">
      <c r="A27" s="22" t="s">
        <v>2287</v>
      </c>
      <c r="F27" s="22" t="s">
        <v>2168</v>
      </c>
      <c r="I27" s="22" t="s">
        <v>2231</v>
      </c>
      <c r="J27" s="44"/>
      <c r="L27" s="22" t="s">
        <v>2398</v>
      </c>
      <c r="N27" s="22" t="s">
        <v>3225</v>
      </c>
      <c r="O27" s="22" t="s">
        <v>2423</v>
      </c>
      <c r="P27" s="44"/>
      <c r="R27" s="22" t="s">
        <v>3431</v>
      </c>
      <c r="S27" s="22" t="s">
        <v>4050</v>
      </c>
    </row>
    <row r="28" spans="1:19">
      <c r="A28" s="22" t="s">
        <v>2288</v>
      </c>
      <c r="F28" s="22" t="s">
        <v>2169</v>
      </c>
      <c r="I28" s="22" t="s">
        <v>2233</v>
      </c>
      <c r="J28" s="44"/>
      <c r="N28" s="22" t="s">
        <v>2877</v>
      </c>
      <c r="O28" s="22" t="s">
        <v>2424</v>
      </c>
      <c r="P28" s="44"/>
      <c r="R28" s="22" t="s">
        <v>3432</v>
      </c>
      <c r="S28" s="22" t="s">
        <v>4051</v>
      </c>
    </row>
    <row r="29" spans="1:19">
      <c r="A29" s="22" t="s">
        <v>2289</v>
      </c>
      <c r="F29" s="22" t="s">
        <v>2170</v>
      </c>
      <c r="I29" s="22" t="s">
        <v>2234</v>
      </c>
      <c r="J29" s="44"/>
      <c r="N29" s="22" t="s">
        <v>2878</v>
      </c>
      <c r="O29" s="22" t="s">
        <v>2425</v>
      </c>
      <c r="P29" s="44"/>
      <c r="R29" s="22" t="s">
        <v>3433</v>
      </c>
      <c r="S29" s="22" t="s">
        <v>4052</v>
      </c>
    </row>
    <row r="30" spans="1:19">
      <c r="A30" s="22" t="s">
        <v>2317</v>
      </c>
      <c r="F30" s="22" t="s">
        <v>2171</v>
      </c>
      <c r="I30" s="22" t="s">
        <v>2235</v>
      </c>
      <c r="J30" s="44"/>
      <c r="N30" s="22" t="s">
        <v>2879</v>
      </c>
      <c r="O30" s="22" t="s">
        <v>2426</v>
      </c>
      <c r="P30" s="44"/>
      <c r="R30" s="22" t="s">
        <v>3434</v>
      </c>
      <c r="S30" s="22" t="s">
        <v>4053</v>
      </c>
    </row>
    <row r="31" spans="1:19">
      <c r="A31" s="22" t="s">
        <v>2290</v>
      </c>
      <c r="F31" s="22" t="s">
        <v>2172</v>
      </c>
      <c r="I31" s="22" t="s">
        <v>2236</v>
      </c>
      <c r="J31" s="44"/>
      <c r="N31" s="22" t="s">
        <v>2880</v>
      </c>
      <c r="O31" s="22" t="s">
        <v>2427</v>
      </c>
      <c r="P31" s="44"/>
      <c r="R31" s="22" t="s">
        <v>3435</v>
      </c>
      <c r="S31" s="22" t="s">
        <v>4054</v>
      </c>
    </row>
    <row r="32" spans="1:19">
      <c r="A32" s="22" t="s">
        <v>2291</v>
      </c>
      <c r="F32" s="22" t="s">
        <v>2173</v>
      </c>
      <c r="I32" s="22" t="s">
        <v>2236</v>
      </c>
      <c r="J32" s="44"/>
      <c r="N32" s="22" t="s">
        <v>2881</v>
      </c>
      <c r="O32" s="22" t="s">
        <v>2428</v>
      </c>
      <c r="P32" s="44"/>
      <c r="R32" s="22" t="s">
        <v>3436</v>
      </c>
      <c r="S32" s="22" t="s">
        <v>4055</v>
      </c>
    </row>
    <row r="33" spans="1:19">
      <c r="A33" s="22" t="s">
        <v>2292</v>
      </c>
      <c r="F33" s="22" t="s">
        <v>2174</v>
      </c>
      <c r="I33" s="22" t="s">
        <v>2216</v>
      </c>
      <c r="J33" s="44"/>
      <c r="N33" s="22" t="s">
        <v>2882</v>
      </c>
      <c r="O33" s="22" t="s">
        <v>2429</v>
      </c>
      <c r="P33" s="44"/>
      <c r="R33" s="22" t="s">
        <v>3437</v>
      </c>
      <c r="S33" s="22" t="s">
        <v>4056</v>
      </c>
    </row>
    <row r="34" spans="1:19">
      <c r="A34" s="22" t="s">
        <v>2293</v>
      </c>
      <c r="F34" s="22" t="s">
        <v>2175</v>
      </c>
      <c r="I34" s="22" t="s">
        <v>2217</v>
      </c>
      <c r="J34" s="44"/>
      <c r="N34" s="22" t="s">
        <v>2872</v>
      </c>
      <c r="O34" s="22" t="s">
        <v>2430</v>
      </c>
      <c r="P34" s="44"/>
      <c r="R34" s="22" t="s">
        <v>3438</v>
      </c>
      <c r="S34" s="22" t="s">
        <v>4057</v>
      </c>
    </row>
    <row r="35" spans="1:19">
      <c r="A35" s="22" t="s">
        <v>2294</v>
      </c>
      <c r="F35" s="22" t="s">
        <v>2176</v>
      </c>
      <c r="I35" s="22" t="s">
        <v>2218</v>
      </c>
      <c r="J35" s="44"/>
      <c r="N35" s="22" t="s">
        <v>2883</v>
      </c>
      <c r="O35" s="22" t="s">
        <v>2431</v>
      </c>
      <c r="P35" s="44"/>
      <c r="R35" s="22" t="s">
        <v>3439</v>
      </c>
      <c r="S35" s="22" t="s">
        <v>4058</v>
      </c>
    </row>
    <row r="36" spans="1:19">
      <c r="A36" s="22" t="s">
        <v>2295</v>
      </c>
      <c r="F36" s="22" t="s">
        <v>2177</v>
      </c>
      <c r="I36" s="22" t="s">
        <v>2219</v>
      </c>
      <c r="J36" s="44"/>
      <c r="N36" s="22" t="s">
        <v>2884</v>
      </c>
      <c r="O36" s="22" t="s">
        <v>2432</v>
      </c>
      <c r="P36" s="44"/>
      <c r="R36" s="22" t="s">
        <v>3440</v>
      </c>
      <c r="S36" s="22" t="s">
        <v>4059</v>
      </c>
    </row>
    <row r="37" spans="1:19">
      <c r="A37" s="22" t="s">
        <v>2296</v>
      </c>
      <c r="F37" s="22" t="s">
        <v>2178</v>
      </c>
      <c r="I37" s="22" t="s">
        <v>2220</v>
      </c>
      <c r="J37" s="44"/>
      <c r="N37" s="22" t="s">
        <v>3311</v>
      </c>
      <c r="O37" s="22" t="s">
        <v>2433</v>
      </c>
      <c r="P37" s="44"/>
      <c r="R37" s="22" t="s">
        <v>3441</v>
      </c>
      <c r="S37" s="22" t="s">
        <v>4060</v>
      </c>
    </row>
    <row r="38" spans="1:19">
      <c r="A38" s="22" t="s">
        <v>2297</v>
      </c>
      <c r="F38" s="22" t="s">
        <v>2179</v>
      </c>
      <c r="I38" s="22" t="s">
        <v>2221</v>
      </c>
      <c r="J38" s="44"/>
      <c r="N38" s="22" t="s">
        <v>3325</v>
      </c>
      <c r="O38" s="22" t="s">
        <v>2434</v>
      </c>
      <c r="P38" s="44"/>
      <c r="R38" s="22" t="s">
        <v>3442</v>
      </c>
      <c r="S38" s="22" t="s">
        <v>4061</v>
      </c>
    </row>
    <row r="39" spans="1:19">
      <c r="A39" s="22" t="s">
        <v>2298</v>
      </c>
      <c r="F39" s="22" t="s">
        <v>2180</v>
      </c>
      <c r="I39" s="22" t="s">
        <v>2222</v>
      </c>
      <c r="J39" s="44"/>
      <c r="N39" s="22" t="s">
        <v>2885</v>
      </c>
      <c r="O39" s="22" t="s">
        <v>2435</v>
      </c>
      <c r="P39" s="44"/>
      <c r="R39" s="22" t="s">
        <v>3443</v>
      </c>
      <c r="S39" s="22" t="s">
        <v>4062</v>
      </c>
    </row>
    <row r="40" spans="1:19">
      <c r="A40" s="22" t="s">
        <v>2299</v>
      </c>
      <c r="F40" s="22" t="s">
        <v>2181</v>
      </c>
      <c r="I40" s="22" t="s">
        <v>2223</v>
      </c>
      <c r="J40" s="44"/>
      <c r="N40" s="22" t="s">
        <v>3323</v>
      </c>
      <c r="O40" s="22" t="s">
        <v>2436</v>
      </c>
      <c r="P40" s="44"/>
      <c r="R40" s="22" t="s">
        <v>3444</v>
      </c>
      <c r="S40" s="22" t="s">
        <v>4063</v>
      </c>
    </row>
    <row r="41" spans="1:19">
      <c r="A41" s="22" t="s">
        <v>2300</v>
      </c>
      <c r="F41" s="22" t="s">
        <v>2182</v>
      </c>
      <c r="I41" s="22" t="s">
        <v>2224</v>
      </c>
      <c r="J41" s="44"/>
      <c r="N41" s="22" t="s">
        <v>3252</v>
      </c>
      <c r="O41" s="22" t="s">
        <v>2437</v>
      </c>
      <c r="P41" s="44"/>
      <c r="R41" s="22" t="s">
        <v>3445</v>
      </c>
      <c r="S41" s="22" t="s">
        <v>4064</v>
      </c>
    </row>
    <row r="42" spans="1:19">
      <c r="A42" s="22" t="s">
        <v>2301</v>
      </c>
      <c r="F42" s="22" t="s">
        <v>2183</v>
      </c>
      <c r="I42" s="22" t="s">
        <v>2225</v>
      </c>
      <c r="J42" s="44"/>
      <c r="N42" s="22" t="s">
        <v>2886</v>
      </c>
      <c r="O42" s="22" t="s">
        <v>2438</v>
      </c>
      <c r="P42" s="44"/>
      <c r="R42" s="22" t="s">
        <v>3446</v>
      </c>
      <c r="S42" s="22" t="s">
        <v>4065</v>
      </c>
    </row>
    <row r="43" spans="1:19">
      <c r="A43" s="22" t="s">
        <v>2302</v>
      </c>
      <c r="F43" s="22" t="s">
        <v>2184</v>
      </c>
      <c r="I43" s="22" t="s">
        <v>2226</v>
      </c>
      <c r="J43" s="44"/>
      <c r="N43" s="22" t="s">
        <v>2870</v>
      </c>
      <c r="O43" s="22" t="s">
        <v>2439</v>
      </c>
      <c r="P43" s="44"/>
      <c r="R43" s="22" t="s">
        <v>3447</v>
      </c>
      <c r="S43" s="22" t="s">
        <v>4066</v>
      </c>
    </row>
    <row r="44" spans="1:19">
      <c r="A44" s="22" t="s">
        <v>2303</v>
      </c>
      <c r="F44" s="22" t="s">
        <v>2185</v>
      </c>
      <c r="I44" s="22" t="s">
        <v>2227</v>
      </c>
      <c r="J44" s="44"/>
      <c r="N44" s="22" t="s">
        <v>2366</v>
      </c>
      <c r="O44" s="22" t="s">
        <v>2440</v>
      </c>
      <c r="P44" s="44"/>
      <c r="R44" s="22" t="s">
        <v>3448</v>
      </c>
      <c r="S44" s="22" t="s">
        <v>4067</v>
      </c>
    </row>
    <row r="45" spans="1:19">
      <c r="A45" s="22" t="s">
        <v>3351</v>
      </c>
      <c r="F45" s="22" t="s">
        <v>2186</v>
      </c>
      <c r="I45" s="22" t="s">
        <v>2228</v>
      </c>
      <c r="J45" s="44"/>
      <c r="N45" s="22" t="s">
        <v>2887</v>
      </c>
      <c r="O45" s="22" t="s">
        <v>2441</v>
      </c>
      <c r="P45" s="44"/>
      <c r="R45" s="22" t="s">
        <v>3449</v>
      </c>
      <c r="S45" s="22" t="s">
        <v>4068</v>
      </c>
    </row>
    <row r="46" spans="1:19">
      <c r="A46" s="22" t="s">
        <v>2304</v>
      </c>
      <c r="F46" s="22" t="s">
        <v>2187</v>
      </c>
      <c r="I46" s="22" t="s">
        <v>2229</v>
      </c>
      <c r="J46" s="44"/>
      <c r="N46" s="22" t="s">
        <v>3172</v>
      </c>
      <c r="O46" s="22" t="s">
        <v>2442</v>
      </c>
      <c r="P46" s="44"/>
      <c r="R46" s="22" t="s">
        <v>3450</v>
      </c>
      <c r="S46" s="22" t="s">
        <v>4069</v>
      </c>
    </row>
    <row r="47" spans="1:19">
      <c r="A47" s="22" t="s">
        <v>2305</v>
      </c>
      <c r="F47" s="22" t="s">
        <v>2188</v>
      </c>
      <c r="I47" s="22" t="s">
        <v>2230</v>
      </c>
      <c r="J47" s="44"/>
      <c r="N47" s="22" t="s">
        <v>4300</v>
      </c>
      <c r="O47" s="22" t="s">
        <v>2443</v>
      </c>
      <c r="P47" s="44"/>
      <c r="R47" s="22" t="s">
        <v>3451</v>
      </c>
      <c r="S47" s="22" t="s">
        <v>4070</v>
      </c>
    </row>
    <row r="48" spans="1:19">
      <c r="A48" s="22" t="s">
        <v>2306</v>
      </c>
      <c r="F48" s="22" t="s">
        <v>2189</v>
      </c>
      <c r="I48" s="22" t="s">
        <v>2231</v>
      </c>
      <c r="J48" s="44"/>
      <c r="N48" s="22" t="s">
        <v>2888</v>
      </c>
      <c r="O48" s="22" t="s">
        <v>2444</v>
      </c>
      <c r="P48" s="44"/>
      <c r="R48" s="22" t="s">
        <v>3452</v>
      </c>
      <c r="S48" s="22" t="s">
        <v>4071</v>
      </c>
    </row>
    <row r="49" spans="1:19">
      <c r="A49" s="22" t="s">
        <v>2307</v>
      </c>
      <c r="F49" s="22" t="s">
        <v>2190</v>
      </c>
      <c r="I49" s="22" t="s">
        <v>2232</v>
      </c>
      <c r="J49" s="44"/>
      <c r="N49" s="22" t="s">
        <v>2889</v>
      </c>
      <c r="O49" s="22" t="s">
        <v>2445</v>
      </c>
      <c r="P49" s="44"/>
      <c r="R49" s="22" t="s">
        <v>3453</v>
      </c>
      <c r="S49" s="22" t="s">
        <v>4072</v>
      </c>
    </row>
    <row r="50" spans="1:19">
      <c r="A50" s="22" t="s">
        <v>2308</v>
      </c>
      <c r="F50" s="22" t="s">
        <v>2191</v>
      </c>
      <c r="I50" s="22" t="s">
        <v>2233</v>
      </c>
      <c r="J50" s="44"/>
      <c r="N50" s="22" t="s">
        <v>2890</v>
      </c>
      <c r="O50" s="22" t="s">
        <v>2446</v>
      </c>
      <c r="P50" s="44"/>
      <c r="R50" s="22" t="s">
        <v>3454</v>
      </c>
      <c r="S50" s="22" t="s">
        <v>4073</v>
      </c>
    </row>
    <row r="51" spans="1:19">
      <c r="A51" s="22" t="s">
        <v>2309</v>
      </c>
      <c r="F51" s="22" t="s">
        <v>2192</v>
      </c>
      <c r="I51" s="22" t="s">
        <v>2234</v>
      </c>
      <c r="J51" s="44"/>
      <c r="N51" s="22" t="s">
        <v>2891</v>
      </c>
      <c r="O51" s="22" t="s">
        <v>2447</v>
      </c>
      <c r="P51" s="44"/>
      <c r="R51" s="22" t="s">
        <v>3455</v>
      </c>
      <c r="S51" s="22" t="s">
        <v>4074</v>
      </c>
    </row>
    <row r="52" spans="1:19">
      <c r="A52" s="22" t="s">
        <v>2310</v>
      </c>
      <c r="I52" s="22" t="s">
        <v>2235</v>
      </c>
      <c r="J52" s="44"/>
      <c r="N52" s="22" t="s">
        <v>2892</v>
      </c>
      <c r="O52" s="22" t="s">
        <v>2966</v>
      </c>
      <c r="P52" s="44"/>
      <c r="R52" s="22" t="s">
        <v>3456</v>
      </c>
      <c r="S52" s="22" t="s">
        <v>4075</v>
      </c>
    </row>
    <row r="53" spans="1:19">
      <c r="A53" s="22" t="s">
        <v>2311</v>
      </c>
      <c r="I53" s="22" t="s">
        <v>2236</v>
      </c>
      <c r="J53" s="44"/>
      <c r="N53" s="22" t="s">
        <v>2893</v>
      </c>
      <c r="O53" s="22" t="s">
        <v>2966</v>
      </c>
      <c r="P53" s="44"/>
      <c r="R53" s="22" t="s">
        <v>3457</v>
      </c>
      <c r="S53" s="22" t="s">
        <v>4076</v>
      </c>
    </row>
    <row r="54" spans="1:19">
      <c r="A54" s="22" t="s">
        <v>2312</v>
      </c>
      <c r="N54" s="22" t="s">
        <v>3167</v>
      </c>
      <c r="O54" s="22" t="s">
        <v>2448</v>
      </c>
      <c r="R54" s="22" t="s">
        <v>3458</v>
      </c>
      <c r="S54" s="22" t="s">
        <v>4077</v>
      </c>
    </row>
    <row r="55" spans="1:19">
      <c r="A55" s="22" t="s">
        <v>2313</v>
      </c>
      <c r="N55" s="22" t="s">
        <v>2894</v>
      </c>
      <c r="O55" s="22" t="s">
        <v>2449</v>
      </c>
      <c r="R55" s="22" t="s">
        <v>3459</v>
      </c>
      <c r="S55" s="22" t="s">
        <v>4078</v>
      </c>
    </row>
    <row r="56" spans="1:19">
      <c r="A56" s="22" t="s">
        <v>2314</v>
      </c>
      <c r="N56" s="22" t="s">
        <v>2895</v>
      </c>
      <c r="O56" s="22" t="s">
        <v>2450</v>
      </c>
      <c r="R56" s="22" t="s">
        <v>3460</v>
      </c>
      <c r="S56" s="22" t="s">
        <v>4079</v>
      </c>
    </row>
    <row r="57" spans="1:19">
      <c r="A57" s="22" t="s">
        <v>2315</v>
      </c>
      <c r="N57" s="22" t="s">
        <v>3208</v>
      </c>
      <c r="O57" s="22" t="s">
        <v>2451</v>
      </c>
      <c r="R57" s="22" t="s">
        <v>3461</v>
      </c>
      <c r="S57" s="22" t="s">
        <v>4080</v>
      </c>
    </row>
    <row r="58" spans="1:19">
      <c r="A58" s="22" t="s">
        <v>2316</v>
      </c>
      <c r="N58" s="22" t="s">
        <v>2896</v>
      </c>
      <c r="O58" s="22" t="s">
        <v>2452</v>
      </c>
      <c r="R58" s="22" t="s">
        <v>3462</v>
      </c>
      <c r="S58" s="22" t="s">
        <v>4081</v>
      </c>
    </row>
    <row r="59" spans="1:19">
      <c r="N59" s="22" t="s">
        <v>2897</v>
      </c>
      <c r="O59" s="22" t="s">
        <v>2453</v>
      </c>
      <c r="R59" s="22" t="s">
        <v>3463</v>
      </c>
      <c r="S59" s="22" t="s">
        <v>4082</v>
      </c>
    </row>
    <row r="60" spans="1:19">
      <c r="N60" s="22" t="s">
        <v>2898</v>
      </c>
      <c r="O60" s="22" t="s">
        <v>2454</v>
      </c>
      <c r="R60" s="22" t="s">
        <v>3464</v>
      </c>
      <c r="S60" s="22" t="s">
        <v>4083</v>
      </c>
    </row>
    <row r="61" spans="1:19">
      <c r="N61" s="22" t="s">
        <v>2899</v>
      </c>
      <c r="O61" s="22" t="s">
        <v>2455</v>
      </c>
      <c r="R61" s="22" t="s">
        <v>3465</v>
      </c>
      <c r="S61" s="22" t="s">
        <v>4084</v>
      </c>
    </row>
    <row r="62" spans="1:19">
      <c r="N62" s="22" t="s">
        <v>2900</v>
      </c>
      <c r="O62" s="22" t="s">
        <v>2456</v>
      </c>
      <c r="R62" s="22" t="s">
        <v>3466</v>
      </c>
      <c r="S62" s="22" t="s">
        <v>4085</v>
      </c>
    </row>
    <row r="63" spans="1:19">
      <c r="N63" s="22" t="s">
        <v>2901</v>
      </c>
      <c r="O63" s="22" t="s">
        <v>2457</v>
      </c>
      <c r="R63" s="22" t="s">
        <v>3467</v>
      </c>
      <c r="S63" s="22" t="s">
        <v>4086</v>
      </c>
    </row>
    <row r="64" spans="1:19">
      <c r="N64" s="22" t="s">
        <v>2902</v>
      </c>
      <c r="O64" s="22" t="s">
        <v>2458</v>
      </c>
      <c r="R64" s="22" t="s">
        <v>3468</v>
      </c>
      <c r="S64" s="22" t="s">
        <v>4087</v>
      </c>
    </row>
    <row r="65" spans="14:19">
      <c r="N65" s="22" t="s">
        <v>3197</v>
      </c>
      <c r="O65" s="22" t="s">
        <v>2459</v>
      </c>
      <c r="R65" s="22" t="s">
        <v>3469</v>
      </c>
      <c r="S65" s="22" t="s">
        <v>4088</v>
      </c>
    </row>
    <row r="66" spans="14:19">
      <c r="N66" s="57" t="s">
        <v>3205</v>
      </c>
      <c r="O66" s="22" t="s">
        <v>2460</v>
      </c>
      <c r="R66" s="22" t="s">
        <v>3470</v>
      </c>
      <c r="S66" s="22" t="s">
        <v>4089</v>
      </c>
    </row>
    <row r="67" spans="14:19">
      <c r="N67" s="57" t="s">
        <v>2903</v>
      </c>
      <c r="O67" s="22" t="s">
        <v>2461</v>
      </c>
      <c r="R67" s="22" t="s">
        <v>3471</v>
      </c>
      <c r="S67" s="22" t="s">
        <v>4090</v>
      </c>
    </row>
    <row r="68" spans="14:19">
      <c r="N68" s="57" t="s">
        <v>3297</v>
      </c>
      <c r="O68" s="22" t="s">
        <v>2967</v>
      </c>
      <c r="R68" s="22" t="s">
        <v>3472</v>
      </c>
      <c r="S68" s="22" t="s">
        <v>4091</v>
      </c>
    </row>
    <row r="69" spans="14:19">
      <c r="N69" s="22" t="s">
        <v>2904</v>
      </c>
      <c r="O69" s="22" t="s">
        <v>2462</v>
      </c>
      <c r="R69" s="22" t="s">
        <v>3473</v>
      </c>
      <c r="S69" s="22" t="s">
        <v>4092</v>
      </c>
    </row>
    <row r="70" spans="14:19">
      <c r="N70" s="22" t="s">
        <v>2905</v>
      </c>
      <c r="O70" s="22" t="s">
        <v>2463</v>
      </c>
      <c r="R70" s="22" t="s">
        <v>3474</v>
      </c>
      <c r="S70" s="22" t="s">
        <v>4093</v>
      </c>
    </row>
    <row r="71" spans="14:19">
      <c r="N71" s="57" t="s">
        <v>3195</v>
      </c>
      <c r="O71" s="22" t="s">
        <v>2464</v>
      </c>
      <c r="R71" s="22" t="s">
        <v>3475</v>
      </c>
      <c r="S71" s="22" t="s">
        <v>4094</v>
      </c>
    </row>
    <row r="72" spans="14:19">
      <c r="N72" s="57" t="s">
        <v>3275</v>
      </c>
      <c r="O72" s="22" t="s">
        <v>2465</v>
      </c>
      <c r="R72" s="22" t="s">
        <v>3476</v>
      </c>
      <c r="S72" s="22" t="s">
        <v>4095</v>
      </c>
    </row>
    <row r="73" spans="14:19">
      <c r="N73" s="22" t="s">
        <v>3344</v>
      </c>
      <c r="O73" s="22" t="s">
        <v>2466</v>
      </c>
      <c r="R73" s="22" t="s">
        <v>3477</v>
      </c>
      <c r="S73" s="22" t="s">
        <v>4096</v>
      </c>
    </row>
    <row r="74" spans="14:19">
      <c r="N74" s="57" t="s">
        <v>3329</v>
      </c>
      <c r="O74" s="22" t="s">
        <v>2467</v>
      </c>
      <c r="R74" s="22" t="s">
        <v>3478</v>
      </c>
      <c r="S74" s="22" t="s">
        <v>4097</v>
      </c>
    </row>
    <row r="75" spans="14:19">
      <c r="N75" s="57" t="s">
        <v>3202</v>
      </c>
      <c r="O75" s="22" t="s">
        <v>2468</v>
      </c>
      <c r="R75" s="22" t="s">
        <v>3479</v>
      </c>
      <c r="S75" s="22" t="s">
        <v>4098</v>
      </c>
    </row>
    <row r="76" spans="14:19">
      <c r="N76" s="57" t="s">
        <v>3200</v>
      </c>
      <c r="O76" s="22" t="s">
        <v>2469</v>
      </c>
      <c r="R76" s="22" t="s">
        <v>3480</v>
      </c>
      <c r="S76" s="22" t="s">
        <v>4099</v>
      </c>
    </row>
    <row r="77" spans="14:19">
      <c r="N77" s="22" t="s">
        <v>2906</v>
      </c>
      <c r="O77" s="22" t="s">
        <v>2470</v>
      </c>
      <c r="R77" s="22" t="s">
        <v>3481</v>
      </c>
      <c r="S77" s="22" t="s">
        <v>4100</v>
      </c>
    </row>
    <row r="78" spans="14:19">
      <c r="N78" s="22" t="s">
        <v>3312</v>
      </c>
      <c r="O78" s="22" t="s">
        <v>2471</v>
      </c>
      <c r="R78" s="22" t="s">
        <v>3482</v>
      </c>
      <c r="S78" s="22" t="s">
        <v>4101</v>
      </c>
    </row>
    <row r="79" spans="14:19" ht="26">
      <c r="N79" s="57" t="s">
        <v>3347</v>
      </c>
      <c r="O79" s="22" t="s">
        <v>2472</v>
      </c>
      <c r="R79" s="22" t="s">
        <v>3483</v>
      </c>
      <c r="S79" s="22" t="s">
        <v>4102</v>
      </c>
    </row>
    <row r="80" spans="14:19" ht="26">
      <c r="N80" s="57" t="s">
        <v>3330</v>
      </c>
      <c r="O80" s="22" t="s">
        <v>2473</v>
      </c>
      <c r="R80" s="22" t="s">
        <v>3484</v>
      </c>
      <c r="S80" s="22" t="s">
        <v>4103</v>
      </c>
    </row>
    <row r="81" spans="14:19">
      <c r="N81" s="22" t="s">
        <v>3314</v>
      </c>
      <c r="O81" s="22" t="s">
        <v>2474</v>
      </c>
      <c r="R81" s="22" t="s">
        <v>3485</v>
      </c>
      <c r="S81" s="22" t="s">
        <v>4104</v>
      </c>
    </row>
    <row r="82" spans="14:19" ht="26">
      <c r="N82" s="57" t="s">
        <v>3331</v>
      </c>
      <c r="O82" s="22" t="s">
        <v>2968</v>
      </c>
      <c r="R82" s="22" t="s">
        <v>3486</v>
      </c>
      <c r="S82" s="22" t="s">
        <v>4105</v>
      </c>
    </row>
    <row r="83" spans="14:19">
      <c r="N83" s="22" t="s">
        <v>3332</v>
      </c>
      <c r="O83" s="22" t="s">
        <v>2475</v>
      </c>
      <c r="R83" s="22" t="s">
        <v>3487</v>
      </c>
      <c r="S83" s="22" t="s">
        <v>4106</v>
      </c>
    </row>
    <row r="84" spans="14:19">
      <c r="N84" s="22" t="s">
        <v>3284</v>
      </c>
      <c r="O84" s="22" t="s">
        <v>2476</v>
      </c>
      <c r="R84" s="22" t="s">
        <v>3488</v>
      </c>
      <c r="S84" s="22" t="s">
        <v>4107</v>
      </c>
    </row>
    <row r="85" spans="14:19">
      <c r="N85" s="22" t="s">
        <v>3285</v>
      </c>
      <c r="O85" s="22" t="s">
        <v>2477</v>
      </c>
      <c r="R85" s="22" t="s">
        <v>3489</v>
      </c>
      <c r="S85" s="22" t="s">
        <v>4108</v>
      </c>
    </row>
    <row r="86" spans="14:19">
      <c r="N86" s="22" t="s">
        <v>3333</v>
      </c>
      <c r="O86" s="22" t="s">
        <v>2478</v>
      </c>
      <c r="R86" s="22" t="s">
        <v>3490</v>
      </c>
      <c r="S86" s="22" t="s">
        <v>4109</v>
      </c>
    </row>
    <row r="87" spans="14:19" ht="26">
      <c r="N87" s="57" t="s">
        <v>3288</v>
      </c>
      <c r="O87" s="22" t="s">
        <v>2479</v>
      </c>
      <c r="R87" s="22" t="s">
        <v>3491</v>
      </c>
      <c r="S87" s="22" t="s">
        <v>4110</v>
      </c>
    </row>
    <row r="88" spans="14:19" ht="26">
      <c r="N88" s="57" t="s">
        <v>3320</v>
      </c>
      <c r="O88" s="22" t="s">
        <v>2480</v>
      </c>
      <c r="R88" s="22" t="s">
        <v>3492</v>
      </c>
      <c r="S88" s="22" t="s">
        <v>4111</v>
      </c>
    </row>
    <row r="89" spans="14:19">
      <c r="N89" s="22" t="s">
        <v>3346</v>
      </c>
      <c r="O89" s="22" t="s">
        <v>2481</v>
      </c>
      <c r="R89" s="22" t="s">
        <v>3493</v>
      </c>
      <c r="S89" s="22" t="s">
        <v>4112</v>
      </c>
    </row>
    <row r="90" spans="14:19">
      <c r="N90" s="57" t="s">
        <v>3199</v>
      </c>
      <c r="O90" s="22" t="s">
        <v>2482</v>
      </c>
      <c r="R90" s="22" t="s">
        <v>3494</v>
      </c>
      <c r="S90" s="22" t="s">
        <v>4113</v>
      </c>
    </row>
    <row r="91" spans="14:19">
      <c r="N91" s="22" t="s">
        <v>2907</v>
      </c>
      <c r="O91" s="22" t="s">
        <v>2483</v>
      </c>
      <c r="R91" s="22" t="s">
        <v>3495</v>
      </c>
      <c r="S91" s="22" t="s">
        <v>4114</v>
      </c>
    </row>
    <row r="92" spans="14:19" ht="39">
      <c r="N92" s="57" t="s">
        <v>2908</v>
      </c>
      <c r="O92" s="22" t="s">
        <v>2484</v>
      </c>
      <c r="R92" s="22" t="s">
        <v>3496</v>
      </c>
      <c r="S92" s="22" t="s">
        <v>4115</v>
      </c>
    </row>
    <row r="93" spans="14:19">
      <c r="N93" s="57" t="s">
        <v>2909</v>
      </c>
      <c r="O93" s="22" t="s">
        <v>2485</v>
      </c>
      <c r="R93" s="22" t="s">
        <v>3497</v>
      </c>
      <c r="S93" s="22" t="s">
        <v>4116</v>
      </c>
    </row>
    <row r="94" spans="14:19" ht="26">
      <c r="N94" s="57" t="s">
        <v>3238</v>
      </c>
      <c r="O94" s="22" t="s">
        <v>2486</v>
      </c>
      <c r="R94" s="22" t="s">
        <v>3498</v>
      </c>
      <c r="S94" s="22" t="s">
        <v>4117</v>
      </c>
    </row>
    <row r="95" spans="14:19">
      <c r="N95" s="57" t="s">
        <v>3298</v>
      </c>
      <c r="O95" s="22" t="s">
        <v>3213</v>
      </c>
      <c r="R95" s="22" t="s">
        <v>3499</v>
      </c>
      <c r="S95" s="22" t="s">
        <v>4118</v>
      </c>
    </row>
    <row r="96" spans="14:19" ht="26">
      <c r="N96" s="57" t="s">
        <v>3348</v>
      </c>
      <c r="O96" s="22" t="s">
        <v>2487</v>
      </c>
      <c r="R96" s="22" t="s">
        <v>3500</v>
      </c>
      <c r="S96" s="22" t="s">
        <v>4119</v>
      </c>
    </row>
    <row r="97" spans="14:19" ht="26">
      <c r="N97" s="57" t="s">
        <v>3343</v>
      </c>
      <c r="O97" s="22" t="s">
        <v>2488</v>
      </c>
      <c r="R97" s="22" t="s">
        <v>3501</v>
      </c>
      <c r="S97" s="22" t="s">
        <v>4120</v>
      </c>
    </row>
    <row r="98" spans="14:19" ht="26">
      <c r="N98" s="57" t="s">
        <v>3334</v>
      </c>
      <c r="O98" s="22" t="s">
        <v>2489</v>
      </c>
      <c r="R98" s="22" t="s">
        <v>3502</v>
      </c>
      <c r="S98" s="22" t="s">
        <v>4121</v>
      </c>
    </row>
    <row r="99" spans="14:19" ht="26">
      <c r="N99" s="57" t="s">
        <v>3324</v>
      </c>
      <c r="O99" s="22" t="s">
        <v>2490</v>
      </c>
      <c r="R99" s="22" t="s">
        <v>3503</v>
      </c>
      <c r="S99" s="22" t="s">
        <v>4122</v>
      </c>
    </row>
    <row r="100" spans="14:19">
      <c r="N100" s="22" t="s">
        <v>3349</v>
      </c>
      <c r="O100" s="22" t="s">
        <v>2491</v>
      </c>
      <c r="R100" s="22" t="s">
        <v>3504</v>
      </c>
      <c r="S100" s="22" t="s">
        <v>4123</v>
      </c>
    </row>
    <row r="101" spans="14:19">
      <c r="N101" s="22" t="s">
        <v>3194</v>
      </c>
      <c r="O101" s="22" t="s">
        <v>2492</v>
      </c>
      <c r="R101" s="22" t="s">
        <v>3505</v>
      </c>
      <c r="S101" s="22" t="s">
        <v>4124</v>
      </c>
    </row>
    <row r="102" spans="14:19" ht="65">
      <c r="N102" s="57" t="s">
        <v>3191</v>
      </c>
      <c r="O102" s="22" t="s">
        <v>2493</v>
      </c>
      <c r="R102" s="22" t="s">
        <v>3506</v>
      </c>
      <c r="S102" s="22" t="s">
        <v>4125</v>
      </c>
    </row>
    <row r="103" spans="14:19" ht="39">
      <c r="N103" s="57" t="s">
        <v>3326</v>
      </c>
      <c r="O103" s="22" t="s">
        <v>2494</v>
      </c>
      <c r="R103" s="22" t="s">
        <v>3507</v>
      </c>
      <c r="S103" s="22" t="s">
        <v>4126</v>
      </c>
    </row>
    <row r="104" spans="14:19" ht="26">
      <c r="N104" s="57" t="s">
        <v>3335</v>
      </c>
      <c r="O104" s="22" t="s">
        <v>2495</v>
      </c>
      <c r="R104" s="22" t="s">
        <v>3508</v>
      </c>
      <c r="S104" s="22" t="s">
        <v>4127</v>
      </c>
    </row>
    <row r="105" spans="14:19">
      <c r="N105" s="22" t="s">
        <v>2910</v>
      </c>
      <c r="O105" s="22" t="s">
        <v>2496</v>
      </c>
      <c r="R105" s="22" t="s">
        <v>3509</v>
      </c>
      <c r="S105" s="22" t="s">
        <v>4128</v>
      </c>
    </row>
    <row r="106" spans="14:19">
      <c r="N106" s="22" t="s">
        <v>2911</v>
      </c>
      <c r="O106" s="22" t="s">
        <v>2497</v>
      </c>
      <c r="R106" s="22" t="s">
        <v>3510</v>
      </c>
      <c r="S106" s="22" t="s">
        <v>4129</v>
      </c>
    </row>
    <row r="107" spans="14:19" ht="26">
      <c r="N107" s="57" t="s">
        <v>2912</v>
      </c>
      <c r="O107" s="22" t="s">
        <v>2498</v>
      </c>
      <c r="R107" s="22" t="s">
        <v>3511</v>
      </c>
      <c r="S107" s="22" t="s">
        <v>4130</v>
      </c>
    </row>
    <row r="108" spans="14:19">
      <c r="N108" s="57" t="s">
        <v>2913</v>
      </c>
      <c r="O108" s="22" t="s">
        <v>2499</v>
      </c>
      <c r="R108" s="22" t="s">
        <v>3512</v>
      </c>
      <c r="S108" s="22" t="s">
        <v>4131</v>
      </c>
    </row>
    <row r="109" spans="14:19">
      <c r="N109" s="57" t="s">
        <v>2868</v>
      </c>
      <c r="O109" s="22" t="s">
        <v>2500</v>
      </c>
      <c r="R109" s="22" t="s">
        <v>3513</v>
      </c>
      <c r="S109" s="22" t="s">
        <v>4132</v>
      </c>
    </row>
    <row r="110" spans="14:19">
      <c r="N110" s="22" t="s">
        <v>2914</v>
      </c>
      <c r="O110" s="22" t="s">
        <v>3214</v>
      </c>
      <c r="R110" s="22" t="s">
        <v>3514</v>
      </c>
      <c r="S110" s="22" t="s">
        <v>4133</v>
      </c>
    </row>
    <row r="111" spans="14:19">
      <c r="N111" s="22" t="s">
        <v>2915</v>
      </c>
      <c r="O111" s="22" t="s">
        <v>2501</v>
      </c>
      <c r="R111" s="22" t="s">
        <v>3515</v>
      </c>
      <c r="S111" s="22" t="s">
        <v>4134</v>
      </c>
    </row>
    <row r="112" spans="14:19" ht="39">
      <c r="N112" s="57" t="s">
        <v>3350</v>
      </c>
      <c r="O112" s="22" t="s">
        <v>2502</v>
      </c>
      <c r="R112" s="22" t="s">
        <v>3516</v>
      </c>
      <c r="S112" s="22" t="s">
        <v>4135</v>
      </c>
    </row>
    <row r="113" spans="14:19">
      <c r="N113" s="22" t="s">
        <v>2916</v>
      </c>
      <c r="O113" s="22" t="s">
        <v>2503</v>
      </c>
      <c r="R113" s="22" t="s">
        <v>3517</v>
      </c>
      <c r="S113" s="22" t="s">
        <v>4136</v>
      </c>
    </row>
    <row r="114" spans="14:19">
      <c r="N114" s="57" t="s">
        <v>2917</v>
      </c>
      <c r="O114" s="22" t="s">
        <v>2504</v>
      </c>
      <c r="R114" s="22" t="s">
        <v>3518</v>
      </c>
      <c r="S114" s="22" t="s">
        <v>4137</v>
      </c>
    </row>
    <row r="115" spans="14:19">
      <c r="N115" s="22" t="s">
        <v>2918</v>
      </c>
      <c r="O115" s="22" t="s">
        <v>2505</v>
      </c>
      <c r="R115" s="22" t="s">
        <v>3519</v>
      </c>
      <c r="S115" s="22" t="s">
        <v>4138</v>
      </c>
    </row>
    <row r="116" spans="14:19" ht="39">
      <c r="N116" s="57" t="s">
        <v>3319</v>
      </c>
      <c r="O116" s="22" t="s">
        <v>2506</v>
      </c>
      <c r="R116" s="22" t="s">
        <v>3520</v>
      </c>
      <c r="S116" s="22" t="s">
        <v>4139</v>
      </c>
    </row>
    <row r="117" spans="14:19" ht="26">
      <c r="N117" s="57" t="s">
        <v>3211</v>
      </c>
      <c r="O117" s="22" t="s">
        <v>2507</v>
      </c>
      <c r="R117" s="22" t="s">
        <v>3521</v>
      </c>
      <c r="S117" s="22" t="s">
        <v>4140</v>
      </c>
    </row>
    <row r="118" spans="14:19" ht="26">
      <c r="N118" s="57" t="s">
        <v>3226</v>
      </c>
      <c r="O118" s="22" t="s">
        <v>2508</v>
      </c>
      <c r="R118" s="22" t="s">
        <v>3522</v>
      </c>
      <c r="S118" s="22" t="s">
        <v>4141</v>
      </c>
    </row>
    <row r="119" spans="14:19">
      <c r="N119" s="22" t="s">
        <v>3313</v>
      </c>
      <c r="O119" s="22" t="s">
        <v>2509</v>
      </c>
      <c r="R119" s="22" t="s">
        <v>3523</v>
      </c>
      <c r="S119" s="22" t="s">
        <v>4142</v>
      </c>
    </row>
    <row r="120" spans="14:19">
      <c r="N120" s="22" t="s">
        <v>3231</v>
      </c>
      <c r="O120" s="22" t="s">
        <v>2510</v>
      </c>
      <c r="R120" s="22" t="s">
        <v>3524</v>
      </c>
      <c r="S120" s="22" t="s">
        <v>4143</v>
      </c>
    </row>
    <row r="121" spans="14:19">
      <c r="N121" s="22" t="s">
        <v>3303</v>
      </c>
      <c r="O121" s="22" t="s">
        <v>2511</v>
      </c>
      <c r="R121" s="22" t="s">
        <v>3525</v>
      </c>
      <c r="S121" s="22" t="s">
        <v>4144</v>
      </c>
    </row>
    <row r="122" spans="14:19">
      <c r="N122" s="57" t="s">
        <v>2919</v>
      </c>
      <c r="O122" s="22" t="s">
        <v>2512</v>
      </c>
      <c r="R122" s="22" t="s">
        <v>3526</v>
      </c>
      <c r="S122" s="22" t="s">
        <v>4145</v>
      </c>
    </row>
    <row r="123" spans="14:19">
      <c r="N123" s="22" t="s">
        <v>2920</v>
      </c>
      <c r="O123" s="22" t="s">
        <v>2513</v>
      </c>
      <c r="R123" s="22" t="s">
        <v>3527</v>
      </c>
      <c r="S123" s="22" t="s">
        <v>4146</v>
      </c>
    </row>
    <row r="124" spans="14:19">
      <c r="N124" s="22" t="s">
        <v>2921</v>
      </c>
      <c r="O124" s="22" t="s">
        <v>2514</v>
      </c>
      <c r="R124" s="22" t="s">
        <v>3528</v>
      </c>
      <c r="S124" s="22" t="s">
        <v>4147</v>
      </c>
    </row>
    <row r="125" spans="14:19">
      <c r="N125" s="22" t="s">
        <v>2922</v>
      </c>
      <c r="O125" s="22" t="s">
        <v>2515</v>
      </c>
      <c r="R125" s="22" t="s">
        <v>3529</v>
      </c>
      <c r="S125" s="22" t="s">
        <v>4148</v>
      </c>
    </row>
    <row r="126" spans="14:19" ht="26">
      <c r="N126" s="57" t="s">
        <v>2923</v>
      </c>
      <c r="O126" s="22" t="s">
        <v>2516</v>
      </c>
      <c r="R126" s="22" t="s">
        <v>3530</v>
      </c>
      <c r="S126" s="22" t="s">
        <v>4149</v>
      </c>
    </row>
    <row r="127" spans="14:19" ht="52">
      <c r="N127" s="57" t="s">
        <v>3212</v>
      </c>
      <c r="O127" s="22" t="s">
        <v>2517</v>
      </c>
      <c r="R127" s="22" t="s">
        <v>3531</v>
      </c>
      <c r="S127" s="22" t="s">
        <v>4150</v>
      </c>
    </row>
    <row r="128" spans="14:19">
      <c r="N128" s="22" t="s">
        <v>3227</v>
      </c>
      <c r="O128" s="22" t="s">
        <v>3215</v>
      </c>
      <c r="R128" s="22" t="s">
        <v>3532</v>
      </c>
      <c r="S128" s="22" t="s">
        <v>4151</v>
      </c>
    </row>
    <row r="129" spans="14:19">
      <c r="N129" s="22" t="s">
        <v>3239</v>
      </c>
      <c r="O129" s="22" t="s">
        <v>2518</v>
      </c>
      <c r="R129" s="22" t="s">
        <v>3533</v>
      </c>
      <c r="S129" s="22" t="s">
        <v>4152</v>
      </c>
    </row>
    <row r="130" spans="14:19">
      <c r="N130" s="22" t="s">
        <v>3304</v>
      </c>
      <c r="O130" s="22" t="s">
        <v>2519</v>
      </c>
      <c r="R130" s="22" t="s">
        <v>3534</v>
      </c>
      <c r="S130" s="22" t="s">
        <v>4153</v>
      </c>
    </row>
    <row r="131" spans="14:19">
      <c r="N131" s="22" t="s">
        <v>3299</v>
      </c>
      <c r="O131" s="22" t="s">
        <v>2520</v>
      </c>
      <c r="R131" s="22" t="s">
        <v>3535</v>
      </c>
      <c r="S131" s="22" t="s">
        <v>4154</v>
      </c>
    </row>
    <row r="132" spans="14:19">
      <c r="N132" s="22" t="s">
        <v>2924</v>
      </c>
      <c r="O132" s="22" t="s">
        <v>2521</v>
      </c>
      <c r="R132" s="22" t="s">
        <v>3536</v>
      </c>
      <c r="S132" s="22" t="s">
        <v>4155</v>
      </c>
    </row>
    <row r="133" spans="14:19">
      <c r="N133" s="22" t="s">
        <v>3286</v>
      </c>
      <c r="O133" s="22" t="s">
        <v>2522</v>
      </c>
      <c r="R133" s="22" t="s">
        <v>3537</v>
      </c>
      <c r="S133" s="22" t="s">
        <v>4156</v>
      </c>
    </row>
    <row r="134" spans="14:19">
      <c r="N134" s="22" t="s">
        <v>2925</v>
      </c>
      <c r="O134" s="22" t="s">
        <v>2523</v>
      </c>
      <c r="R134" s="22" t="s">
        <v>3538</v>
      </c>
      <c r="S134" s="22" t="s">
        <v>4157</v>
      </c>
    </row>
    <row r="135" spans="14:19">
      <c r="N135" s="22" t="s">
        <v>2926</v>
      </c>
      <c r="O135" s="22" t="s">
        <v>2524</v>
      </c>
      <c r="R135" s="22" t="s">
        <v>3539</v>
      </c>
      <c r="S135" s="22" t="s">
        <v>4158</v>
      </c>
    </row>
    <row r="136" spans="14:19">
      <c r="N136" s="22" t="s">
        <v>2927</v>
      </c>
      <c r="O136" s="22" t="s">
        <v>2525</v>
      </c>
      <c r="R136" s="22" t="s">
        <v>3540</v>
      </c>
      <c r="S136" s="22" t="s">
        <v>4159</v>
      </c>
    </row>
    <row r="137" spans="14:19">
      <c r="N137" s="22" t="s">
        <v>2873</v>
      </c>
      <c r="O137" s="22" t="s">
        <v>2526</v>
      </c>
      <c r="R137" s="22" t="s">
        <v>3541</v>
      </c>
      <c r="S137" s="22" t="s">
        <v>4160</v>
      </c>
    </row>
    <row r="138" spans="14:19">
      <c r="N138" s="22" t="s">
        <v>3251</v>
      </c>
      <c r="O138" s="22" t="s">
        <v>3216</v>
      </c>
      <c r="R138" s="22" t="s">
        <v>3542</v>
      </c>
      <c r="S138" s="22" t="s">
        <v>4161</v>
      </c>
    </row>
    <row r="139" spans="14:19">
      <c r="N139" s="22" t="s">
        <v>2928</v>
      </c>
      <c r="O139" s="22" t="s">
        <v>2527</v>
      </c>
      <c r="R139" s="22" t="s">
        <v>3543</v>
      </c>
      <c r="S139" s="22" t="s">
        <v>4162</v>
      </c>
    </row>
    <row r="140" spans="14:19">
      <c r="N140" s="22" t="s">
        <v>3336</v>
      </c>
      <c r="O140" s="22" t="s">
        <v>2528</v>
      </c>
      <c r="R140" s="22" t="s">
        <v>3544</v>
      </c>
      <c r="S140" s="22" t="s">
        <v>4163</v>
      </c>
    </row>
    <row r="141" spans="14:19">
      <c r="N141" s="22" t="s">
        <v>3253</v>
      </c>
      <c r="O141" s="22" t="s">
        <v>2529</v>
      </c>
      <c r="R141" s="22" t="s">
        <v>3545</v>
      </c>
      <c r="S141" s="22" t="s">
        <v>4164</v>
      </c>
    </row>
    <row r="142" spans="14:19">
      <c r="N142" s="22" t="s">
        <v>2929</v>
      </c>
      <c r="O142" s="22" t="s">
        <v>2530</v>
      </c>
      <c r="R142" s="22" t="s">
        <v>3546</v>
      </c>
      <c r="S142" s="22" t="s">
        <v>4165</v>
      </c>
    </row>
    <row r="143" spans="14:19">
      <c r="N143" s="22" t="s">
        <v>3276</v>
      </c>
      <c r="O143" s="22" t="s">
        <v>2531</v>
      </c>
      <c r="R143" s="22" t="s">
        <v>3547</v>
      </c>
      <c r="S143" s="22" t="s">
        <v>4166</v>
      </c>
    </row>
    <row r="144" spans="14:19">
      <c r="N144" s="22" t="s">
        <v>2871</v>
      </c>
      <c r="O144" s="22" t="s">
        <v>2532</v>
      </c>
      <c r="R144" s="22" t="s">
        <v>3548</v>
      </c>
      <c r="S144" s="22" t="s">
        <v>4167</v>
      </c>
    </row>
    <row r="145" spans="14:19">
      <c r="N145" s="22" t="s">
        <v>2930</v>
      </c>
      <c r="O145" s="22" t="s">
        <v>2533</v>
      </c>
      <c r="R145" s="22" t="s">
        <v>3549</v>
      </c>
      <c r="S145" s="22" t="s">
        <v>4168</v>
      </c>
    </row>
    <row r="146" spans="14:19">
      <c r="N146" s="22" t="s">
        <v>2931</v>
      </c>
      <c r="O146" s="22" t="s">
        <v>2534</v>
      </c>
      <c r="R146" s="22" t="s">
        <v>3550</v>
      </c>
      <c r="S146" s="22" t="s">
        <v>4169</v>
      </c>
    </row>
    <row r="147" spans="14:19">
      <c r="N147" s="22" t="s">
        <v>2932</v>
      </c>
      <c r="O147" s="22" t="s">
        <v>2535</v>
      </c>
      <c r="R147" s="22" t="s">
        <v>3551</v>
      </c>
      <c r="S147" s="22" t="s">
        <v>4170</v>
      </c>
    </row>
    <row r="148" spans="14:19">
      <c r="N148" s="22" t="s">
        <v>2933</v>
      </c>
      <c r="O148" s="22" t="s">
        <v>2536</v>
      </c>
      <c r="R148" s="22" t="s">
        <v>3552</v>
      </c>
      <c r="S148" s="22" t="s">
        <v>4171</v>
      </c>
    </row>
    <row r="149" spans="14:19">
      <c r="N149" s="22" t="s">
        <v>2934</v>
      </c>
      <c r="O149" s="22" t="s">
        <v>2537</v>
      </c>
      <c r="R149" s="22" t="s">
        <v>3553</v>
      </c>
      <c r="S149" s="22" t="s">
        <v>4172</v>
      </c>
    </row>
    <row r="150" spans="14:19">
      <c r="N150" s="22" t="s">
        <v>2935</v>
      </c>
      <c r="O150" s="22" t="s">
        <v>2538</v>
      </c>
      <c r="R150" s="22" t="s">
        <v>3554</v>
      </c>
      <c r="S150" s="22" t="s">
        <v>4173</v>
      </c>
    </row>
    <row r="151" spans="14:19">
      <c r="N151" s="22" t="s">
        <v>3277</v>
      </c>
      <c r="O151" s="22" t="s">
        <v>2539</v>
      </c>
      <c r="R151" s="22" t="s">
        <v>3555</v>
      </c>
      <c r="S151" s="22" t="s">
        <v>4174</v>
      </c>
    </row>
    <row r="152" spans="14:19">
      <c r="N152" s="22" t="s">
        <v>3300</v>
      </c>
      <c r="O152" s="22" t="s">
        <v>2540</v>
      </c>
      <c r="R152" s="22" t="s">
        <v>3556</v>
      </c>
      <c r="S152" s="22" t="s">
        <v>4175</v>
      </c>
    </row>
    <row r="153" spans="14:19">
      <c r="N153" s="22" t="s">
        <v>2936</v>
      </c>
      <c r="O153" s="22" t="s">
        <v>2541</v>
      </c>
      <c r="R153" s="22" t="s">
        <v>3557</v>
      </c>
      <c r="S153" s="22" t="s">
        <v>4176</v>
      </c>
    </row>
    <row r="154" spans="14:19">
      <c r="N154" s="22" t="s">
        <v>2937</v>
      </c>
      <c r="O154" s="22" t="s">
        <v>3217</v>
      </c>
      <c r="R154" s="22" t="s">
        <v>3558</v>
      </c>
      <c r="S154" s="22" t="s">
        <v>4177</v>
      </c>
    </row>
    <row r="155" spans="14:19">
      <c r="N155" s="22" t="s">
        <v>2867</v>
      </c>
      <c r="O155" s="22" t="s">
        <v>2542</v>
      </c>
      <c r="R155" s="22" t="s">
        <v>3559</v>
      </c>
      <c r="S155" s="22" t="s">
        <v>4178</v>
      </c>
    </row>
    <row r="156" spans="14:19">
      <c r="N156" s="22" t="s">
        <v>3315</v>
      </c>
      <c r="O156" s="22" t="s">
        <v>2543</v>
      </c>
      <c r="R156" s="22" t="s">
        <v>3560</v>
      </c>
      <c r="S156" s="22" t="s">
        <v>4179</v>
      </c>
    </row>
    <row r="157" spans="14:19">
      <c r="N157" s="22" t="s">
        <v>2938</v>
      </c>
      <c r="O157" s="22" t="s">
        <v>2544</v>
      </c>
      <c r="R157" s="22" t="s">
        <v>3561</v>
      </c>
      <c r="S157" s="22" t="s">
        <v>4180</v>
      </c>
    </row>
    <row r="158" spans="14:19">
      <c r="N158" s="22" t="s">
        <v>3305</v>
      </c>
      <c r="O158" s="22" t="s">
        <v>2545</v>
      </c>
      <c r="R158" s="22" t="s">
        <v>3562</v>
      </c>
      <c r="S158" s="22" t="s">
        <v>4181</v>
      </c>
    </row>
    <row r="159" spans="14:19">
      <c r="N159" s="22" t="s">
        <v>3321</v>
      </c>
      <c r="O159" s="22" t="s">
        <v>2546</v>
      </c>
      <c r="R159" s="22" t="s">
        <v>3563</v>
      </c>
      <c r="S159" s="22" t="s">
        <v>4182</v>
      </c>
    </row>
    <row r="160" spans="14:19">
      <c r="N160" s="22" t="s">
        <v>3301</v>
      </c>
      <c r="O160" s="22" t="s">
        <v>2547</v>
      </c>
      <c r="R160" s="22" t="s">
        <v>3564</v>
      </c>
      <c r="S160" s="22" t="s">
        <v>4183</v>
      </c>
    </row>
    <row r="161" spans="14:19">
      <c r="N161" s="22" t="s">
        <v>2939</v>
      </c>
      <c r="O161" s="22" t="s">
        <v>2548</v>
      </c>
      <c r="R161" s="22" t="s">
        <v>3565</v>
      </c>
      <c r="S161" s="22" t="s">
        <v>4184</v>
      </c>
    </row>
    <row r="162" spans="14:19">
      <c r="N162" s="22" t="s">
        <v>2940</v>
      </c>
      <c r="O162" s="22" t="s">
        <v>2549</v>
      </c>
      <c r="R162" s="22" t="s">
        <v>3566</v>
      </c>
      <c r="S162" s="22" t="s">
        <v>4185</v>
      </c>
    </row>
    <row r="163" spans="14:19">
      <c r="N163" s="22" t="s">
        <v>3207</v>
      </c>
      <c r="O163" s="22" t="s">
        <v>2549</v>
      </c>
      <c r="R163" s="22" t="s">
        <v>3567</v>
      </c>
      <c r="S163" s="22" t="s">
        <v>4186</v>
      </c>
    </row>
    <row r="164" spans="14:19">
      <c r="N164" s="22" t="s">
        <v>3209</v>
      </c>
      <c r="O164" s="22" t="s">
        <v>2550</v>
      </c>
      <c r="R164" s="22" t="s">
        <v>3568</v>
      </c>
      <c r="S164" s="22" t="s">
        <v>4187</v>
      </c>
    </row>
    <row r="165" spans="14:19">
      <c r="N165" s="22" t="s">
        <v>2941</v>
      </c>
      <c r="O165" s="22" t="s">
        <v>2551</v>
      </c>
      <c r="R165" s="22" t="s">
        <v>3569</v>
      </c>
      <c r="S165" s="22" t="s">
        <v>4188</v>
      </c>
    </row>
    <row r="166" spans="14:19">
      <c r="N166" s="22" t="s">
        <v>3337</v>
      </c>
      <c r="O166" s="22" t="s">
        <v>2552</v>
      </c>
      <c r="R166" s="22" t="s">
        <v>3570</v>
      </c>
      <c r="S166" s="22" t="s">
        <v>4189</v>
      </c>
    </row>
    <row r="167" spans="14:19">
      <c r="N167" s="22" t="s">
        <v>3203</v>
      </c>
      <c r="O167" s="22" t="s">
        <v>2553</v>
      </c>
      <c r="R167" s="22" t="s">
        <v>3571</v>
      </c>
      <c r="S167" s="22" t="s">
        <v>4190</v>
      </c>
    </row>
    <row r="168" spans="14:19">
      <c r="N168" s="22" t="s">
        <v>2942</v>
      </c>
      <c r="O168" s="22" t="s">
        <v>2554</v>
      </c>
      <c r="R168" s="22" t="s">
        <v>3572</v>
      </c>
      <c r="S168" s="22" t="s">
        <v>4191</v>
      </c>
    </row>
    <row r="169" spans="14:19">
      <c r="N169" s="22" t="s">
        <v>2943</v>
      </c>
      <c r="O169" s="22" t="s">
        <v>2555</v>
      </c>
      <c r="R169" s="22" t="s">
        <v>3573</v>
      </c>
      <c r="S169" s="22" t="s">
        <v>4192</v>
      </c>
    </row>
    <row r="170" spans="14:19">
      <c r="N170" s="22" t="s">
        <v>3278</v>
      </c>
      <c r="O170" s="22" t="s">
        <v>2556</v>
      </c>
      <c r="R170" s="22" t="s">
        <v>3574</v>
      </c>
      <c r="S170" s="22" t="s">
        <v>4193</v>
      </c>
    </row>
    <row r="171" spans="14:19">
      <c r="N171" s="22" t="s">
        <v>2364</v>
      </c>
      <c r="O171" s="22" t="s">
        <v>3218</v>
      </c>
      <c r="R171" s="22" t="s">
        <v>3575</v>
      </c>
      <c r="S171" s="22" t="s">
        <v>4194</v>
      </c>
    </row>
    <row r="172" spans="14:19">
      <c r="N172" s="22" t="s">
        <v>2944</v>
      </c>
      <c r="O172" s="22" t="s">
        <v>2557</v>
      </c>
      <c r="R172" s="22" t="s">
        <v>3576</v>
      </c>
      <c r="S172" s="22" t="s">
        <v>4195</v>
      </c>
    </row>
    <row r="173" spans="14:19">
      <c r="N173" s="22" t="s">
        <v>2851</v>
      </c>
      <c r="O173" s="22" t="s">
        <v>2558</v>
      </c>
      <c r="R173" s="22" t="s">
        <v>3577</v>
      </c>
      <c r="S173" s="22" t="s">
        <v>4196</v>
      </c>
    </row>
    <row r="174" spans="14:19">
      <c r="N174" s="22" t="s">
        <v>3294</v>
      </c>
      <c r="O174" s="22" t="s">
        <v>2559</v>
      </c>
      <c r="R174" s="22" t="s">
        <v>3578</v>
      </c>
      <c r="S174" s="22" t="s">
        <v>4197</v>
      </c>
    </row>
    <row r="175" spans="14:19">
      <c r="N175" s="22" t="s">
        <v>2945</v>
      </c>
      <c r="O175" s="22" t="s">
        <v>2560</v>
      </c>
      <c r="R175" s="22" t="s">
        <v>3579</v>
      </c>
      <c r="S175" s="22" t="s">
        <v>4198</v>
      </c>
    </row>
    <row r="176" spans="14:19">
      <c r="N176" s="22" t="s">
        <v>2946</v>
      </c>
      <c r="O176" s="22" t="s">
        <v>2561</v>
      </c>
      <c r="R176" s="22" t="s">
        <v>3580</v>
      </c>
      <c r="S176" s="22" t="s">
        <v>4199</v>
      </c>
    </row>
    <row r="177" spans="14:19">
      <c r="N177" s="22" t="s">
        <v>3345</v>
      </c>
      <c r="O177" s="22" t="s">
        <v>2562</v>
      </c>
      <c r="R177" s="22" t="s">
        <v>3581</v>
      </c>
      <c r="S177" s="22" t="s">
        <v>4200</v>
      </c>
    </row>
    <row r="178" spans="14:19">
      <c r="N178" s="22" t="s">
        <v>2947</v>
      </c>
      <c r="O178" s="22" t="s">
        <v>2563</v>
      </c>
      <c r="R178" s="22" t="s">
        <v>3582</v>
      </c>
      <c r="S178" s="22" t="s">
        <v>4201</v>
      </c>
    </row>
    <row r="179" spans="14:19">
      <c r="N179" s="22" t="s">
        <v>3206</v>
      </c>
      <c r="O179" s="22" t="s">
        <v>2564</v>
      </c>
      <c r="R179" s="22" t="s">
        <v>3583</v>
      </c>
      <c r="S179" s="22" t="s">
        <v>4202</v>
      </c>
    </row>
    <row r="180" spans="14:19">
      <c r="N180" s="22" t="s">
        <v>2948</v>
      </c>
      <c r="O180" s="22" t="s">
        <v>2565</v>
      </c>
      <c r="R180" s="22" t="s">
        <v>3584</v>
      </c>
      <c r="S180" s="22" t="s">
        <v>4203</v>
      </c>
    </row>
    <row r="181" spans="14:19">
      <c r="N181" s="22" t="s">
        <v>3318</v>
      </c>
      <c r="O181" s="22" t="s">
        <v>2566</v>
      </c>
      <c r="R181" s="22" t="s">
        <v>3585</v>
      </c>
      <c r="S181" s="22" t="s">
        <v>4204</v>
      </c>
    </row>
    <row r="182" spans="14:19">
      <c r="N182" s="22" t="s">
        <v>2949</v>
      </c>
      <c r="O182" s="22" t="s">
        <v>2567</v>
      </c>
      <c r="R182" s="22" t="s">
        <v>3586</v>
      </c>
      <c r="S182" s="22" t="s">
        <v>4205</v>
      </c>
    </row>
    <row r="183" spans="14:19">
      <c r="N183" s="22" t="s">
        <v>2950</v>
      </c>
      <c r="O183" s="22" t="s">
        <v>2567</v>
      </c>
      <c r="R183" s="22" t="s">
        <v>3587</v>
      </c>
      <c r="S183" s="22" t="s">
        <v>4206</v>
      </c>
    </row>
    <row r="184" spans="14:19">
      <c r="N184" s="22" t="s">
        <v>2951</v>
      </c>
      <c r="O184" s="22" t="s">
        <v>2568</v>
      </c>
      <c r="R184" s="22" t="s">
        <v>3588</v>
      </c>
      <c r="S184" s="22" t="s">
        <v>4207</v>
      </c>
    </row>
    <row r="185" spans="14:19">
      <c r="N185" s="22" t="s">
        <v>2952</v>
      </c>
      <c r="O185" s="22" t="s">
        <v>2569</v>
      </c>
      <c r="R185" s="22" t="s">
        <v>3589</v>
      </c>
      <c r="S185" s="22" t="s">
        <v>4208</v>
      </c>
    </row>
    <row r="186" spans="14:19">
      <c r="N186" s="22" t="s">
        <v>2953</v>
      </c>
      <c r="O186" s="22" t="s">
        <v>2570</v>
      </c>
      <c r="R186" s="22" t="s">
        <v>3590</v>
      </c>
      <c r="S186" s="22" t="s">
        <v>4209</v>
      </c>
    </row>
    <row r="187" spans="14:19">
      <c r="N187" s="22" t="s">
        <v>3176</v>
      </c>
      <c r="O187" s="22" t="s">
        <v>2571</v>
      </c>
      <c r="R187" s="22" t="s">
        <v>3591</v>
      </c>
      <c r="S187" s="22" t="s">
        <v>4210</v>
      </c>
    </row>
    <row r="188" spans="14:19">
      <c r="N188" s="22" t="s">
        <v>2954</v>
      </c>
      <c r="O188" s="22" t="s">
        <v>2572</v>
      </c>
      <c r="R188" s="22" t="s">
        <v>3592</v>
      </c>
      <c r="S188" s="22" t="s">
        <v>4211</v>
      </c>
    </row>
    <row r="189" spans="14:19">
      <c r="N189" s="22" t="s">
        <v>3287</v>
      </c>
      <c r="O189" s="22" t="s">
        <v>2573</v>
      </c>
      <c r="R189" s="22" t="s">
        <v>3593</v>
      </c>
      <c r="S189" s="22" t="s">
        <v>4212</v>
      </c>
    </row>
    <row r="190" spans="14:19">
      <c r="N190" s="22" t="s">
        <v>3181</v>
      </c>
      <c r="O190" s="22" t="s">
        <v>2574</v>
      </c>
      <c r="R190" s="22" t="s">
        <v>3594</v>
      </c>
      <c r="S190" s="22" t="s">
        <v>4213</v>
      </c>
    </row>
    <row r="191" spans="14:19">
      <c r="N191" s="22" t="s">
        <v>3196</v>
      </c>
      <c r="O191" s="22" t="s">
        <v>2575</v>
      </c>
      <c r="R191" s="22" t="s">
        <v>3595</v>
      </c>
      <c r="S191" s="22" t="s">
        <v>4214</v>
      </c>
    </row>
    <row r="192" spans="14:19">
      <c r="N192" s="22" t="s">
        <v>3193</v>
      </c>
      <c r="O192" s="22" t="s">
        <v>2576</v>
      </c>
      <c r="R192" s="22" t="s">
        <v>3596</v>
      </c>
      <c r="S192" s="22" t="s">
        <v>4215</v>
      </c>
    </row>
    <row r="193" spans="14:19">
      <c r="N193" s="22" t="s">
        <v>3192</v>
      </c>
      <c r="O193" s="22" t="s">
        <v>2577</v>
      </c>
      <c r="R193" s="22" t="s">
        <v>3597</v>
      </c>
      <c r="S193" s="22" t="s">
        <v>4216</v>
      </c>
    </row>
    <row r="194" spans="14:19">
      <c r="N194" s="22" t="s">
        <v>2955</v>
      </c>
      <c r="O194" s="22" t="s">
        <v>2578</v>
      </c>
      <c r="R194" s="22" t="s">
        <v>3598</v>
      </c>
      <c r="S194" s="22" t="s">
        <v>4217</v>
      </c>
    </row>
    <row r="195" spans="14:19">
      <c r="N195" s="22" t="s">
        <v>3306</v>
      </c>
      <c r="O195" s="22" t="s">
        <v>2579</v>
      </c>
      <c r="R195" s="22" t="s">
        <v>3599</v>
      </c>
      <c r="S195" s="22" t="s">
        <v>4218</v>
      </c>
    </row>
    <row r="196" spans="14:19">
      <c r="N196" s="22" t="s">
        <v>2956</v>
      </c>
      <c r="O196" s="22" t="s">
        <v>2579</v>
      </c>
      <c r="R196" s="22" t="s">
        <v>3600</v>
      </c>
      <c r="S196" s="22" t="s">
        <v>4219</v>
      </c>
    </row>
    <row r="197" spans="14:19">
      <c r="N197" s="22" t="s">
        <v>3279</v>
      </c>
      <c r="O197" s="22" t="s">
        <v>2580</v>
      </c>
      <c r="R197" s="22" t="s">
        <v>3601</v>
      </c>
      <c r="S197" s="22" t="s">
        <v>4220</v>
      </c>
    </row>
    <row r="198" spans="14:19">
      <c r="N198" s="22" t="s">
        <v>2957</v>
      </c>
      <c r="O198" s="22" t="s">
        <v>2581</v>
      </c>
      <c r="R198" s="22" t="s">
        <v>3602</v>
      </c>
      <c r="S198" s="22" t="s">
        <v>4221</v>
      </c>
    </row>
    <row r="199" spans="14:19">
      <c r="N199" s="22" t="s">
        <v>2958</v>
      </c>
      <c r="O199" s="22" t="s">
        <v>2582</v>
      </c>
      <c r="R199" s="22" t="s">
        <v>3603</v>
      </c>
      <c r="S199" s="22" t="s">
        <v>4222</v>
      </c>
    </row>
    <row r="200" spans="14:19">
      <c r="N200" s="22" t="s">
        <v>2959</v>
      </c>
      <c r="O200" s="22" t="s">
        <v>2583</v>
      </c>
      <c r="R200" s="22" t="s">
        <v>3604</v>
      </c>
      <c r="S200" s="22" t="s">
        <v>4223</v>
      </c>
    </row>
    <row r="201" spans="14:19">
      <c r="N201" s="22" t="s">
        <v>2960</v>
      </c>
      <c r="O201" s="22" t="s">
        <v>2584</v>
      </c>
      <c r="R201" s="22" t="s">
        <v>3605</v>
      </c>
      <c r="S201" s="22" t="s">
        <v>4224</v>
      </c>
    </row>
    <row r="202" spans="14:19">
      <c r="N202" s="22" t="s">
        <v>3228</v>
      </c>
      <c r="O202" s="22" t="s">
        <v>2585</v>
      </c>
      <c r="R202" s="22" t="s">
        <v>3606</v>
      </c>
      <c r="S202" s="22" t="s">
        <v>4225</v>
      </c>
    </row>
    <row r="203" spans="14:19">
      <c r="N203" s="22" t="s">
        <v>3302</v>
      </c>
      <c r="O203" s="22" t="s">
        <v>2586</v>
      </c>
      <c r="R203" s="22" t="s">
        <v>3607</v>
      </c>
      <c r="S203" s="22" t="s">
        <v>4226</v>
      </c>
    </row>
    <row r="204" spans="14:19">
      <c r="N204" s="22" t="s">
        <v>3338</v>
      </c>
      <c r="O204" s="22" t="s">
        <v>2587</v>
      </c>
      <c r="R204" s="22" t="s">
        <v>4293</v>
      </c>
      <c r="S204" s="22" t="s">
        <v>4227</v>
      </c>
    </row>
    <row r="205" spans="14:19">
      <c r="N205" s="22" t="s">
        <v>3327</v>
      </c>
      <c r="O205" s="22" t="s">
        <v>2588</v>
      </c>
      <c r="R205" s="22" t="s">
        <v>4294</v>
      </c>
      <c r="S205" s="22" t="s">
        <v>4228</v>
      </c>
    </row>
    <row r="206" spans="14:19">
      <c r="N206" s="22" t="s">
        <v>3295</v>
      </c>
      <c r="O206" s="22" t="s">
        <v>2589</v>
      </c>
      <c r="R206" s="22" t="s">
        <v>4295</v>
      </c>
      <c r="S206" s="22" t="s">
        <v>4229</v>
      </c>
    </row>
    <row r="207" spans="14:19">
      <c r="N207" s="22" t="s">
        <v>3316</v>
      </c>
      <c r="O207" s="22" t="s">
        <v>2590</v>
      </c>
      <c r="R207" s="22" t="s">
        <v>4296</v>
      </c>
      <c r="S207" s="22" t="s">
        <v>4230</v>
      </c>
    </row>
    <row r="208" spans="14:19">
      <c r="N208" s="22" t="s">
        <v>3254</v>
      </c>
      <c r="O208" s="22" t="s">
        <v>2591</v>
      </c>
      <c r="R208" s="22" t="s">
        <v>4297</v>
      </c>
      <c r="S208" s="22" t="s">
        <v>4231</v>
      </c>
    </row>
    <row r="209" spans="14:19">
      <c r="N209" s="22" t="s">
        <v>3230</v>
      </c>
      <c r="O209" s="22" t="s">
        <v>2592</v>
      </c>
      <c r="R209" s="22" t="s">
        <v>4298</v>
      </c>
      <c r="S209" s="22" t="s">
        <v>4232</v>
      </c>
    </row>
    <row r="210" spans="14:19">
      <c r="N210" s="22" t="s">
        <v>3322</v>
      </c>
      <c r="O210" s="22" t="s">
        <v>2593</v>
      </c>
      <c r="R210" s="22" t="s">
        <v>4299</v>
      </c>
      <c r="S210" s="22" t="s">
        <v>4233</v>
      </c>
    </row>
    <row r="211" spans="14:19">
      <c r="N211" s="22" t="s">
        <v>3317</v>
      </c>
      <c r="O211" s="22" t="s">
        <v>2594</v>
      </c>
      <c r="R211" s="22" t="s">
        <v>4310</v>
      </c>
      <c r="S211" s="22" t="s">
        <v>4234</v>
      </c>
    </row>
    <row r="212" spans="14:19">
      <c r="N212" s="22" t="s">
        <v>3280</v>
      </c>
      <c r="O212" s="22" t="s">
        <v>2595</v>
      </c>
      <c r="R212" s="22" t="s">
        <v>3608</v>
      </c>
      <c r="S212" s="22" t="s">
        <v>4235</v>
      </c>
    </row>
    <row r="213" spans="14:19">
      <c r="N213" s="22" t="s">
        <v>2961</v>
      </c>
      <c r="O213" s="22" t="s">
        <v>2596</v>
      </c>
      <c r="R213" s="22" t="s">
        <v>3609</v>
      </c>
      <c r="S213" s="22" t="s">
        <v>4236</v>
      </c>
    </row>
    <row r="214" spans="14:19">
      <c r="N214" s="22" t="s">
        <v>2962</v>
      </c>
      <c r="O214" s="22" t="s">
        <v>2597</v>
      </c>
      <c r="R214" s="22" t="s">
        <v>3610</v>
      </c>
      <c r="S214" s="22" t="s">
        <v>4237</v>
      </c>
    </row>
    <row r="215" spans="14:19">
      <c r="N215" s="22" t="s">
        <v>3201</v>
      </c>
      <c r="O215" s="22" t="s">
        <v>2598</v>
      </c>
      <c r="R215" s="22" t="s">
        <v>3611</v>
      </c>
      <c r="S215" s="22" t="s">
        <v>4238</v>
      </c>
    </row>
    <row r="216" spans="14:19">
      <c r="N216" s="22" t="s">
        <v>3232</v>
      </c>
      <c r="O216" s="22" t="s">
        <v>2599</v>
      </c>
      <c r="R216" s="22" t="s">
        <v>3612</v>
      </c>
      <c r="S216" s="22" t="s">
        <v>4239</v>
      </c>
    </row>
    <row r="217" spans="14:19">
      <c r="N217" s="22" t="s">
        <v>2963</v>
      </c>
      <c r="O217" s="22" t="s">
        <v>3307</v>
      </c>
      <c r="R217" s="22" t="s">
        <v>3613</v>
      </c>
      <c r="S217" s="22" t="s">
        <v>4240</v>
      </c>
    </row>
    <row r="218" spans="14:19">
      <c r="N218" s="22" t="s">
        <v>2869</v>
      </c>
      <c r="O218" s="22" t="s">
        <v>3289</v>
      </c>
      <c r="R218" s="22" t="s">
        <v>3614</v>
      </c>
      <c r="S218" s="22" t="s">
        <v>4241</v>
      </c>
    </row>
    <row r="219" spans="14:19">
      <c r="N219" s="22" t="s">
        <v>3296</v>
      </c>
      <c r="O219" s="22" t="s">
        <v>2600</v>
      </c>
      <c r="R219" s="22" t="s">
        <v>3615</v>
      </c>
      <c r="S219" s="22" t="s">
        <v>4242</v>
      </c>
    </row>
    <row r="220" spans="14:19">
      <c r="N220" s="22" t="s">
        <v>2964</v>
      </c>
      <c r="O220" s="22" t="s">
        <v>2601</v>
      </c>
      <c r="R220" s="22" t="s">
        <v>3616</v>
      </c>
      <c r="S220" s="22" t="s">
        <v>4243</v>
      </c>
    </row>
    <row r="221" spans="14:19">
      <c r="N221" s="22" t="s">
        <v>2965</v>
      </c>
      <c r="O221" s="22" t="s">
        <v>2602</v>
      </c>
      <c r="R221" s="22" t="s">
        <v>3617</v>
      </c>
      <c r="S221" s="22" t="s">
        <v>4244</v>
      </c>
    </row>
    <row r="222" spans="14:19">
      <c r="N222" s="22" t="s">
        <v>2849</v>
      </c>
      <c r="O222" s="22" t="s">
        <v>2603</v>
      </c>
      <c r="R222" s="22" t="s">
        <v>3618</v>
      </c>
      <c r="S222" s="22" t="s">
        <v>4245</v>
      </c>
    </row>
    <row r="223" spans="14:19">
      <c r="N223" s="22" t="s">
        <v>3281</v>
      </c>
      <c r="O223" s="22" t="s">
        <v>2604</v>
      </c>
      <c r="R223" s="22" t="s">
        <v>3619</v>
      </c>
      <c r="S223" s="22" t="s">
        <v>4246</v>
      </c>
    </row>
    <row r="224" spans="14:19">
      <c r="O224" s="22" t="s">
        <v>2605</v>
      </c>
      <c r="R224" s="22" t="s">
        <v>3620</v>
      </c>
      <c r="S224" s="22" t="s">
        <v>4247</v>
      </c>
    </row>
    <row r="225" spans="15:19">
      <c r="O225" s="22" t="s">
        <v>2605</v>
      </c>
      <c r="R225" s="22" t="s">
        <v>3621</v>
      </c>
      <c r="S225" s="22" t="s">
        <v>4248</v>
      </c>
    </row>
    <row r="226" spans="15:19">
      <c r="O226" s="22" t="s">
        <v>2606</v>
      </c>
      <c r="R226" s="22" t="s">
        <v>3622</v>
      </c>
      <c r="S226" s="22" t="s">
        <v>4249</v>
      </c>
    </row>
    <row r="227" spans="15:19">
      <c r="O227" s="22" t="s">
        <v>2607</v>
      </c>
      <c r="R227" s="22" t="s">
        <v>3623</v>
      </c>
      <c r="S227" s="22" t="s">
        <v>4250</v>
      </c>
    </row>
    <row r="228" spans="15:19">
      <c r="O228" s="22" t="s">
        <v>2608</v>
      </c>
      <c r="R228" s="22" t="s">
        <v>3624</v>
      </c>
      <c r="S228" s="22" t="s">
        <v>4251</v>
      </c>
    </row>
    <row r="229" spans="15:19">
      <c r="O229" s="22" t="s">
        <v>2609</v>
      </c>
      <c r="R229" s="22" t="s">
        <v>3625</v>
      </c>
      <c r="S229" s="22" t="s">
        <v>4252</v>
      </c>
    </row>
    <row r="230" spans="15:19">
      <c r="O230" s="22" t="s">
        <v>2610</v>
      </c>
      <c r="R230" s="22" t="s">
        <v>3626</v>
      </c>
      <c r="S230" s="22" t="s">
        <v>4253</v>
      </c>
    </row>
    <row r="231" spans="15:19">
      <c r="O231" s="22" t="s">
        <v>2611</v>
      </c>
      <c r="R231" s="22" t="s">
        <v>3627</v>
      </c>
      <c r="S231" s="22" t="s">
        <v>4254</v>
      </c>
    </row>
    <row r="232" spans="15:19">
      <c r="O232" s="22" t="s">
        <v>2612</v>
      </c>
      <c r="R232" s="22" t="s">
        <v>3628</v>
      </c>
      <c r="S232" s="22" t="s">
        <v>4255</v>
      </c>
    </row>
    <row r="233" spans="15:19">
      <c r="O233" s="22" t="s">
        <v>2613</v>
      </c>
      <c r="R233" s="22" t="s">
        <v>3629</v>
      </c>
      <c r="S233" s="22" t="s">
        <v>4256</v>
      </c>
    </row>
    <row r="234" spans="15:19">
      <c r="O234" s="22" t="s">
        <v>2614</v>
      </c>
      <c r="R234" s="22" t="s">
        <v>3630</v>
      </c>
    </row>
    <row r="235" spans="15:19">
      <c r="O235" s="22" t="s">
        <v>2615</v>
      </c>
      <c r="R235" s="22" t="s">
        <v>3631</v>
      </c>
    </row>
    <row r="236" spans="15:19">
      <c r="O236" s="22" t="s">
        <v>2616</v>
      </c>
      <c r="R236" s="22" t="s">
        <v>3632</v>
      </c>
    </row>
    <row r="237" spans="15:19">
      <c r="O237" s="22" t="s">
        <v>2617</v>
      </c>
      <c r="R237" s="22" t="s">
        <v>3633</v>
      </c>
    </row>
    <row r="238" spans="15:19">
      <c r="O238" s="22" t="s">
        <v>2617</v>
      </c>
      <c r="R238" s="22" t="s">
        <v>3634</v>
      </c>
    </row>
    <row r="239" spans="15:19">
      <c r="O239" s="22" t="s">
        <v>2618</v>
      </c>
      <c r="R239" s="22" t="s">
        <v>3635</v>
      </c>
    </row>
    <row r="240" spans="15:19">
      <c r="O240" s="22" t="s">
        <v>2619</v>
      </c>
      <c r="R240" s="22" t="s">
        <v>3636</v>
      </c>
    </row>
    <row r="241" spans="15:18">
      <c r="O241" s="22" t="s">
        <v>2620</v>
      </c>
      <c r="R241" s="22" t="s">
        <v>3637</v>
      </c>
    </row>
    <row r="242" spans="15:18">
      <c r="O242" s="22" t="s">
        <v>2621</v>
      </c>
      <c r="R242" s="22" t="s">
        <v>3638</v>
      </c>
    </row>
    <row r="243" spans="15:18">
      <c r="O243" s="22" t="s">
        <v>2622</v>
      </c>
      <c r="R243" s="22" t="s">
        <v>3639</v>
      </c>
    </row>
    <row r="244" spans="15:18">
      <c r="O244" s="22" t="s">
        <v>2623</v>
      </c>
      <c r="R244" s="22" t="s">
        <v>3640</v>
      </c>
    </row>
    <row r="245" spans="15:18">
      <c r="O245" s="22" t="s">
        <v>2624</v>
      </c>
      <c r="R245" s="22" t="s">
        <v>3641</v>
      </c>
    </row>
    <row r="246" spans="15:18">
      <c r="O246" s="22" t="s">
        <v>2625</v>
      </c>
      <c r="R246" s="22" t="s">
        <v>3642</v>
      </c>
    </row>
    <row r="247" spans="15:18">
      <c r="O247" s="22" t="s">
        <v>2626</v>
      </c>
      <c r="R247" s="22" t="s">
        <v>3643</v>
      </c>
    </row>
    <row r="248" spans="15:18">
      <c r="O248" s="22" t="s">
        <v>2627</v>
      </c>
      <c r="R248" s="22" t="s">
        <v>3644</v>
      </c>
    </row>
    <row r="249" spans="15:18">
      <c r="O249" s="22" t="s">
        <v>2628</v>
      </c>
      <c r="R249" s="22" t="s">
        <v>3645</v>
      </c>
    </row>
    <row r="250" spans="15:18">
      <c r="O250" s="22" t="s">
        <v>2628</v>
      </c>
      <c r="R250" s="22" t="s">
        <v>3646</v>
      </c>
    </row>
    <row r="251" spans="15:18">
      <c r="O251" s="22" t="s">
        <v>2629</v>
      </c>
      <c r="R251" s="22" t="s">
        <v>3647</v>
      </c>
    </row>
    <row r="252" spans="15:18">
      <c r="O252" s="22" t="s">
        <v>2630</v>
      </c>
      <c r="R252" s="22" t="s">
        <v>3648</v>
      </c>
    </row>
    <row r="253" spans="15:18">
      <c r="O253" s="22" t="s">
        <v>2631</v>
      </c>
      <c r="R253" s="22" t="s">
        <v>3649</v>
      </c>
    </row>
    <row r="254" spans="15:18">
      <c r="O254" s="22" t="s">
        <v>2632</v>
      </c>
      <c r="R254" s="22" t="s">
        <v>3650</v>
      </c>
    </row>
    <row r="255" spans="15:18">
      <c r="O255" s="22" t="s">
        <v>2633</v>
      </c>
      <c r="R255" s="22" t="s">
        <v>3651</v>
      </c>
    </row>
    <row r="256" spans="15:18">
      <c r="O256" s="22" t="s">
        <v>2634</v>
      </c>
      <c r="R256" s="22" t="s">
        <v>3652</v>
      </c>
    </row>
    <row r="257" spans="15:18">
      <c r="O257" s="22" t="s">
        <v>2635</v>
      </c>
      <c r="R257" s="22" t="s">
        <v>3653</v>
      </c>
    </row>
    <row r="258" spans="15:18">
      <c r="O258" s="22" t="s">
        <v>3308</v>
      </c>
      <c r="R258" s="22" t="s">
        <v>3654</v>
      </c>
    </row>
    <row r="259" spans="15:18">
      <c r="O259" s="22" t="s">
        <v>3290</v>
      </c>
      <c r="R259" s="22" t="s">
        <v>3655</v>
      </c>
    </row>
    <row r="260" spans="15:18">
      <c r="O260" s="22" t="s">
        <v>3219</v>
      </c>
      <c r="R260" s="22" t="s">
        <v>3656</v>
      </c>
    </row>
    <row r="261" spans="15:18">
      <c r="O261" s="22" t="s">
        <v>3220</v>
      </c>
      <c r="R261" s="22" t="s">
        <v>3657</v>
      </c>
    </row>
    <row r="262" spans="15:18">
      <c r="O262" s="22" t="s">
        <v>3221</v>
      </c>
      <c r="R262" s="22" t="s">
        <v>3658</v>
      </c>
    </row>
    <row r="263" spans="15:18">
      <c r="O263" s="22" t="s">
        <v>3222</v>
      </c>
      <c r="R263" s="22" t="s">
        <v>3659</v>
      </c>
    </row>
    <row r="264" spans="15:18">
      <c r="O264" s="22" t="s">
        <v>3223</v>
      </c>
      <c r="R264" s="22" t="s">
        <v>3660</v>
      </c>
    </row>
    <row r="265" spans="15:18">
      <c r="O265" s="22" t="s">
        <v>3224</v>
      </c>
      <c r="R265" s="22" t="s">
        <v>3661</v>
      </c>
    </row>
    <row r="266" spans="15:18">
      <c r="O266" s="22" t="s">
        <v>2985</v>
      </c>
      <c r="R266" s="22" t="s">
        <v>3662</v>
      </c>
    </row>
    <row r="267" spans="15:18">
      <c r="O267" s="22" t="s">
        <v>2969</v>
      </c>
      <c r="R267" s="22" t="s">
        <v>3663</v>
      </c>
    </row>
    <row r="268" spans="15:18">
      <c r="O268" s="22" t="s">
        <v>2970</v>
      </c>
      <c r="R268" s="22" t="s">
        <v>3664</v>
      </c>
    </row>
    <row r="269" spans="15:18">
      <c r="O269" s="22" t="s">
        <v>2971</v>
      </c>
      <c r="R269" s="22" t="s">
        <v>3665</v>
      </c>
    </row>
    <row r="270" spans="15:18">
      <c r="O270" s="22" t="s">
        <v>2972</v>
      </c>
      <c r="R270" s="22" t="s">
        <v>3666</v>
      </c>
    </row>
    <row r="271" spans="15:18">
      <c r="O271" s="22" t="s">
        <v>2973</v>
      </c>
      <c r="R271" s="22" t="s">
        <v>3667</v>
      </c>
    </row>
    <row r="272" spans="15:18">
      <c r="O272" s="22" t="s">
        <v>2974</v>
      </c>
      <c r="R272" s="22" t="s">
        <v>3668</v>
      </c>
    </row>
    <row r="273" spans="15:18">
      <c r="O273" s="22" t="s">
        <v>2975</v>
      </c>
      <c r="R273" s="22" t="s">
        <v>3669</v>
      </c>
    </row>
    <row r="274" spans="15:18">
      <c r="O274" s="22" t="s">
        <v>2976</v>
      </c>
      <c r="R274" s="22" t="s">
        <v>3670</v>
      </c>
    </row>
    <row r="275" spans="15:18">
      <c r="O275" s="22" t="s">
        <v>2977</v>
      </c>
      <c r="R275" s="22" t="s">
        <v>3671</v>
      </c>
    </row>
    <row r="276" spans="15:18">
      <c r="O276" s="22" t="s">
        <v>2636</v>
      </c>
      <c r="R276" s="22" t="s">
        <v>3672</v>
      </c>
    </row>
    <row r="277" spans="15:18">
      <c r="O277" s="22" t="s">
        <v>2637</v>
      </c>
      <c r="R277" s="22" t="s">
        <v>3673</v>
      </c>
    </row>
    <row r="278" spans="15:18">
      <c r="O278" s="22" t="s">
        <v>2638</v>
      </c>
      <c r="R278" s="22" t="s">
        <v>3674</v>
      </c>
    </row>
    <row r="279" spans="15:18">
      <c r="O279" s="22" t="s">
        <v>2639</v>
      </c>
      <c r="R279" s="22" t="s">
        <v>3675</v>
      </c>
    </row>
    <row r="280" spans="15:18">
      <c r="O280" s="22" t="s">
        <v>2640</v>
      </c>
      <c r="R280" s="22" t="s">
        <v>3676</v>
      </c>
    </row>
    <row r="281" spans="15:18">
      <c r="O281" s="22" t="s">
        <v>2641</v>
      </c>
      <c r="R281" s="22" t="s">
        <v>3677</v>
      </c>
    </row>
    <row r="282" spans="15:18">
      <c r="O282" s="22" t="s">
        <v>2642</v>
      </c>
      <c r="R282" s="22" t="s">
        <v>3678</v>
      </c>
    </row>
    <row r="283" spans="15:18">
      <c r="O283" s="22" t="s">
        <v>2643</v>
      </c>
      <c r="R283" s="22" t="s">
        <v>3679</v>
      </c>
    </row>
    <row r="284" spans="15:18">
      <c r="O284" s="22" t="s">
        <v>2644</v>
      </c>
      <c r="R284" s="22" t="s">
        <v>3680</v>
      </c>
    </row>
    <row r="285" spans="15:18">
      <c r="O285" s="22" t="s">
        <v>2645</v>
      </c>
      <c r="R285" s="22" t="s">
        <v>3681</v>
      </c>
    </row>
    <row r="286" spans="15:18">
      <c r="O286" s="22" t="s">
        <v>2646</v>
      </c>
      <c r="R286" s="22" t="s">
        <v>3682</v>
      </c>
    </row>
    <row r="287" spans="15:18">
      <c r="O287" s="22" t="s">
        <v>2647</v>
      </c>
      <c r="R287" s="22" t="s">
        <v>3683</v>
      </c>
    </row>
    <row r="288" spans="15:18">
      <c r="O288" s="22" t="s">
        <v>2648</v>
      </c>
      <c r="R288" s="22" t="s">
        <v>3684</v>
      </c>
    </row>
    <row r="289" spans="15:18">
      <c r="O289" s="22" t="s">
        <v>2649</v>
      </c>
      <c r="R289" s="22" t="s">
        <v>3685</v>
      </c>
    </row>
    <row r="290" spans="15:18">
      <c r="O290" s="22" t="s">
        <v>2650</v>
      </c>
      <c r="R290" s="22" t="s">
        <v>3686</v>
      </c>
    </row>
    <row r="291" spans="15:18">
      <c r="O291" s="22" t="s">
        <v>2651</v>
      </c>
      <c r="R291" s="22" t="s">
        <v>3687</v>
      </c>
    </row>
    <row r="292" spans="15:18">
      <c r="O292" s="22" t="s">
        <v>2652</v>
      </c>
      <c r="R292" s="22" t="s">
        <v>3688</v>
      </c>
    </row>
    <row r="293" spans="15:18">
      <c r="O293" s="22" t="s">
        <v>2653</v>
      </c>
      <c r="R293" s="22" t="s">
        <v>3689</v>
      </c>
    </row>
    <row r="294" spans="15:18">
      <c r="O294" s="22" t="s">
        <v>2654</v>
      </c>
      <c r="R294" s="22" t="s">
        <v>3690</v>
      </c>
    </row>
    <row r="295" spans="15:18">
      <c r="O295" s="22" t="s">
        <v>2655</v>
      </c>
      <c r="R295" s="22" t="s">
        <v>3691</v>
      </c>
    </row>
    <row r="296" spans="15:18">
      <c r="O296" s="22" t="s">
        <v>2656</v>
      </c>
      <c r="R296" s="22" t="s">
        <v>3692</v>
      </c>
    </row>
    <row r="297" spans="15:18">
      <c r="O297" s="22" t="s">
        <v>2657</v>
      </c>
      <c r="R297" s="22" t="s">
        <v>3693</v>
      </c>
    </row>
    <row r="298" spans="15:18">
      <c r="O298" s="22" t="s">
        <v>2658</v>
      </c>
      <c r="R298" s="22" t="s">
        <v>4282</v>
      </c>
    </row>
    <row r="299" spans="15:18">
      <c r="O299" s="22" t="s">
        <v>2659</v>
      </c>
      <c r="R299" s="22" t="s">
        <v>3694</v>
      </c>
    </row>
    <row r="300" spans="15:18">
      <c r="O300" s="22" t="s">
        <v>2660</v>
      </c>
      <c r="R300" s="22" t="s">
        <v>3695</v>
      </c>
    </row>
    <row r="301" spans="15:18">
      <c r="O301" s="22" t="s">
        <v>2661</v>
      </c>
      <c r="R301" s="22" t="s">
        <v>3696</v>
      </c>
    </row>
    <row r="302" spans="15:18">
      <c r="O302" s="22" t="s">
        <v>2662</v>
      </c>
      <c r="R302" s="22" t="s">
        <v>3697</v>
      </c>
    </row>
    <row r="303" spans="15:18">
      <c r="O303" s="22" t="s">
        <v>2663</v>
      </c>
      <c r="R303" s="22" t="s">
        <v>3698</v>
      </c>
    </row>
    <row r="304" spans="15:18">
      <c r="O304" s="22" t="s">
        <v>2664</v>
      </c>
      <c r="R304" s="22" t="s">
        <v>3699</v>
      </c>
    </row>
    <row r="305" spans="15:18">
      <c r="O305" s="22" t="s">
        <v>2665</v>
      </c>
      <c r="R305" s="22" t="s">
        <v>3700</v>
      </c>
    </row>
    <row r="306" spans="15:18">
      <c r="O306" s="22" t="s">
        <v>2666</v>
      </c>
      <c r="R306" s="22" t="s">
        <v>3701</v>
      </c>
    </row>
    <row r="307" spans="15:18">
      <c r="O307" s="22" t="s">
        <v>2667</v>
      </c>
      <c r="R307" s="22" t="s">
        <v>3702</v>
      </c>
    </row>
    <row r="308" spans="15:18">
      <c r="O308" s="22" t="s">
        <v>2668</v>
      </c>
      <c r="R308" s="22" t="s">
        <v>3703</v>
      </c>
    </row>
    <row r="309" spans="15:18">
      <c r="O309" s="22" t="s">
        <v>2669</v>
      </c>
      <c r="R309" s="22" t="s">
        <v>3704</v>
      </c>
    </row>
    <row r="310" spans="15:18">
      <c r="O310" s="22" t="s">
        <v>2670</v>
      </c>
      <c r="R310" s="22" t="s">
        <v>3705</v>
      </c>
    </row>
    <row r="311" spans="15:18">
      <c r="O311" s="22" t="s">
        <v>2671</v>
      </c>
      <c r="R311" s="22" t="s">
        <v>3706</v>
      </c>
    </row>
    <row r="312" spans="15:18">
      <c r="O312" s="22" t="s">
        <v>2672</v>
      </c>
      <c r="R312" s="22" t="s">
        <v>3707</v>
      </c>
    </row>
    <row r="313" spans="15:18">
      <c r="O313" s="22" t="s">
        <v>2673</v>
      </c>
      <c r="R313" s="22" t="s">
        <v>3708</v>
      </c>
    </row>
    <row r="314" spans="15:18">
      <c r="O314" s="22" t="s">
        <v>2674</v>
      </c>
      <c r="R314" s="22" t="s">
        <v>3709</v>
      </c>
    </row>
    <row r="315" spans="15:18">
      <c r="O315" s="22" t="s">
        <v>2675</v>
      </c>
      <c r="R315" s="22" t="s">
        <v>3710</v>
      </c>
    </row>
    <row r="316" spans="15:18">
      <c r="O316" s="22" t="s">
        <v>2676</v>
      </c>
      <c r="R316" s="22" t="s">
        <v>3711</v>
      </c>
    </row>
    <row r="317" spans="15:18">
      <c r="O317" s="22" t="s">
        <v>2677</v>
      </c>
      <c r="R317" s="22" t="s">
        <v>3712</v>
      </c>
    </row>
    <row r="318" spans="15:18">
      <c r="O318" s="22" t="s">
        <v>3309</v>
      </c>
      <c r="R318" s="22" t="s">
        <v>3713</v>
      </c>
    </row>
    <row r="319" spans="15:18">
      <c r="O319" s="22" t="s">
        <v>3291</v>
      </c>
      <c r="R319" s="22" t="s">
        <v>3714</v>
      </c>
    </row>
    <row r="320" spans="15:18">
      <c r="O320" s="22" t="s">
        <v>2678</v>
      </c>
      <c r="R320" s="22" t="s">
        <v>3715</v>
      </c>
    </row>
    <row r="321" spans="15:18">
      <c r="O321" s="22" t="s">
        <v>2679</v>
      </c>
      <c r="R321" s="22" t="s">
        <v>3716</v>
      </c>
    </row>
    <row r="322" spans="15:18">
      <c r="O322" s="22" t="s">
        <v>2680</v>
      </c>
      <c r="R322" s="22" t="s">
        <v>3717</v>
      </c>
    </row>
    <row r="323" spans="15:18">
      <c r="O323" s="22" t="s">
        <v>2681</v>
      </c>
      <c r="R323" s="22" t="s">
        <v>3718</v>
      </c>
    </row>
    <row r="324" spans="15:18">
      <c r="O324" s="22" t="s">
        <v>2682</v>
      </c>
      <c r="R324" s="22" t="s">
        <v>3719</v>
      </c>
    </row>
    <row r="325" spans="15:18">
      <c r="O325" s="22" t="s">
        <v>2683</v>
      </c>
      <c r="R325" s="22" t="s">
        <v>3720</v>
      </c>
    </row>
    <row r="326" spans="15:18">
      <c r="O326" s="22" t="s">
        <v>2684</v>
      </c>
      <c r="R326" s="22" t="s">
        <v>3721</v>
      </c>
    </row>
    <row r="327" spans="15:18">
      <c r="O327" s="22" t="s">
        <v>2685</v>
      </c>
      <c r="R327" s="22" t="s">
        <v>3722</v>
      </c>
    </row>
    <row r="328" spans="15:18">
      <c r="O328" s="22" t="s">
        <v>2686</v>
      </c>
      <c r="R328" s="22" t="s">
        <v>3723</v>
      </c>
    </row>
    <row r="329" spans="15:18">
      <c r="O329" s="22" t="s">
        <v>2687</v>
      </c>
      <c r="R329" s="22" t="s">
        <v>4291</v>
      </c>
    </row>
    <row r="330" spans="15:18">
      <c r="O330" s="22" t="s">
        <v>2688</v>
      </c>
      <c r="R330" s="22" t="s">
        <v>3724</v>
      </c>
    </row>
    <row r="331" spans="15:18">
      <c r="O331" s="22" t="s">
        <v>2689</v>
      </c>
      <c r="R331" s="22" t="s">
        <v>3725</v>
      </c>
    </row>
    <row r="332" spans="15:18">
      <c r="O332" s="22" t="s">
        <v>2690</v>
      </c>
      <c r="R332" s="22" t="s">
        <v>3726</v>
      </c>
    </row>
    <row r="333" spans="15:18">
      <c r="O333" s="22" t="s">
        <v>2691</v>
      </c>
      <c r="R333" s="22" t="s">
        <v>3727</v>
      </c>
    </row>
    <row r="334" spans="15:18">
      <c r="O334" s="22" t="s">
        <v>2692</v>
      </c>
      <c r="R334" s="22" t="s">
        <v>3728</v>
      </c>
    </row>
    <row r="335" spans="15:18">
      <c r="O335" s="22" t="s">
        <v>2693</v>
      </c>
      <c r="R335" s="22" t="s">
        <v>3729</v>
      </c>
    </row>
    <row r="336" spans="15:18">
      <c r="O336" s="22" t="s">
        <v>2694</v>
      </c>
      <c r="R336" s="22" t="s">
        <v>3730</v>
      </c>
    </row>
    <row r="337" spans="15:18">
      <c r="O337" s="22" t="s">
        <v>2695</v>
      </c>
      <c r="R337" s="22" t="s">
        <v>3731</v>
      </c>
    </row>
    <row r="338" spans="15:18">
      <c r="O338" s="22" t="s">
        <v>2696</v>
      </c>
      <c r="R338" s="22" t="s">
        <v>3732</v>
      </c>
    </row>
    <row r="339" spans="15:18">
      <c r="O339" s="22" t="s">
        <v>2697</v>
      </c>
      <c r="R339" s="22" t="s">
        <v>3733</v>
      </c>
    </row>
    <row r="340" spans="15:18">
      <c r="O340" s="22" t="s">
        <v>2698</v>
      </c>
      <c r="R340" s="22" t="s">
        <v>3734</v>
      </c>
    </row>
    <row r="341" spans="15:18">
      <c r="O341" s="22" t="s">
        <v>2699</v>
      </c>
      <c r="R341" s="22" t="s">
        <v>3735</v>
      </c>
    </row>
    <row r="342" spans="15:18">
      <c r="O342" s="22" t="s">
        <v>2700</v>
      </c>
      <c r="R342" s="22" t="s">
        <v>3736</v>
      </c>
    </row>
    <row r="343" spans="15:18">
      <c r="O343" s="22" t="s">
        <v>2701</v>
      </c>
      <c r="R343" s="22" t="s">
        <v>3737</v>
      </c>
    </row>
    <row r="344" spans="15:18">
      <c r="O344" s="22" t="s">
        <v>2702</v>
      </c>
      <c r="R344" s="22" t="s">
        <v>3738</v>
      </c>
    </row>
    <row r="345" spans="15:18">
      <c r="O345" s="22" t="s">
        <v>2703</v>
      </c>
      <c r="R345" s="22" t="s">
        <v>3739</v>
      </c>
    </row>
    <row r="346" spans="15:18">
      <c r="O346" s="22" t="s">
        <v>2704</v>
      </c>
      <c r="R346" s="22" t="s">
        <v>3740</v>
      </c>
    </row>
    <row r="347" spans="15:18">
      <c r="O347" s="22" t="s">
        <v>2705</v>
      </c>
      <c r="R347" s="22" t="s">
        <v>3741</v>
      </c>
    </row>
    <row r="348" spans="15:18">
      <c r="O348" s="22" t="s">
        <v>2706</v>
      </c>
      <c r="R348" s="22" t="s">
        <v>3742</v>
      </c>
    </row>
    <row r="349" spans="15:18">
      <c r="O349" s="22" t="s">
        <v>2707</v>
      </c>
      <c r="R349" s="22" t="s">
        <v>3743</v>
      </c>
    </row>
    <row r="350" spans="15:18">
      <c r="O350" s="22" t="s">
        <v>2708</v>
      </c>
      <c r="R350" s="22" t="s">
        <v>3744</v>
      </c>
    </row>
    <row r="351" spans="15:18">
      <c r="O351" s="22" t="s">
        <v>2709</v>
      </c>
      <c r="R351" s="22" t="s">
        <v>3745</v>
      </c>
    </row>
    <row r="352" spans="15:18">
      <c r="O352" s="22" t="s">
        <v>2710</v>
      </c>
      <c r="R352" s="22" t="s">
        <v>3746</v>
      </c>
    </row>
    <row r="353" spans="15:18">
      <c r="O353" s="22" t="s">
        <v>2711</v>
      </c>
      <c r="R353" s="22" t="s">
        <v>3747</v>
      </c>
    </row>
    <row r="354" spans="15:18">
      <c r="O354" s="22" t="s">
        <v>2712</v>
      </c>
      <c r="R354" s="22" t="s">
        <v>3748</v>
      </c>
    </row>
    <row r="355" spans="15:18">
      <c r="O355" s="22" t="s">
        <v>2713</v>
      </c>
      <c r="R355" s="22" t="s">
        <v>3749</v>
      </c>
    </row>
    <row r="356" spans="15:18">
      <c r="O356" s="22" t="s">
        <v>2714</v>
      </c>
      <c r="R356" s="22" t="s">
        <v>3750</v>
      </c>
    </row>
    <row r="357" spans="15:18">
      <c r="O357" s="22" t="s">
        <v>2715</v>
      </c>
      <c r="R357" s="22" t="s">
        <v>3751</v>
      </c>
    </row>
    <row r="358" spans="15:18">
      <c r="O358" s="22" t="s">
        <v>2716</v>
      </c>
      <c r="R358" s="22" t="s">
        <v>3752</v>
      </c>
    </row>
    <row r="359" spans="15:18">
      <c r="O359" s="22" t="s">
        <v>2717</v>
      </c>
      <c r="R359" s="22" t="s">
        <v>3753</v>
      </c>
    </row>
    <row r="360" spans="15:18">
      <c r="O360" s="22" t="s">
        <v>2718</v>
      </c>
      <c r="R360" s="22" t="s">
        <v>3754</v>
      </c>
    </row>
    <row r="361" spans="15:18">
      <c r="O361" s="22" t="s">
        <v>3310</v>
      </c>
      <c r="R361" s="22" t="s">
        <v>3755</v>
      </c>
    </row>
    <row r="362" spans="15:18">
      <c r="O362" s="22" t="s">
        <v>3292</v>
      </c>
      <c r="R362" s="22" t="s">
        <v>3756</v>
      </c>
    </row>
    <row r="363" spans="15:18">
      <c r="O363" s="22" t="s">
        <v>2719</v>
      </c>
      <c r="R363" s="22" t="s">
        <v>3757</v>
      </c>
    </row>
    <row r="364" spans="15:18">
      <c r="O364" s="22" t="s">
        <v>2720</v>
      </c>
      <c r="R364" s="22" t="s">
        <v>3758</v>
      </c>
    </row>
    <row r="365" spans="15:18">
      <c r="O365" s="22" t="s">
        <v>2721</v>
      </c>
      <c r="R365" s="22" t="s">
        <v>3759</v>
      </c>
    </row>
    <row r="366" spans="15:18">
      <c r="O366" s="22" t="s">
        <v>2722</v>
      </c>
      <c r="R366" s="22" t="s">
        <v>3760</v>
      </c>
    </row>
    <row r="367" spans="15:18">
      <c r="O367" s="22" t="s">
        <v>2723</v>
      </c>
      <c r="R367" s="22" t="s">
        <v>3761</v>
      </c>
    </row>
    <row r="368" spans="15:18">
      <c r="O368" s="22" t="s">
        <v>2724</v>
      </c>
      <c r="R368" s="22" t="s">
        <v>3762</v>
      </c>
    </row>
    <row r="369" spans="15:18">
      <c r="O369" s="22" t="s">
        <v>2978</v>
      </c>
      <c r="R369" s="22" t="s">
        <v>3763</v>
      </c>
    </row>
    <row r="370" spans="15:18">
      <c r="O370" s="22" t="s">
        <v>2978</v>
      </c>
      <c r="R370" s="22" t="s">
        <v>3764</v>
      </c>
    </row>
    <row r="371" spans="15:18">
      <c r="O371" s="22" t="s">
        <v>2725</v>
      </c>
      <c r="R371" s="22" t="s">
        <v>3765</v>
      </c>
    </row>
    <row r="372" spans="15:18">
      <c r="O372" s="22" t="s">
        <v>2726</v>
      </c>
      <c r="R372" s="22" t="s">
        <v>3766</v>
      </c>
    </row>
    <row r="373" spans="15:18">
      <c r="O373" s="22" t="s">
        <v>2727</v>
      </c>
      <c r="R373" s="22" t="s">
        <v>3767</v>
      </c>
    </row>
    <row r="374" spans="15:18">
      <c r="O374" s="22" t="s">
        <v>2728</v>
      </c>
      <c r="R374" s="22" t="s">
        <v>3768</v>
      </c>
    </row>
    <row r="375" spans="15:18">
      <c r="O375" s="22" t="s">
        <v>2729</v>
      </c>
      <c r="R375" s="22" t="s">
        <v>3769</v>
      </c>
    </row>
    <row r="376" spans="15:18">
      <c r="O376" s="22" t="s">
        <v>2730</v>
      </c>
      <c r="R376" s="22" t="s">
        <v>3770</v>
      </c>
    </row>
    <row r="377" spans="15:18">
      <c r="O377" s="22" t="s">
        <v>2731</v>
      </c>
      <c r="R377" s="22" t="s">
        <v>3771</v>
      </c>
    </row>
    <row r="378" spans="15:18">
      <c r="O378" s="22" t="s">
        <v>2732</v>
      </c>
      <c r="R378" s="22" t="s">
        <v>3772</v>
      </c>
    </row>
    <row r="379" spans="15:18">
      <c r="O379" s="22" t="s">
        <v>2733</v>
      </c>
      <c r="R379" s="22" t="s">
        <v>3773</v>
      </c>
    </row>
    <row r="380" spans="15:18">
      <c r="O380" s="22" t="s">
        <v>2734</v>
      </c>
      <c r="R380" s="22" t="s">
        <v>3774</v>
      </c>
    </row>
    <row r="381" spans="15:18">
      <c r="O381" s="22" t="s">
        <v>2735</v>
      </c>
      <c r="R381" s="22" t="s">
        <v>3775</v>
      </c>
    </row>
    <row r="382" spans="15:18">
      <c r="O382" s="22" t="s">
        <v>2736</v>
      </c>
      <c r="R382" s="22" t="s">
        <v>3776</v>
      </c>
    </row>
    <row r="383" spans="15:18">
      <c r="O383" s="22" t="s">
        <v>2737</v>
      </c>
      <c r="R383" s="22" t="s">
        <v>3777</v>
      </c>
    </row>
    <row r="384" spans="15:18">
      <c r="O384" s="22" t="s">
        <v>2738</v>
      </c>
      <c r="R384" s="22" t="s">
        <v>3778</v>
      </c>
    </row>
    <row r="385" spans="15:18">
      <c r="O385" s="22" t="s">
        <v>2739</v>
      </c>
      <c r="R385" s="22" t="s">
        <v>3779</v>
      </c>
    </row>
    <row r="386" spans="15:18">
      <c r="O386" s="22" t="s">
        <v>2740</v>
      </c>
      <c r="R386" s="22" t="s">
        <v>3780</v>
      </c>
    </row>
    <row r="387" spans="15:18">
      <c r="O387" s="22" t="s">
        <v>2741</v>
      </c>
      <c r="R387" s="22" t="s">
        <v>3781</v>
      </c>
    </row>
    <row r="388" spans="15:18">
      <c r="O388" s="22" t="s">
        <v>2742</v>
      </c>
      <c r="R388" s="22" t="s">
        <v>3782</v>
      </c>
    </row>
    <row r="389" spans="15:18">
      <c r="O389" s="22" t="s">
        <v>2743</v>
      </c>
      <c r="R389" s="22" t="s">
        <v>3783</v>
      </c>
    </row>
    <row r="390" spans="15:18">
      <c r="O390" s="22" t="s">
        <v>2744</v>
      </c>
      <c r="R390" s="22" t="s">
        <v>3784</v>
      </c>
    </row>
    <row r="391" spans="15:18">
      <c r="O391" s="22" t="s">
        <v>2745</v>
      </c>
      <c r="R391" s="22" t="s">
        <v>3785</v>
      </c>
    </row>
    <row r="392" spans="15:18">
      <c r="O392" s="22" t="s">
        <v>2746</v>
      </c>
      <c r="R392" s="22" t="s">
        <v>3786</v>
      </c>
    </row>
    <row r="393" spans="15:18">
      <c r="O393" s="22" t="s">
        <v>2747</v>
      </c>
      <c r="R393" s="22" t="s">
        <v>3787</v>
      </c>
    </row>
    <row r="394" spans="15:18">
      <c r="O394" s="22" t="s">
        <v>2748</v>
      </c>
      <c r="R394" s="22" t="s">
        <v>3788</v>
      </c>
    </row>
    <row r="395" spans="15:18">
      <c r="O395" s="22" t="s">
        <v>2979</v>
      </c>
      <c r="R395" s="22" t="s">
        <v>3789</v>
      </c>
    </row>
    <row r="396" spans="15:18">
      <c r="O396" s="22" t="s">
        <v>2979</v>
      </c>
      <c r="R396" s="22" t="s">
        <v>3790</v>
      </c>
    </row>
    <row r="397" spans="15:18">
      <c r="O397" s="22" t="s">
        <v>2749</v>
      </c>
      <c r="R397" s="22" t="s">
        <v>3791</v>
      </c>
    </row>
    <row r="398" spans="15:18">
      <c r="O398" s="22" t="s">
        <v>2750</v>
      </c>
      <c r="R398" s="22" t="s">
        <v>3792</v>
      </c>
    </row>
    <row r="399" spans="15:18">
      <c r="O399" s="22" t="s">
        <v>2751</v>
      </c>
      <c r="R399" s="22" t="s">
        <v>3793</v>
      </c>
    </row>
    <row r="400" spans="15:18">
      <c r="O400" s="22" t="s">
        <v>2752</v>
      </c>
      <c r="R400" s="22" t="s">
        <v>3794</v>
      </c>
    </row>
    <row r="401" spans="15:18">
      <c r="O401" s="22" t="s">
        <v>2753</v>
      </c>
      <c r="R401" s="22" t="s">
        <v>3795</v>
      </c>
    </row>
    <row r="402" spans="15:18">
      <c r="O402" s="22" t="s">
        <v>2754</v>
      </c>
      <c r="R402" s="22" t="s">
        <v>3796</v>
      </c>
    </row>
    <row r="403" spans="15:18">
      <c r="O403" s="22" t="s">
        <v>2755</v>
      </c>
      <c r="R403" s="22" t="s">
        <v>3797</v>
      </c>
    </row>
    <row r="404" spans="15:18">
      <c r="O404" s="22" t="s">
        <v>2756</v>
      </c>
      <c r="R404" s="22" t="s">
        <v>3798</v>
      </c>
    </row>
    <row r="405" spans="15:18">
      <c r="O405" s="22" t="s">
        <v>2757</v>
      </c>
      <c r="R405" s="22" t="s">
        <v>3799</v>
      </c>
    </row>
    <row r="406" spans="15:18">
      <c r="O406" s="22" t="s">
        <v>2758</v>
      </c>
      <c r="R406" s="22" t="s">
        <v>3800</v>
      </c>
    </row>
    <row r="407" spans="15:18">
      <c r="O407" s="22" t="s">
        <v>2759</v>
      </c>
      <c r="R407" s="22" t="s">
        <v>3801</v>
      </c>
    </row>
    <row r="408" spans="15:18">
      <c r="O408" s="22" t="s">
        <v>2760</v>
      </c>
      <c r="R408" s="22" t="s">
        <v>3802</v>
      </c>
    </row>
    <row r="409" spans="15:18">
      <c r="O409" s="22" t="s">
        <v>2761</v>
      </c>
      <c r="R409" s="22" t="s">
        <v>3803</v>
      </c>
    </row>
    <row r="410" spans="15:18">
      <c r="O410" s="22" t="s">
        <v>2762</v>
      </c>
      <c r="R410" s="22" t="s">
        <v>3804</v>
      </c>
    </row>
    <row r="411" spans="15:18">
      <c r="O411" s="22" t="s">
        <v>2763</v>
      </c>
      <c r="R411" s="22" t="s">
        <v>3805</v>
      </c>
    </row>
    <row r="412" spans="15:18">
      <c r="O412" s="22" t="s">
        <v>2764</v>
      </c>
      <c r="R412" s="22" t="s">
        <v>3806</v>
      </c>
    </row>
    <row r="413" spans="15:18">
      <c r="O413" s="22" t="s">
        <v>2765</v>
      </c>
      <c r="R413" s="22" t="s">
        <v>3807</v>
      </c>
    </row>
    <row r="414" spans="15:18">
      <c r="O414" s="22" t="s">
        <v>2980</v>
      </c>
      <c r="R414" s="22" t="s">
        <v>3808</v>
      </c>
    </row>
    <row r="415" spans="15:18">
      <c r="O415" s="22" t="s">
        <v>2980</v>
      </c>
      <c r="R415" s="22" t="s">
        <v>3809</v>
      </c>
    </row>
    <row r="416" spans="15:18">
      <c r="O416" s="22" t="s">
        <v>2766</v>
      </c>
      <c r="R416" s="22" t="s">
        <v>3810</v>
      </c>
    </row>
    <row r="417" spans="15:18">
      <c r="O417" s="22" t="s">
        <v>2767</v>
      </c>
      <c r="R417" s="22" t="s">
        <v>3811</v>
      </c>
    </row>
    <row r="418" spans="15:18">
      <c r="O418" s="22" t="s">
        <v>2768</v>
      </c>
      <c r="R418" s="22" t="s">
        <v>3812</v>
      </c>
    </row>
    <row r="419" spans="15:18">
      <c r="O419" s="22" t="s">
        <v>2769</v>
      </c>
      <c r="R419" s="22" t="s">
        <v>3813</v>
      </c>
    </row>
    <row r="420" spans="15:18">
      <c r="O420" s="22" t="s">
        <v>2770</v>
      </c>
      <c r="R420" s="22" t="s">
        <v>3814</v>
      </c>
    </row>
    <row r="421" spans="15:18">
      <c r="O421" s="22" t="s">
        <v>3187</v>
      </c>
      <c r="R421" s="22" t="s">
        <v>3815</v>
      </c>
    </row>
    <row r="422" spans="15:18">
      <c r="O422" s="22" t="s">
        <v>2771</v>
      </c>
      <c r="R422" s="22" t="s">
        <v>3816</v>
      </c>
    </row>
    <row r="423" spans="15:18">
      <c r="O423" s="22" t="s">
        <v>2772</v>
      </c>
      <c r="R423" s="22" t="s">
        <v>3817</v>
      </c>
    </row>
    <row r="424" spans="15:18">
      <c r="O424" s="22" t="s">
        <v>2773</v>
      </c>
      <c r="R424" s="22" t="s">
        <v>3818</v>
      </c>
    </row>
    <row r="425" spans="15:18">
      <c r="O425" s="22" t="s">
        <v>2774</v>
      </c>
      <c r="R425" s="22" t="s">
        <v>3819</v>
      </c>
    </row>
    <row r="426" spans="15:18">
      <c r="O426" s="22" t="s">
        <v>2775</v>
      </c>
      <c r="R426" s="22" t="s">
        <v>3820</v>
      </c>
    </row>
    <row r="427" spans="15:18">
      <c r="O427" s="22" t="s">
        <v>2776</v>
      </c>
      <c r="R427" s="22" t="s">
        <v>3821</v>
      </c>
    </row>
    <row r="428" spans="15:18">
      <c r="O428" s="22" t="s">
        <v>2777</v>
      </c>
      <c r="R428" s="22" t="s">
        <v>3822</v>
      </c>
    </row>
    <row r="429" spans="15:18">
      <c r="O429" s="22" t="s">
        <v>2853</v>
      </c>
      <c r="R429" s="22" t="s">
        <v>3823</v>
      </c>
    </row>
    <row r="430" spans="15:18">
      <c r="O430" s="22" t="s">
        <v>2778</v>
      </c>
      <c r="R430" s="22" t="s">
        <v>3824</v>
      </c>
    </row>
    <row r="431" spans="15:18">
      <c r="O431" s="22" t="s">
        <v>2779</v>
      </c>
      <c r="R431" s="22" t="s">
        <v>3825</v>
      </c>
    </row>
    <row r="432" spans="15:18">
      <c r="O432" s="22" t="s">
        <v>2780</v>
      </c>
      <c r="R432" s="22" t="s">
        <v>3826</v>
      </c>
    </row>
    <row r="433" spans="15:18">
      <c r="O433" s="22" t="s">
        <v>2781</v>
      </c>
      <c r="R433" s="22" t="s">
        <v>3827</v>
      </c>
    </row>
    <row r="434" spans="15:18">
      <c r="O434" s="22" t="s">
        <v>2782</v>
      </c>
      <c r="R434" s="22" t="s">
        <v>3828</v>
      </c>
    </row>
    <row r="435" spans="15:18">
      <c r="O435" s="22" t="s">
        <v>3186</v>
      </c>
      <c r="R435" s="22" t="s">
        <v>3829</v>
      </c>
    </row>
    <row r="436" spans="15:18">
      <c r="O436" s="22" t="s">
        <v>2783</v>
      </c>
      <c r="R436" s="22" t="s">
        <v>3830</v>
      </c>
    </row>
    <row r="437" spans="15:18">
      <c r="O437" s="22" t="s">
        <v>2784</v>
      </c>
      <c r="R437" s="22" t="s">
        <v>3831</v>
      </c>
    </row>
    <row r="438" spans="15:18">
      <c r="O438" s="22" t="s">
        <v>2785</v>
      </c>
      <c r="R438" s="22" t="s">
        <v>3832</v>
      </c>
    </row>
    <row r="439" spans="15:18">
      <c r="O439" s="22" t="s">
        <v>2786</v>
      </c>
      <c r="R439" s="22" t="s">
        <v>3833</v>
      </c>
    </row>
    <row r="440" spans="15:18">
      <c r="O440" s="22" t="s">
        <v>2854</v>
      </c>
      <c r="R440" s="22" t="s">
        <v>3834</v>
      </c>
    </row>
    <row r="441" spans="15:18">
      <c r="O441" s="22" t="s">
        <v>2367</v>
      </c>
      <c r="R441" s="22" t="s">
        <v>3835</v>
      </c>
    </row>
    <row r="442" spans="15:18">
      <c r="O442" s="22" t="s">
        <v>2787</v>
      </c>
      <c r="R442" s="22" t="s">
        <v>3836</v>
      </c>
    </row>
    <row r="443" spans="15:18">
      <c r="O443" s="22" t="s">
        <v>2788</v>
      </c>
      <c r="R443" s="22" t="s">
        <v>3837</v>
      </c>
    </row>
    <row r="444" spans="15:18">
      <c r="O444" s="22" t="s">
        <v>2789</v>
      </c>
      <c r="R444" s="22" t="s">
        <v>3838</v>
      </c>
    </row>
    <row r="445" spans="15:18">
      <c r="O445" s="22" t="s">
        <v>2790</v>
      </c>
      <c r="R445" s="22" t="s">
        <v>3839</v>
      </c>
    </row>
    <row r="446" spans="15:18">
      <c r="O446" s="22" t="s">
        <v>3185</v>
      </c>
      <c r="R446" s="22" t="s">
        <v>3840</v>
      </c>
    </row>
    <row r="447" spans="15:18">
      <c r="O447" s="22" t="s">
        <v>2791</v>
      </c>
      <c r="R447" s="22" t="s">
        <v>3841</v>
      </c>
    </row>
    <row r="448" spans="15:18">
      <c r="O448" s="22" t="s">
        <v>2792</v>
      </c>
      <c r="R448" s="22" t="s">
        <v>3842</v>
      </c>
    </row>
    <row r="449" spans="15:18">
      <c r="O449" s="22" t="s">
        <v>2793</v>
      </c>
      <c r="R449" s="22" t="s">
        <v>3843</v>
      </c>
    </row>
    <row r="450" spans="15:18">
      <c r="O450" s="22" t="s">
        <v>2794</v>
      </c>
      <c r="R450" s="22" t="s">
        <v>3844</v>
      </c>
    </row>
    <row r="451" spans="15:18">
      <c r="O451" s="22" t="s">
        <v>2795</v>
      </c>
      <c r="R451" s="22" t="s">
        <v>3845</v>
      </c>
    </row>
    <row r="452" spans="15:18">
      <c r="O452" s="22" t="s">
        <v>2796</v>
      </c>
      <c r="R452" s="22" t="s">
        <v>3846</v>
      </c>
    </row>
    <row r="453" spans="15:18">
      <c r="O453" s="22" t="s">
        <v>2797</v>
      </c>
      <c r="R453" s="22" t="s">
        <v>3847</v>
      </c>
    </row>
    <row r="454" spans="15:18">
      <c r="O454" s="22" t="s">
        <v>2855</v>
      </c>
      <c r="R454" s="22" t="s">
        <v>3848</v>
      </c>
    </row>
    <row r="455" spans="15:18">
      <c r="O455" s="22" t="s">
        <v>2798</v>
      </c>
      <c r="R455" s="22" t="s">
        <v>3849</v>
      </c>
    </row>
    <row r="456" spans="15:18">
      <c r="O456" s="22" t="s">
        <v>2856</v>
      </c>
      <c r="R456" s="22" t="s">
        <v>3850</v>
      </c>
    </row>
    <row r="457" spans="15:18">
      <c r="O457" s="22" t="s">
        <v>2857</v>
      </c>
      <c r="R457" s="22" t="s">
        <v>3851</v>
      </c>
    </row>
    <row r="458" spans="15:18">
      <c r="O458" s="22" t="s">
        <v>2799</v>
      </c>
      <c r="R458" s="22" t="s">
        <v>3852</v>
      </c>
    </row>
    <row r="459" spans="15:18">
      <c r="O459" s="22" t="s">
        <v>2800</v>
      </c>
      <c r="R459" s="22" t="s">
        <v>3853</v>
      </c>
    </row>
    <row r="460" spans="15:18">
      <c r="O460" s="22" t="s">
        <v>2801</v>
      </c>
      <c r="R460" s="22" t="s">
        <v>3854</v>
      </c>
    </row>
    <row r="461" spans="15:18">
      <c r="O461" s="22" t="s">
        <v>2802</v>
      </c>
      <c r="R461" s="22" t="s">
        <v>3855</v>
      </c>
    </row>
    <row r="462" spans="15:18">
      <c r="O462" s="22" t="s">
        <v>3188</v>
      </c>
      <c r="R462" s="22" t="s">
        <v>3856</v>
      </c>
    </row>
    <row r="463" spans="15:18">
      <c r="O463" s="22" t="s">
        <v>2803</v>
      </c>
      <c r="R463" s="22" t="s">
        <v>3857</v>
      </c>
    </row>
    <row r="464" spans="15:18">
      <c r="O464" s="22" t="s">
        <v>2804</v>
      </c>
      <c r="R464" s="22" t="s">
        <v>3858</v>
      </c>
    </row>
    <row r="465" spans="15:18">
      <c r="O465" s="22" t="s">
        <v>2805</v>
      </c>
      <c r="R465" s="22" t="s">
        <v>3859</v>
      </c>
    </row>
    <row r="466" spans="15:18">
      <c r="O466" s="22" t="s">
        <v>2806</v>
      </c>
      <c r="R466" s="22" t="s">
        <v>3860</v>
      </c>
    </row>
    <row r="467" spans="15:18">
      <c r="O467" s="22" t="s">
        <v>2807</v>
      </c>
      <c r="R467" s="22" t="s">
        <v>3861</v>
      </c>
    </row>
    <row r="468" spans="15:18">
      <c r="O468" s="22" t="s">
        <v>2365</v>
      </c>
      <c r="R468" s="22" t="s">
        <v>3862</v>
      </c>
    </row>
    <row r="469" spans="15:18">
      <c r="O469" s="22" t="s">
        <v>2808</v>
      </c>
      <c r="R469" s="22" t="s">
        <v>3863</v>
      </c>
    </row>
    <row r="470" spans="15:18">
      <c r="O470" s="22" t="s">
        <v>2809</v>
      </c>
      <c r="R470" s="22" t="s">
        <v>3864</v>
      </c>
    </row>
    <row r="471" spans="15:18">
      <c r="O471" s="22" t="s">
        <v>2810</v>
      </c>
      <c r="R471" s="22" t="s">
        <v>3865</v>
      </c>
    </row>
    <row r="472" spans="15:18">
      <c r="O472" s="22" t="s">
        <v>3184</v>
      </c>
      <c r="R472" s="22" t="s">
        <v>3866</v>
      </c>
    </row>
    <row r="473" spans="15:18">
      <c r="O473" s="22" t="s">
        <v>2811</v>
      </c>
      <c r="R473" s="22" t="s">
        <v>3867</v>
      </c>
    </row>
    <row r="474" spans="15:18">
      <c r="O474" s="22" t="s">
        <v>2812</v>
      </c>
      <c r="R474" s="22" t="s">
        <v>3868</v>
      </c>
    </row>
    <row r="475" spans="15:18">
      <c r="O475" s="22" t="s">
        <v>2813</v>
      </c>
      <c r="R475" s="22" t="s">
        <v>3869</v>
      </c>
    </row>
    <row r="476" spans="15:18">
      <c r="O476" s="22" t="s">
        <v>2814</v>
      </c>
      <c r="R476" s="22" t="s">
        <v>3870</v>
      </c>
    </row>
    <row r="477" spans="15:18">
      <c r="O477" s="22" t="s">
        <v>2815</v>
      </c>
      <c r="R477" s="22" t="s">
        <v>3871</v>
      </c>
    </row>
    <row r="478" spans="15:18">
      <c r="O478" s="22" t="s">
        <v>2852</v>
      </c>
      <c r="R478" s="22" t="s">
        <v>3872</v>
      </c>
    </row>
    <row r="479" spans="15:18">
      <c r="O479" s="22" t="s">
        <v>2816</v>
      </c>
      <c r="R479" s="22" t="s">
        <v>3873</v>
      </c>
    </row>
    <row r="480" spans="15:18">
      <c r="O480" s="22" t="s">
        <v>2817</v>
      </c>
      <c r="R480" s="22" t="s">
        <v>3874</v>
      </c>
    </row>
    <row r="481" spans="15:18">
      <c r="O481" s="22" t="s">
        <v>2818</v>
      </c>
      <c r="R481" s="22" t="s">
        <v>3875</v>
      </c>
    </row>
    <row r="482" spans="15:18">
      <c r="O482" s="22" t="s">
        <v>2819</v>
      </c>
      <c r="R482" s="22" t="s">
        <v>3876</v>
      </c>
    </row>
    <row r="483" spans="15:18">
      <c r="O483" s="22" t="s">
        <v>2820</v>
      </c>
      <c r="R483" s="22" t="s">
        <v>3877</v>
      </c>
    </row>
    <row r="484" spans="15:18">
      <c r="O484" s="22" t="s">
        <v>2821</v>
      </c>
      <c r="R484" s="22" t="s">
        <v>3878</v>
      </c>
    </row>
    <row r="485" spans="15:18">
      <c r="O485" s="22" t="s">
        <v>2822</v>
      </c>
      <c r="R485" s="22" t="s">
        <v>3879</v>
      </c>
    </row>
    <row r="486" spans="15:18">
      <c r="O486" s="22" t="s">
        <v>2858</v>
      </c>
      <c r="R486" s="22" t="s">
        <v>3880</v>
      </c>
    </row>
    <row r="487" spans="15:18">
      <c r="O487" s="22" t="s">
        <v>2823</v>
      </c>
      <c r="R487" s="22" t="s">
        <v>3881</v>
      </c>
    </row>
    <row r="488" spans="15:18">
      <c r="O488" s="22" t="s">
        <v>2824</v>
      </c>
      <c r="R488" s="22" t="s">
        <v>3882</v>
      </c>
    </row>
    <row r="489" spans="15:18">
      <c r="O489" s="22" t="s">
        <v>2825</v>
      </c>
      <c r="R489" s="22" t="s">
        <v>3883</v>
      </c>
    </row>
    <row r="490" spans="15:18">
      <c r="O490" s="22" t="s">
        <v>2826</v>
      </c>
      <c r="R490" s="22" t="s">
        <v>3884</v>
      </c>
    </row>
    <row r="491" spans="15:18">
      <c r="O491" s="22" t="s">
        <v>2827</v>
      </c>
      <c r="R491" s="22" t="s">
        <v>3885</v>
      </c>
    </row>
    <row r="492" spans="15:18">
      <c r="O492" s="22" t="s">
        <v>2828</v>
      </c>
      <c r="R492" s="22" t="s">
        <v>3886</v>
      </c>
    </row>
    <row r="493" spans="15:18">
      <c r="O493" s="22" t="s">
        <v>2829</v>
      </c>
      <c r="R493" s="22" t="s">
        <v>3887</v>
      </c>
    </row>
    <row r="494" spans="15:18">
      <c r="O494" s="22" t="s">
        <v>2830</v>
      </c>
      <c r="R494" s="22" t="s">
        <v>3888</v>
      </c>
    </row>
    <row r="495" spans="15:18">
      <c r="O495" s="22" t="s">
        <v>2831</v>
      </c>
      <c r="R495" s="22" t="s">
        <v>3889</v>
      </c>
    </row>
    <row r="496" spans="15:18">
      <c r="O496" s="22" t="s">
        <v>2832</v>
      </c>
      <c r="R496" s="22" t="s">
        <v>3890</v>
      </c>
    </row>
    <row r="497" spans="15:18">
      <c r="O497" s="22" t="s">
        <v>2833</v>
      </c>
      <c r="R497" s="22" t="s">
        <v>3891</v>
      </c>
    </row>
    <row r="498" spans="15:18">
      <c r="O498" s="22" t="s">
        <v>2834</v>
      </c>
      <c r="R498" s="22" t="s">
        <v>3892</v>
      </c>
    </row>
    <row r="499" spans="15:18">
      <c r="O499" s="22" t="s">
        <v>2835</v>
      </c>
      <c r="R499" s="22" t="s">
        <v>3893</v>
      </c>
    </row>
    <row r="500" spans="15:18">
      <c r="O500" s="22" t="s">
        <v>2836</v>
      </c>
      <c r="R500" s="22" t="s">
        <v>3894</v>
      </c>
    </row>
    <row r="501" spans="15:18">
      <c r="O501" s="22" t="s">
        <v>2837</v>
      </c>
      <c r="R501" s="22" t="s">
        <v>3895</v>
      </c>
    </row>
    <row r="502" spans="15:18">
      <c r="O502" s="22" t="s">
        <v>2838</v>
      </c>
      <c r="R502" s="22" t="s">
        <v>3896</v>
      </c>
    </row>
    <row r="503" spans="15:18">
      <c r="O503" s="22" t="s">
        <v>2839</v>
      </c>
      <c r="R503" s="22" t="s">
        <v>3897</v>
      </c>
    </row>
    <row r="504" spans="15:18">
      <c r="O504" s="22" t="s">
        <v>2840</v>
      </c>
      <c r="R504" s="22" t="s">
        <v>3898</v>
      </c>
    </row>
    <row r="505" spans="15:18">
      <c r="O505" s="22" t="s">
        <v>2841</v>
      </c>
      <c r="R505" s="22" t="s">
        <v>3899</v>
      </c>
    </row>
    <row r="506" spans="15:18">
      <c r="O506" s="22" t="s">
        <v>2842</v>
      </c>
      <c r="R506" s="22" t="s">
        <v>3900</v>
      </c>
    </row>
    <row r="507" spans="15:18">
      <c r="O507" s="22" t="s">
        <v>2843</v>
      </c>
      <c r="R507" s="22" t="s">
        <v>3901</v>
      </c>
    </row>
    <row r="508" spans="15:18">
      <c r="O508" s="22" t="s">
        <v>2844</v>
      </c>
      <c r="R508" s="22" t="s">
        <v>3902</v>
      </c>
    </row>
    <row r="509" spans="15:18">
      <c r="O509" s="22" t="s">
        <v>2845</v>
      </c>
      <c r="R509" s="22" t="s">
        <v>3903</v>
      </c>
    </row>
    <row r="510" spans="15:18">
      <c r="O510" s="22" t="s">
        <v>2846</v>
      </c>
      <c r="R510" s="22" t="s">
        <v>3904</v>
      </c>
    </row>
    <row r="511" spans="15:18">
      <c r="R511" s="22" t="s">
        <v>3905</v>
      </c>
    </row>
    <row r="512" spans="15:18">
      <c r="R512" s="22" t="s">
        <v>3906</v>
      </c>
    </row>
    <row r="513" spans="18:18">
      <c r="R513" s="22" t="s">
        <v>3907</v>
      </c>
    </row>
    <row r="514" spans="18:18">
      <c r="R514" s="22" t="s">
        <v>3908</v>
      </c>
    </row>
    <row r="515" spans="18:18">
      <c r="R515" s="22" t="s">
        <v>3909</v>
      </c>
    </row>
    <row r="516" spans="18:18">
      <c r="R516" s="22" t="s">
        <v>3910</v>
      </c>
    </row>
    <row r="517" spans="18:18">
      <c r="R517" s="22" t="s">
        <v>3911</v>
      </c>
    </row>
    <row r="518" spans="18:18">
      <c r="R518" s="22" t="s">
        <v>3912</v>
      </c>
    </row>
    <row r="519" spans="18:18">
      <c r="R519" s="22" t="s">
        <v>3913</v>
      </c>
    </row>
    <row r="520" spans="18:18">
      <c r="R520" s="22" t="s">
        <v>3914</v>
      </c>
    </row>
    <row r="521" spans="18:18">
      <c r="R521" s="22" t="s">
        <v>3915</v>
      </c>
    </row>
    <row r="522" spans="18:18">
      <c r="R522" s="22" t="s">
        <v>3916</v>
      </c>
    </row>
    <row r="523" spans="18:18">
      <c r="R523" s="22" t="s">
        <v>3917</v>
      </c>
    </row>
    <row r="524" spans="18:18">
      <c r="R524" s="22" t="s">
        <v>3918</v>
      </c>
    </row>
    <row r="525" spans="18:18">
      <c r="R525" s="22" t="s">
        <v>3919</v>
      </c>
    </row>
    <row r="526" spans="18:18">
      <c r="R526" s="22" t="s">
        <v>3920</v>
      </c>
    </row>
    <row r="527" spans="18:18">
      <c r="R527" s="22" t="s">
        <v>3921</v>
      </c>
    </row>
    <row r="528" spans="18:18">
      <c r="R528" s="22" t="s">
        <v>3922</v>
      </c>
    </row>
    <row r="529" spans="18:18">
      <c r="R529" s="22" t="s">
        <v>3923</v>
      </c>
    </row>
    <row r="530" spans="18:18">
      <c r="R530" s="22" t="s">
        <v>3924</v>
      </c>
    </row>
    <row r="531" spans="18:18">
      <c r="R531" s="22" t="s">
        <v>3925</v>
      </c>
    </row>
    <row r="532" spans="18:18">
      <c r="R532" s="22" t="s">
        <v>3926</v>
      </c>
    </row>
    <row r="533" spans="18:18">
      <c r="R533" s="22" t="s">
        <v>3927</v>
      </c>
    </row>
    <row r="534" spans="18:18">
      <c r="R534" s="22" t="s">
        <v>3928</v>
      </c>
    </row>
    <row r="535" spans="18:18">
      <c r="R535" s="22" t="s">
        <v>3929</v>
      </c>
    </row>
    <row r="536" spans="18:18">
      <c r="R536" s="22" t="s">
        <v>3930</v>
      </c>
    </row>
    <row r="537" spans="18:18">
      <c r="R537" s="22" t="s">
        <v>3931</v>
      </c>
    </row>
    <row r="538" spans="18:18">
      <c r="R538" s="22" t="s">
        <v>3932</v>
      </c>
    </row>
    <row r="539" spans="18:18">
      <c r="R539" s="22" t="s">
        <v>3933</v>
      </c>
    </row>
    <row r="540" spans="18:18">
      <c r="R540" s="22" t="s">
        <v>3934</v>
      </c>
    </row>
    <row r="541" spans="18:18">
      <c r="R541" s="22" t="s">
        <v>3935</v>
      </c>
    </row>
    <row r="542" spans="18:18">
      <c r="R542" s="22" t="s">
        <v>3936</v>
      </c>
    </row>
    <row r="543" spans="18:18">
      <c r="R543" s="22" t="s">
        <v>3937</v>
      </c>
    </row>
    <row r="544" spans="18:18">
      <c r="R544" s="22" t="s">
        <v>3938</v>
      </c>
    </row>
    <row r="545" spans="18:18">
      <c r="R545" s="22" t="s">
        <v>3939</v>
      </c>
    </row>
    <row r="546" spans="18:18">
      <c r="R546" s="22" t="s">
        <v>3940</v>
      </c>
    </row>
    <row r="547" spans="18:18">
      <c r="R547" s="22" t="s">
        <v>3941</v>
      </c>
    </row>
    <row r="548" spans="18:18">
      <c r="R548" s="22" t="s">
        <v>3942</v>
      </c>
    </row>
    <row r="549" spans="18:18">
      <c r="R549" s="22" t="s">
        <v>3943</v>
      </c>
    </row>
    <row r="550" spans="18:18">
      <c r="R550" s="22" t="s">
        <v>3944</v>
      </c>
    </row>
    <row r="551" spans="18:18">
      <c r="R551" s="22" t="s">
        <v>3945</v>
      </c>
    </row>
    <row r="552" spans="18:18">
      <c r="R552" s="22" t="s">
        <v>3946</v>
      </c>
    </row>
    <row r="553" spans="18:18">
      <c r="R553" s="22" t="s">
        <v>3947</v>
      </c>
    </row>
    <row r="554" spans="18:18">
      <c r="R554" s="22" t="s">
        <v>3948</v>
      </c>
    </row>
    <row r="555" spans="18:18">
      <c r="R555" s="22" t="s">
        <v>3949</v>
      </c>
    </row>
    <row r="556" spans="18:18">
      <c r="R556" s="22" t="s">
        <v>3950</v>
      </c>
    </row>
    <row r="557" spans="18:18">
      <c r="R557" s="22" t="s">
        <v>3951</v>
      </c>
    </row>
    <row r="558" spans="18:18">
      <c r="R558" s="22" t="s">
        <v>3952</v>
      </c>
    </row>
    <row r="559" spans="18:18">
      <c r="R559" s="22" t="s">
        <v>3953</v>
      </c>
    </row>
    <row r="560" spans="18:18">
      <c r="R560" s="22" t="s">
        <v>3954</v>
      </c>
    </row>
    <row r="561" spans="18:18">
      <c r="R561" s="22" t="s">
        <v>3955</v>
      </c>
    </row>
    <row r="562" spans="18:18">
      <c r="R562" s="22" t="s">
        <v>3956</v>
      </c>
    </row>
    <row r="563" spans="18:18">
      <c r="R563" s="22" t="s">
        <v>3957</v>
      </c>
    </row>
    <row r="564" spans="18:18">
      <c r="R564" s="22" t="s">
        <v>3958</v>
      </c>
    </row>
    <row r="565" spans="18:18">
      <c r="R565" s="22" t="s">
        <v>3959</v>
      </c>
    </row>
    <row r="566" spans="18:18">
      <c r="R566" s="22" t="s">
        <v>3960</v>
      </c>
    </row>
    <row r="567" spans="18:18">
      <c r="R567" s="22" t="s">
        <v>3961</v>
      </c>
    </row>
    <row r="568" spans="18:18">
      <c r="R568" s="22" t="s">
        <v>3962</v>
      </c>
    </row>
    <row r="569" spans="18:18">
      <c r="R569" s="22" t="s">
        <v>3963</v>
      </c>
    </row>
    <row r="570" spans="18:18">
      <c r="R570" s="22" t="s">
        <v>3964</v>
      </c>
    </row>
    <row r="571" spans="18:18">
      <c r="R571" s="22" t="s">
        <v>3965</v>
      </c>
    </row>
    <row r="572" spans="18:18">
      <c r="R572" s="22" t="s">
        <v>3966</v>
      </c>
    </row>
    <row r="573" spans="18:18">
      <c r="R573" s="22" t="s">
        <v>3967</v>
      </c>
    </row>
    <row r="574" spans="18:18">
      <c r="R574" s="22" t="s">
        <v>3968</v>
      </c>
    </row>
    <row r="575" spans="18:18">
      <c r="R575" s="22" t="s">
        <v>3969</v>
      </c>
    </row>
    <row r="576" spans="18:18">
      <c r="R576" s="22" t="s">
        <v>3970</v>
      </c>
    </row>
    <row r="577" spans="18:18">
      <c r="R577" s="22" t="s">
        <v>3971</v>
      </c>
    </row>
    <row r="578" spans="18:18">
      <c r="R578" s="22" t="s">
        <v>3972</v>
      </c>
    </row>
    <row r="579" spans="18:18">
      <c r="R579" s="22" t="s">
        <v>3973</v>
      </c>
    </row>
    <row r="580" spans="18:18">
      <c r="R580" s="22" t="s">
        <v>3974</v>
      </c>
    </row>
    <row r="581" spans="18:18">
      <c r="R581" s="22" t="s">
        <v>3975</v>
      </c>
    </row>
    <row r="582" spans="18:18">
      <c r="R582" s="22" t="s">
        <v>3976</v>
      </c>
    </row>
    <row r="583" spans="18:18">
      <c r="R583" s="22" t="s">
        <v>3977</v>
      </c>
    </row>
    <row r="584" spans="18:18">
      <c r="R584" s="22" t="s">
        <v>3978</v>
      </c>
    </row>
    <row r="585" spans="18:18">
      <c r="R585" s="22" t="s">
        <v>3979</v>
      </c>
    </row>
    <row r="586" spans="18:18">
      <c r="R586" s="22" t="s">
        <v>3980</v>
      </c>
    </row>
    <row r="587" spans="18:18">
      <c r="R587" s="22" t="s">
        <v>3981</v>
      </c>
    </row>
    <row r="588" spans="18:18">
      <c r="R588" s="22" t="s">
        <v>3982</v>
      </c>
    </row>
    <row r="589" spans="18:18">
      <c r="R589" s="22" t="s">
        <v>3983</v>
      </c>
    </row>
    <row r="590" spans="18:18">
      <c r="R590" s="22" t="s">
        <v>3984</v>
      </c>
    </row>
    <row r="591" spans="18:18">
      <c r="R591" s="22" t="s">
        <v>3985</v>
      </c>
    </row>
    <row r="592" spans="18:18">
      <c r="R592" s="22" t="s">
        <v>3986</v>
      </c>
    </row>
    <row r="593" spans="18:18">
      <c r="R593" s="22" t="s">
        <v>3987</v>
      </c>
    </row>
    <row r="594" spans="18:18">
      <c r="R594" s="22" t="s">
        <v>3988</v>
      </c>
    </row>
    <row r="595" spans="18:18">
      <c r="R595" s="22" t="s">
        <v>3989</v>
      </c>
    </row>
    <row r="596" spans="18:18">
      <c r="R596" s="22" t="s">
        <v>3990</v>
      </c>
    </row>
    <row r="597" spans="18:18">
      <c r="R597" s="22" t="s">
        <v>3991</v>
      </c>
    </row>
    <row r="598" spans="18:18">
      <c r="R598" s="22" t="s">
        <v>3992</v>
      </c>
    </row>
    <row r="599" spans="18:18">
      <c r="R599" s="22" t="s">
        <v>3993</v>
      </c>
    </row>
    <row r="600" spans="18:18">
      <c r="R600" s="22" t="s">
        <v>3994</v>
      </c>
    </row>
    <row r="601" spans="18:18">
      <c r="R601" s="22" t="s">
        <v>3995</v>
      </c>
    </row>
    <row r="602" spans="18:18">
      <c r="R602" s="22" t="s">
        <v>3996</v>
      </c>
    </row>
    <row r="603" spans="18:18">
      <c r="R603" s="22" t="s">
        <v>3997</v>
      </c>
    </row>
    <row r="604" spans="18:18">
      <c r="R604" s="22" t="s">
        <v>3998</v>
      </c>
    </row>
    <row r="605" spans="18:18">
      <c r="R605" s="22" t="s">
        <v>3999</v>
      </c>
    </row>
    <row r="606" spans="18:18">
      <c r="R606" s="22" t="s">
        <v>4000</v>
      </c>
    </row>
    <row r="607" spans="18:18">
      <c r="R607" s="22" t="s">
        <v>4001</v>
      </c>
    </row>
    <row r="608" spans="18:18">
      <c r="R608" s="22" t="s">
        <v>4002</v>
      </c>
    </row>
    <row r="609" spans="18:18">
      <c r="R609" s="22" t="s">
        <v>4003</v>
      </c>
    </row>
    <row r="610" spans="18:18">
      <c r="R610" s="22" t="s">
        <v>4004</v>
      </c>
    </row>
    <row r="611" spans="18:18">
      <c r="R611" s="22" t="s">
        <v>4005</v>
      </c>
    </row>
    <row r="612" spans="18:18">
      <c r="R612" s="22" t="s">
        <v>4006</v>
      </c>
    </row>
    <row r="613" spans="18:18">
      <c r="R613" s="22" t="s">
        <v>4007</v>
      </c>
    </row>
    <row r="614" spans="18:18">
      <c r="R614" s="22" t="s">
        <v>4008</v>
      </c>
    </row>
    <row r="615" spans="18:18">
      <c r="R615" s="22" t="s">
        <v>4009</v>
      </c>
    </row>
    <row r="616" spans="18:18">
      <c r="R616" s="22" t="s">
        <v>4010</v>
      </c>
    </row>
    <row r="617" spans="18:18">
      <c r="R617" s="22" t="s">
        <v>4011</v>
      </c>
    </row>
    <row r="618" spans="18:18">
      <c r="R618" s="22" t="s">
        <v>4012</v>
      </c>
    </row>
    <row r="619" spans="18:18">
      <c r="R619" s="22" t="s">
        <v>4013</v>
      </c>
    </row>
    <row r="620" spans="18:18">
      <c r="R620" s="22" t="s">
        <v>4014</v>
      </c>
    </row>
    <row r="621" spans="18:18">
      <c r="R621" s="22" t="s">
        <v>4015</v>
      </c>
    </row>
    <row r="622" spans="18:18">
      <c r="R622" s="22" t="s">
        <v>4016</v>
      </c>
    </row>
    <row r="623" spans="18:18">
      <c r="R623" s="22" t="s">
        <v>4017</v>
      </c>
    </row>
    <row r="624" spans="18:18">
      <c r="R624" s="22" t="s">
        <v>4018</v>
      </c>
    </row>
    <row r="625" spans="18:18">
      <c r="R625" s="22" t="s">
        <v>4019</v>
      </c>
    </row>
    <row r="626" spans="18:18">
      <c r="R626" s="22" t="s">
        <v>4020</v>
      </c>
    </row>
    <row r="627" spans="18:18">
      <c r="R627" s="22" t="s">
        <v>4021</v>
      </c>
    </row>
    <row r="628" spans="18:18">
      <c r="R628" s="22" t="s">
        <v>4022</v>
      </c>
    </row>
    <row r="629" spans="18:18">
      <c r="R629" s="22" t="s">
        <v>4023</v>
      </c>
    </row>
    <row r="630" spans="18:18">
      <c r="R630" s="22" t="s">
        <v>4024</v>
      </c>
    </row>
    <row r="631" spans="18:18">
      <c r="R631" s="22" t="s">
        <v>4025</v>
      </c>
    </row>
    <row r="632" spans="18:18">
      <c r="R632" s="22" t="s">
        <v>4026</v>
      </c>
    </row>
    <row r="633" spans="18:18">
      <c r="R633" s="22" t="s">
        <v>4016</v>
      </c>
    </row>
    <row r="634" spans="18:18">
      <c r="R634" s="22" t="s">
        <v>4017</v>
      </c>
    </row>
    <row r="635" spans="18:18">
      <c r="R635" s="22" t="s">
        <v>4018</v>
      </c>
    </row>
    <row r="636" spans="18:18">
      <c r="R636" s="22" t="s">
        <v>4274</v>
      </c>
    </row>
    <row r="637" spans="18:18">
      <c r="R637" s="22" t="s">
        <v>4275</v>
      </c>
    </row>
    <row r="638" spans="18:18">
      <c r="R638" s="22" t="s">
        <v>4276</v>
      </c>
    </row>
    <row r="639" spans="18:18">
      <c r="R639" s="22" t="s">
        <v>4019</v>
      </c>
    </row>
    <row r="640" spans="18:18">
      <c r="R640" s="22" t="s">
        <v>4020</v>
      </c>
    </row>
    <row r="641" spans="18:18">
      <c r="R641" s="22" t="s">
        <v>4021</v>
      </c>
    </row>
    <row r="642" spans="18:18">
      <c r="R642" s="22" t="s">
        <v>4022</v>
      </c>
    </row>
    <row r="643" spans="18:18">
      <c r="R643" s="22" t="s">
        <v>4023</v>
      </c>
    </row>
    <row r="644" spans="18:18">
      <c r="R644" s="22" t="s">
        <v>4024</v>
      </c>
    </row>
    <row r="645" spans="18:18">
      <c r="R645" s="22" t="s">
        <v>4025</v>
      </c>
    </row>
    <row r="646" spans="18:18">
      <c r="R646" s="22" t="s">
        <v>4026</v>
      </c>
    </row>
    <row r="647" spans="18:18">
      <c r="R647" s="22" t="s">
        <v>4022</v>
      </c>
    </row>
    <row r="648" spans="18:18">
      <c r="R648" s="22" t="s">
        <v>4023</v>
      </c>
    </row>
    <row r="649" spans="18:18">
      <c r="R649" s="22" t="s">
        <v>4024</v>
      </c>
    </row>
    <row r="650" spans="18:18">
      <c r="R650" s="22" t="s">
        <v>4025</v>
      </c>
    </row>
    <row r="651" spans="18:18">
      <c r="R651" s="22" t="s">
        <v>4026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10</vt:i4>
      </vt:variant>
    </vt:vector>
  </HeadingPairs>
  <TitlesOfParts>
    <vt:vector size="22" baseType="lpstr">
      <vt:lpstr>메인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2021-11-08T08:05:41Z</dcterms:modified>
</cp:coreProperties>
</file>