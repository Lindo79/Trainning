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8534D864-DD6C-4A96-810E-3D4E6A7F1754}" xr6:coauthVersionLast="47" xr6:coauthVersionMax="47" xr10:uidLastSave="{00000000-0000-0000-0000-000000000000}"/>
  <bookViews>
    <workbookView xWindow="-108" yWindow="-108" windowWidth="23256" windowHeight="12576" activeTab="1" xr2:uid="{76938E8D-66E0-49BD-A941-AB682D8F9E78}"/>
  </bookViews>
  <sheets>
    <sheet name="메인" sheetId="8" r:id="rId1"/>
    <sheet name="인덴트관리" sheetId="9" r:id="rId2"/>
    <sheet name="PO관리" sheetId="10" r:id="rId3"/>
    <sheet name="dupl_po" sheetId="12" r:id="rId4"/>
    <sheet name="code" sheetId="7" r:id="rId5"/>
    <sheet name="validation" sheetId="11" r:id="rId6"/>
    <sheet name="매출채권" sheetId="4" state="hidden" r:id="rId7"/>
  </sheets>
  <functionGroups builtInGroupCount="19"/>
  <definedNames>
    <definedName name="_xlnm._FilterDatabase" localSheetId="2" hidden="1">PO관리!$A$4:$M$331</definedName>
    <definedName name="_xlnm._FilterDatabase" localSheetId="1" hidden="1">인덴트관리!$A$4:$M$53</definedName>
    <definedName name="부서명">code!$B$2:$B$7</definedName>
    <definedName name="시즌년도">code!$H$2:$H$5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<sst xmlns="http://schemas.openxmlformats.org/spreadsheetml/2006/main" count="12610" uniqueCount="3312">
  <si>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</si>
  <si>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</si>
  <si>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</si>
  <si>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</si>
  <si>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</si>
  <si>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</si>
  <si>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</si>
  <si>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</si>
  <si>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</si>
  <si>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</si>
  <si>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</si>
  <si>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</si>
  <si>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</si>
  <si>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</si>
  <si>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</si>
  <si>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</si>
  <si>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</si>
  <si>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</si>
  <si>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</si>
  <si>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</si>
  <si>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</si>
  <si>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</si>
  <si>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</si>
  <si>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</si>
  <si>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</si>
  <si>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</si>
  <si>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</si>
  <si>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</si>
  <si>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</si>
  <si>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</si>
  <si>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</si>
  <si>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</si>
  <si>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</si>
  <si>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</si>
  <si>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</si>
  <si>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</si>
  <si>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</si>
  <si>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</si>
  <si>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</si>
  <si>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</si>
  <si>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</si>
  <si>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</si>
  <si>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</si>
  <si>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</si>
  <si>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</si>
  <si>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</si>
  <si>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</si>
  <si>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</si>
  <si>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</si>
  <si>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</si>
  <si>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</si>
  <si>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</si>
  <si>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</si>
  <si>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</si>
  <si>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</si>
  <si>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</si>
  <si>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</si>
  <si>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</si>
  <si>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</si>
  <si>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</si>
  <si>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</si>
  <si>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</si>
  <si>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</si>
  <si>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</si>
  <si>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</si>
  <si>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</si>
  <si>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</si>
  <si>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</si>
  <si>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</si>
  <si>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</si>
  <si>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</si>
  <si>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</si>
  <si>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</si>
  <si>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</si>
  <si>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</si>
  <si>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</si>
  <si>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</si>
  <si>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</si>
  <si>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</si>
  <si>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</si>
  <si>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</si>
  <si>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</si>
  <si>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</si>
  <si>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</si>
  <si>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</si>
  <si>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</si>
  <si>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</si>
  <si>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</si>
  <si>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</si>
  <si>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</si>
  <si>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</si>
  <si>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</si>
  <si>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</si>
  <si>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</si>
  <si>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</si>
  <si>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</si>
  <si>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</si>
  <si>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</si>
  <si>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</si>
  <si>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</si>
  <si>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</si>
  <si>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</si>
  <si>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</si>
  <si>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</si>
  <si>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</si>
  <si>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</si>
  <si>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</si>
  <si>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</si>
  <si>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</si>
  <si>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</si>
  <si>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</si>
  <si>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</si>
  <si>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</si>
  <si>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</si>
  <si>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</si>
  <si>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</si>
  <si>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</si>
  <si>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</si>
  <si>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</si>
  <si>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</si>
  <si>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</si>
  <si>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</si>
  <si>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</si>
  <si>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</si>
  <si>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</si>
  <si>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</si>
  <si>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</si>
  <si>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</si>
  <si>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</si>
  <si>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</si>
  <si>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</si>
  <si>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</si>
  <si>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</si>
  <si>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</si>
  <si>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</si>
  <si>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</si>
  <si>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</si>
  <si>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</si>
  <si>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</si>
  <si>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</si>
  <si>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</si>
  <si>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</si>
  <si>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</si>
  <si>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</si>
  <si>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</si>
  <si>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</si>
  <si>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</si>
  <si>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</si>
  <si>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</si>
  <si>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</si>
  <si>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</si>
  <si>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</si>
  <si>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</si>
  <si>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</si>
  <si>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</si>
  <si>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</si>
  <si>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</si>
  <si>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</si>
  <si>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</si>
  <si>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</si>
  <si>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</si>
  <si>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</si>
  <si>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</si>
  <si>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</si>
  <si>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</si>
  <si>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</si>
  <si>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</si>
  <si>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</si>
  <si>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</si>
  <si>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</si>
  <si>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</si>
  <si>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</si>
  <si>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</si>
  <si>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</si>
  <si>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</si>
  <si>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</si>
  <si>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</si>
  <si>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</si>
  <si>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</si>
  <si>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</si>
  <si>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</si>
  <si>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</si>
  <si>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</si>
  <si>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</si>
  <si>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</si>
  <si>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</si>
  <si>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</si>
  <si>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</si>
  <si>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</si>
  <si>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</si>
  <si>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</si>
  <si>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</si>
  <si>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</si>
  <si>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</si>
  <si>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</si>
  <si>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</si>
  <si>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</si>
  <si>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</si>
  <si>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</si>
  <si>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</si>
  <si>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</si>
  <si>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</si>
  <si>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</si>
  <si>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</si>
  <si>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</si>
  <si>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</si>
  <si>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</si>
  <si>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</si>
  <si>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</si>
  <si>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</si>
  <si>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</si>
  <si>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</si>
  <si>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</si>
  <si>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</si>
  <si>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</si>
  <si>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</si>
  <si>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</si>
  <si>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</si>
  <si>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</si>
  <si>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</si>
  <si>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</si>
  <si>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</si>
  <si>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</si>
  <si>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</si>
  <si>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</si>
  <si>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</si>
  <si>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</si>
  <si>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</si>
  <si>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</si>
  <si>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</si>
  <si>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</si>
  <si>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</si>
  <si>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</si>
  <si>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</si>
  <si>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</si>
  <si>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</si>
  <si>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</si>
  <si>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</si>
  <si>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</si>
  <si>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</si>
  <si>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</si>
  <si>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</si>
  <si>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</si>
  <si>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</si>
  <si>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</si>
  <si>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</si>
  <si>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</si>
  <si>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</si>
  <si>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</si>
  <si>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</si>
  <si>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</si>
  <si>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</si>
  <si>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</si>
  <si>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</si>
  <si>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</si>
  <si>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</si>
  <si>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</si>
  <si>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</si>
  <si>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</si>
  <si>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</si>
  <si>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</si>
  <si>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</si>
  <si>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</si>
  <si>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</si>
  <si>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</si>
  <si>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</si>
  <si>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</si>
  <si>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</si>
  <si>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</si>
  <si>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</si>
  <si>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</si>
  <si>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</si>
  <si>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</si>
  <si>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</si>
  <si>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</si>
  <si>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</si>
  <si>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</si>
  <si>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</si>
  <si>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</si>
  <si>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</si>
  <si>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</si>
  <si>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</si>
  <si>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</si>
  <si>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</si>
  <si>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</si>
  <si>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</si>
  <si>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</si>
  <si>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</si>
  <si>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</si>
  <si>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</si>
  <si>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</si>
  <si>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</si>
  <si>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</si>
  <si>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</si>
  <si>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</si>
  <si>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</si>
  <si>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</si>
  <si>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</si>
  <si>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</si>
  <si>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</si>
  <si>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</si>
  <si>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</si>
  <si>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</si>
  <si>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</si>
  <si>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</si>
  <si>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</si>
  <si>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</si>
  <si>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</si>
  <si>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</si>
  <si>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</si>
  <si>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</si>
  <si>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</si>
  <si>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</si>
  <si>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</si>
  <si>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</si>
  <si>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</si>
  <si>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</si>
  <si>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</si>
  <si>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</si>
  <si>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</si>
  <si>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</si>
  <si>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</si>
  <si>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</si>
  <si>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</si>
  <si>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</si>
  <si>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</si>
  <si>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</si>
  <si>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</si>
  <si>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</si>
  <si>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</si>
  <si>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</si>
  <si>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</si>
  <si>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</si>
  <si>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</si>
  <si>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</si>
  <si>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</si>
  <si>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</si>
  <si>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</si>
  <si>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</si>
  <si>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</si>
  <si>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</si>
  <si>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</si>
  <si>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</si>
  <si>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</si>
  <si>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</si>
  <si>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</si>
  <si>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</si>
  <si>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</si>
  <si>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</si>
  <si>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</si>
  <si>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</si>
  <si>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</si>
  <si>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</si>
  <si>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</si>
  <si>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</si>
  <si>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</si>
  <si>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</si>
  <si>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</si>
  <si>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</si>
  <si>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</si>
  <si>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</si>
  <si>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</si>
  <si>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</si>
  <si>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</si>
  <si>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</si>
  <si>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</si>
  <si>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</si>
  <si>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</si>
  <si>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</si>
  <si>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</si>
  <si>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</si>
  <si>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</si>
  <si>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</si>
  <si>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</si>
  <si>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</si>
  <si>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</si>
  <si>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</si>
  <si>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</si>
  <si>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</si>
  <si>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</si>
  <si>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</si>
  <si>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</si>
  <si>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</si>
  <si>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</si>
  <si>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</si>
  <si>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</si>
  <si>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</si>
  <si>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</si>
  <si>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</si>
  <si>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</si>
  <si>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</si>
  <si>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</si>
  <si>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</si>
  <si>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</si>
  <si>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</si>
  <si>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</si>
  <si>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</si>
  <si>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</si>
  <si>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</si>
  <si>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</si>
  <si>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</si>
  <si>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</si>
  <si>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</si>
  <si>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</si>
  <si>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</si>
  <si>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</si>
  <si>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</si>
  <si>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</si>
  <si>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</si>
  <si>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</si>
  <si>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</si>
  <si>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</si>
  <si>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</si>
  <si>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</si>
  <si>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</si>
  <si>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</si>
  <si>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</si>
  <si>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</si>
  <si>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</si>
  <si>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</si>
  <si>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</si>
  <si>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</si>
  <si>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</si>
  <si>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</si>
  <si>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</si>
  <si>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</si>
  <si>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</si>
  <si>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</si>
  <si>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</si>
  <si>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</si>
  <si>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</si>
  <si>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</si>
  <si>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</si>
  <si>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</si>
  <si>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</si>
  <si>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</si>
  <si>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</si>
  <si>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</si>
  <si>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</si>
  <si>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</si>
  <si>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</si>
  <si>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</si>
  <si>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</si>
  <si>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</si>
  <si>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</si>
  <si>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</si>
  <si>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</si>
  <si>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</si>
  <si>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</si>
  <si>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</si>
  <si>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</si>
  <si>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</si>
  <si>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</si>
  <si>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</si>
  <si>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</si>
  <si>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</si>
  <si>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</si>
  <si>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</si>
  <si>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</si>
  <si>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</si>
  <si>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</si>
  <si>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</si>
  <si>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</si>
  <si>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</si>
  <si>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</si>
  <si>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</si>
  <si>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</si>
  <si>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</si>
  <si>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</si>
  <si>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</si>
  <si>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</si>
  <si>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</si>
  <si>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</si>
  <si>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</si>
  <si>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</si>
  <si>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</si>
  <si>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</si>
  <si>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</si>
  <si>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</si>
  <si>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</si>
  <si>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</si>
  <si>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</si>
  <si>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</si>
  <si>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</si>
  <si>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</si>
  <si>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</si>
  <si>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</si>
  <si>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</si>
  <si>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</si>
  <si>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</si>
  <si>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</si>
  <si>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</si>
  <si>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</si>
  <si>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</si>
  <si>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</si>
  <si>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</si>
  <si>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</si>
  <si>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</si>
  <si>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</si>
  <si>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</si>
  <si>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</si>
  <si>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</si>
  <si>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</si>
  <si>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</si>
  <si>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</si>
  <si>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</si>
  <si>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</si>
  <si>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</si>
  <si>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</si>
  <si>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</si>
  <si>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</si>
  <si>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</si>
  <si>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</si>
  <si>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</si>
  <si>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</si>
  <si>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</si>
  <si>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</si>
  <si>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</si>
  <si>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</si>
  <si>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</si>
  <si>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</si>
  <si>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</si>
  <si>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</si>
  <si>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</si>
  <si>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</si>
  <si>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</si>
  <si>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</si>
  <si>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</si>
  <si>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</si>
  <si>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</si>
  <si>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</si>
  <si>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</si>
  <si>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</si>
  <si>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</si>
  <si>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</si>
  <si>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</si>
  <si>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</si>
  <si>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</si>
  <si>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</si>
  <si>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</si>
  <si>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</si>
  <si>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</si>
  <si>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</si>
  <si>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</si>
  <si>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</si>
  <si>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</si>
  <si>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</si>
  <si>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</si>
  <si>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</si>
  <si>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</si>
  <si>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</si>
  <si>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</si>
  <si>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</si>
  <si>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</si>
  <si>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</si>
  <si>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</si>
  <si>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</si>
  <si>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</si>
  <si>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</si>
  <si>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</si>
  <si>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</si>
  <si>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</si>
  <si>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</si>
  <si>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</si>
  <si>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</si>
  <si>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</si>
  <si>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</si>
  <si>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</si>
  <si>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</si>
  <si>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</si>
  <si>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</si>
  <si>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</si>
  <si>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</si>
  <si>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</si>
  <si>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</si>
  <si>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</si>
  <si>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</si>
  <si>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</si>
  <si>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</si>
  <si>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</si>
  <si>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</si>
  <si>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</si>
  <si>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</si>
  <si>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</si>
  <si>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</si>
  <si>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</si>
  <si>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</si>
  <si>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</si>
  <si>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</si>
  <si>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</si>
  <si>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</si>
  <si>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</si>
  <si>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</si>
  <si>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</si>
  <si>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</si>
  <si>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</si>
  <si>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</si>
  <si>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</si>
  <si>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</si>
  <si>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</si>
  <si>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</si>
  <si>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</si>
  <si>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</si>
  <si>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</si>
  <si>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</si>
  <si>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</si>
  <si>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</si>
  <si>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</si>
  <si>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</si>
  <si>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</si>
  <si>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</si>
  <si>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</si>
  <si>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</si>
  <si>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</si>
  <si>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</si>
  <si>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</si>
  <si>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</si>
  <si>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</si>
  <si>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</si>
  <si>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</si>
  <si>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</si>
  <si>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</si>
  <si>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</si>
  <si>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</si>
  <si>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</si>
  <si>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</si>
  <si>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</si>
  <si>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</si>
  <si>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</si>
  <si>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</si>
  <si>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</si>
  <si>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</si>
  <si>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</si>
  <si>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</si>
  <si>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</si>
  <si>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</si>
  <si>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</si>
  <si>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</si>
  <si>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</si>
  <si>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</si>
  <si>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</si>
  <si>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</si>
  <si>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</si>
  <si>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</si>
  <si>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</si>
  <si>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</si>
  <si>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</si>
  <si>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</si>
  <si>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</si>
  <si>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</si>
  <si>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</si>
  <si>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</si>
  <si>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</si>
  <si>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</si>
  <si>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</si>
  <si>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</si>
  <si>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</si>
  <si>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</si>
  <si>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</si>
  <si>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</si>
  <si>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</si>
  <si>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</si>
  <si>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</si>
  <si>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</si>
  <si>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</si>
  <si>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</si>
  <si>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</si>
  <si>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</si>
  <si>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</si>
  <si>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</si>
  <si>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</si>
  <si>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</si>
  <si>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</si>
  <si>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</si>
  <si>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</si>
  <si>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</si>
  <si>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</si>
  <si>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</si>
  <si>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</si>
  <si>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</si>
  <si>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</si>
  <si>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</si>
  <si>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</si>
  <si>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</si>
  <si>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</si>
  <si>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</si>
  <si>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</si>
  <si>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</si>
  <si>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</si>
  <si>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</si>
  <si>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</si>
  <si>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</si>
  <si>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</si>
  <si>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</si>
  <si>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</si>
  <si>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</si>
  <si>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</si>
  <si>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</si>
  <si>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</si>
  <si>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</si>
  <si>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</si>
  <si>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</si>
  <si>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</si>
  <si>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</si>
  <si>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</si>
  <si>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</si>
  <si>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</si>
  <si>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</si>
  <si>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</si>
  <si>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</si>
  <si>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</si>
  <si>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</si>
  <si>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</si>
  <si>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</si>
  <si>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</si>
  <si>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</si>
  <si>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</si>
  <si>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</si>
  <si>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</si>
  <si>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</si>
  <si>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</si>
  <si>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</si>
  <si>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</si>
  <si>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</si>
  <si>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</si>
  <si>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</si>
  <si>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</si>
  <si>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</si>
  <si>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</si>
  <si>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</si>
  <si>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</si>
  <si>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</si>
  <si>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</si>
  <si>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</si>
  <si>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</si>
  <si>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</si>
  <si>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</si>
  <si>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</si>
  <si>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</si>
  <si>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</si>
  <si>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</si>
  <si>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</si>
  <si>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</si>
  <si>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</si>
  <si>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</si>
  <si>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</si>
  <si>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</si>
  <si>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</si>
  <si>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</si>
  <si>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</si>
  <si>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</si>
  <si>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</si>
  <si>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</si>
  <si>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</si>
  <si>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</si>
  <si>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</si>
  <si>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</si>
  <si>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</si>
  <si>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</si>
  <si>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</si>
  <si>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</si>
  <si>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</si>
  <si>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</si>
  <si>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</si>
  <si>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</si>
  <si>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</si>
  <si>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</si>
  <si>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</si>
  <si>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</si>
  <si>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</si>
  <si>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</si>
  <si>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</si>
  <si>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</si>
  <si>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</si>
  <si>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</si>
  <si>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</si>
  <si>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</si>
  <si>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</si>
  <si>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</si>
  <si>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</si>
  <si>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</si>
  <si>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</si>
  <si>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</si>
  <si>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</si>
  <si>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</si>
  <si>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</si>
  <si>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</si>
  <si>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</si>
  <si>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</si>
  <si>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</si>
  <si>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</si>
  <si>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</si>
  <si>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</si>
  <si>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</si>
  <si>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</si>
  <si>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</si>
  <si>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</si>
  <si>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</si>
  <si>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</si>
  <si>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</si>
  <si>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</si>
  <si>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</si>
  <si>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</si>
  <si>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</si>
  <si>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</si>
  <si>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</si>
  <si>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</si>
  <si>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</si>
  <si>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</si>
  <si>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</si>
  <si>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</si>
  <si>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</si>
  <si>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</si>
  <si>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</si>
  <si>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</si>
  <si>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</si>
  <si>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</si>
  <si>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</si>
  <si>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</si>
  <si>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</si>
  <si>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</si>
  <si>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</si>
  <si>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</si>
  <si>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</si>
  <si>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</si>
  <si>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</si>
  <si>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</si>
  <si>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</si>
  <si>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</si>
  <si>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</si>
  <si>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</si>
  <si>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</si>
  <si>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</si>
  <si>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</si>
  <si>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</si>
  <si>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</si>
  <si>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</si>
  <si>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</si>
  <si>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</si>
  <si>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</si>
  <si>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</si>
  <si>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</si>
  <si>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</si>
  <si>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</si>
  <si>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</si>
  <si>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</si>
  <si>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</si>
  <si>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</si>
  <si>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</si>
  <si>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</si>
  <si>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</si>
  <si>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</si>
  <si>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</si>
  <si>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</si>
  <si>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</si>
  <si>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</si>
  <si>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</si>
  <si>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</si>
  <si>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</si>
  <si>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</si>
  <si>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</si>
  <si>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</si>
  <si>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</si>
  <si>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</si>
  <si>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</si>
  <si>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</si>
  <si>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</si>
  <si>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</si>
  <si>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</si>
  <si>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</si>
  <si>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</si>
  <si>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</si>
  <si>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</si>
  <si>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</si>
  <si>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</si>
  <si>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</si>
  <si>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</si>
  <si>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</si>
  <si>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</si>
  <si>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</si>
  <si>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</si>
  <si>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</si>
  <si>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</si>
  <si>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</si>
  <si>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</si>
  <si>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</si>
  <si>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</si>
  <si>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</si>
  <si>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</si>
  <si>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</si>
  <si>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</si>
  <si>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</si>
  <si>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</si>
  <si>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</si>
  <si>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</si>
  <si>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</si>
  <si>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</si>
  <si>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</si>
  <si>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</si>
  <si>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</si>
  <si>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</si>
  <si>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</si>
  <si>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</si>
  <si>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</si>
  <si>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</si>
  <si>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</si>
  <si>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</si>
  <si>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</si>
  <si>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</si>
  <si>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</si>
  <si>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</si>
  <si>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</si>
  <si>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</si>
  <si>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</si>
  <si>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</si>
  <si>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</si>
  <si>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</si>
  <si>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</si>
  <si>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</si>
  <si>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</si>
  <si>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</si>
  <si>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</si>
  <si>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</si>
  <si>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</si>
  <si>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</si>
  <si>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</si>
  <si>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</si>
  <si>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</si>
  <si>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</si>
  <si>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</si>
  <si>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</si>
  <si>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</si>
  <si>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</si>
  <si>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</si>
  <si>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</si>
  <si>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</si>
  <si>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</si>
  <si>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</si>
  <si>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</si>
  <si>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</si>
  <si>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</si>
  <si>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</si>
  <si>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</si>
  <si>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</si>
  <si>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</si>
  <si>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</si>
  <si>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</si>
  <si>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</si>
  <si>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</si>
  <si>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</si>
  <si>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</si>
  <si>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</si>
  <si>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</si>
  <si>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</si>
  <si>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</si>
  <si>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</si>
  <si>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</si>
  <si>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</si>
  <si>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</si>
  <si>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</si>
  <si>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</si>
  <si>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</si>
  <si>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</si>
  <si>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</si>
  <si>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</si>
  <si>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</si>
  <si>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</si>
  <si>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</si>
  <si>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</si>
  <si>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</si>
  <si>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</si>
  <si>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</si>
  <si>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</si>
  <si>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</si>
  <si>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</si>
  <si>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</si>
  <si>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</si>
  <si>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</si>
  <si>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</si>
  <si>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</si>
  <si>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</si>
  <si>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</si>
  <si>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</si>
  <si>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</si>
  <si>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</si>
  <si>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</si>
  <si>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</si>
  <si>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</si>
  <si>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</si>
  <si>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</si>
  <si>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</si>
  <si>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</si>
  <si>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</si>
  <si>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</si>
  <si>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</si>
  <si>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</si>
  <si>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</si>
  <si>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</si>
  <si>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</si>
  <si>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</si>
  <si>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</si>
  <si>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</si>
  <si>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</si>
  <si>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</si>
  <si>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</si>
  <si>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</si>
  <si>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</si>
  <si>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</si>
  <si>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</si>
  <si>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</si>
  <si>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</si>
  <si>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</si>
  <si>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</si>
  <si>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</si>
  <si>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</si>
  <si>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</si>
  <si>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</si>
  <si>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</si>
  <si>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</si>
  <si>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</si>
  <si>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</si>
  <si>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</si>
  <si>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</si>
  <si>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</si>
  <si>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</si>
  <si>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</si>
  <si>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</si>
  <si>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</si>
  <si>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</si>
  <si>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</si>
  <si>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</si>
  <si>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</si>
  <si>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</si>
  <si>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</si>
  <si>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</si>
  <si>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</si>
  <si>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</si>
  <si>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</si>
  <si>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</si>
  <si>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</si>
  <si>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</si>
  <si>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</si>
  <si>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</si>
  <si>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</si>
  <si>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</si>
  <si>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</si>
  <si>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</si>
  <si>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</si>
  <si>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</si>
  <si>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</si>
  <si>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</si>
  <si>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</si>
  <si>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</si>
  <si>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</si>
  <si>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</si>
  <si>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</si>
  <si>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</si>
  <si>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</si>
  <si>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</si>
  <si>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</si>
  <si>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</si>
  <si>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</si>
  <si>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</si>
  <si>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</si>
  <si>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</si>
  <si>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</si>
  <si>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</si>
  <si>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</si>
  <si>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</si>
  <si>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</si>
  <si>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</si>
  <si>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</si>
  <si>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</si>
  <si>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</si>
  <si>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</si>
  <si>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</si>
  <si>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</si>
  <si>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</si>
  <si>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</si>
  <si>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</si>
  <si>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</si>
  <si>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</si>
  <si>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</si>
  <si>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</si>
  <si>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</si>
  <si>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</si>
  <si>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</si>
  <si>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</si>
  <si>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</si>
  <si>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</si>
  <si>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</si>
  <si>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</si>
  <si>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</si>
  <si>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</si>
  <si>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</si>
  <si>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</si>
  <si>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</si>
  <si>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</si>
  <si>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</si>
  <si>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</si>
  <si>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</si>
  <si>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</si>
  <si>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</si>
  <si>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</si>
  <si>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</si>
  <si>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</si>
  <si>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</si>
  <si>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</si>
  <si>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</si>
  <si>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</si>
  <si>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</si>
  <si>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</si>
  <si>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</si>
  <si>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</si>
  <si>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</si>
  <si>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</si>
  <si>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</si>
  <si>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</si>
  <si>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</si>
  <si>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</si>
  <si>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</si>
  <si>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</si>
  <si>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</si>
  <si>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</si>
  <si>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</si>
  <si>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</si>
  <si>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</si>
  <si>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</si>
  <si>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</si>
  <si>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</si>
  <si>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</si>
  <si>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</si>
  <si>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</si>
  <si>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</si>
  <si>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</si>
  <si>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</si>
  <si>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</si>
  <si>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</si>
  <si>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</si>
  <si>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</si>
  <si>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</si>
  <si>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</si>
  <si>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</si>
  <si>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</si>
  <si>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</si>
  <si>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</si>
  <si>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</si>
  <si>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</si>
  <si>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</si>
  <si>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</si>
  <si>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</si>
  <si>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</si>
  <si>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</si>
  <si>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</si>
  <si>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</si>
  <si>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</si>
  <si>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</si>
  <si>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</si>
  <si>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</si>
  <si>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</si>
  <si>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</si>
  <si>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</si>
  <si>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</si>
  <si>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</si>
  <si>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</si>
  <si>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</si>
  <si>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</si>
  <si>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</si>
  <si>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</si>
  <si>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</si>
  <si>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</si>
  <si>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</si>
  <si>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</si>
  <si>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</si>
  <si>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</si>
  <si>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</si>
  <si>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</si>
  <si>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</si>
  <si>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</si>
  <si>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</si>
  <si>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</si>
  <si>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</si>
  <si>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</si>
  <si>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</si>
  <si>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</si>
  <si>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</si>
  <si>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</si>
  <si>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</si>
  <si>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</si>
  <si>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</si>
  <si>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</si>
  <si>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</si>
  <si>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</si>
  <si>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</si>
  <si>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</si>
  <si>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</si>
  <si>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</si>
  <si>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</si>
  <si>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</si>
  <si>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</si>
  <si>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</si>
  <si>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</si>
  <si>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</si>
  <si>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</si>
  <si>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</si>
  <si>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</si>
  <si>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</si>
  <si>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</si>
  <si>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</si>
  <si>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</si>
  <si>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</si>
  <si>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</si>
  <si>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</si>
  <si>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</si>
  <si>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</si>
  <si>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</si>
  <si>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</si>
  <si>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</si>
  <si>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</si>
  <si>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</si>
  <si>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</si>
  <si>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</si>
  <si>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</si>
  <si>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</si>
  <si>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</si>
  <si>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</si>
  <si>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</si>
  <si>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</si>
  <si>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</si>
  <si>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</si>
  <si>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</si>
  <si>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</si>
  <si>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</si>
  <si>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</si>
  <si>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</si>
  <si>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</si>
  <si>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</si>
  <si>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</si>
  <si>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</si>
  <si>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</si>
  <si>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</si>
  <si>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</si>
  <si>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</si>
  <si>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</si>
  <si>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</si>
  <si>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</si>
  <si>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</si>
  <si>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</si>
  <si>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</si>
  <si>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</si>
  <si>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</si>
  <si>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</si>
  <si>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</si>
  <si>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</si>
  <si>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</si>
  <si>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</si>
  <si>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</si>
  <si>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</si>
  <si>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</si>
  <si>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</si>
  <si>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</si>
  <si>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</si>
  <si>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</si>
  <si>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</si>
  <si>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</si>
  <si>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</si>
  <si>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</si>
  <si>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</si>
  <si>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</si>
  <si>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</si>
  <si>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</si>
  <si>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</si>
  <si>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</si>
  <si>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</si>
  <si>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</si>
  <si>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</si>
  <si>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</si>
  <si>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</si>
  <si>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</si>
  <si>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</si>
  <si>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</si>
  <si>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</si>
  <si>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</si>
  <si>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</si>
  <si>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</si>
  <si>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</si>
  <si>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</si>
  <si>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</si>
  <si>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</si>
  <si>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</si>
  <si>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</si>
  <si>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</si>
  <si>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</si>
  <si>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</si>
  <si>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</si>
  <si>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</si>
  <si>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</si>
  <si>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</si>
  <si>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</si>
  <si>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</si>
  <si>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</si>
  <si>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</si>
  <si>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</si>
  <si>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</si>
  <si>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</si>
  <si>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</si>
  <si>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</si>
  <si>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</si>
  <si>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</si>
  <si>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</si>
  <si>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</si>
  <si>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</si>
  <si>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</si>
  <si>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</si>
  <si>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</si>
  <si>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</si>
  <si>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</si>
  <si>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</si>
  <si>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</si>
  <si>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</si>
  <si>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</si>
  <si>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</si>
  <si>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</si>
  <si>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</si>
  <si>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</si>
  <si>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</si>
  <si>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</si>
  <si>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</si>
  <si>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</si>
  <si>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</si>
  <si>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</si>
  <si>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</si>
  <si>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</si>
  <si>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</si>
  <si>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</si>
  <si>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</si>
  <si>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</si>
  <si>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</si>
  <si>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</si>
  <si>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</si>
  <si>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</si>
  <si>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</si>
  <si>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</si>
  <si>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</si>
  <si>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</si>
  <si>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</si>
  <si>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</si>
  <si>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</si>
  <si>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</si>
  <si>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</si>
  <si>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</si>
  <si>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</si>
  <si>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</si>
  <si>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</si>
  <si>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</si>
  <si>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</si>
  <si>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</si>
  <si>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</si>
  <si>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</si>
  <si>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</si>
  <si>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</si>
  <si>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</si>
  <si>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</si>
  <si>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</si>
  <si>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</si>
  <si>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</si>
  <si>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</si>
  <si>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</si>
  <si>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</si>
  <si>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</si>
  <si>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</si>
  <si>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</si>
  <si>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</si>
  <si>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</si>
  <si>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</si>
  <si>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</si>
  <si>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</si>
  <si>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</si>
  <si>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</si>
  <si>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</si>
  <si>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</si>
  <si>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</si>
  <si>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</si>
  <si>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</si>
  <si>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</si>
  <si>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</si>
  <si>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</si>
  <si>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</si>
  <si>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</si>
  <si>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</si>
  <si>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</si>
  <si>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</si>
  <si>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</si>
  <si>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</si>
  <si>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</si>
  <si>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</si>
  <si>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</si>
  <si>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</si>
  <si>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</si>
  <si>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</si>
  <si>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</si>
  <si>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</si>
  <si>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</si>
  <si>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</si>
  <si>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</si>
  <si>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</si>
  <si>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</si>
  <si>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</si>
  <si>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</si>
  <si>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</si>
  <si>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</si>
  <si>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</si>
  <si>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</si>
  <si>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</si>
  <si>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</si>
  <si>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</si>
  <si>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</si>
  <si>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</si>
  <si>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</si>
  <si>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</si>
  <si>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</si>
  <si>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</si>
  <si>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</si>
  <si>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</si>
  <si>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</si>
  <si>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</si>
  <si>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</si>
  <si>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</si>
  <si>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</si>
  <si>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</si>
  <si>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</si>
  <si>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</si>
  <si>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</si>
  <si>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</si>
  <si>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</si>
  <si>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</si>
  <si>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</si>
  <si>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</si>
  <si>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</si>
  <si>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</si>
  <si>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</si>
  <si>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</si>
  <si>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</si>
  <si>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</si>
  <si>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</si>
  <si>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</si>
  <si>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</si>
  <si>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</si>
  <si>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</si>
  <si>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</si>
  <si>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</si>
  <si>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</si>
  <si>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</si>
  <si>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</si>
  <si>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</si>
  <si>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</si>
  <si>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</si>
  <si>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</si>
  <si>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</si>
  <si>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</si>
  <si>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</si>
  <si>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</si>
  <si>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</si>
  <si>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</si>
  <si>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</si>
  <si>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</si>
  <si>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</si>
  <si>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</si>
  <si>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</si>
  <si>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</si>
  <si>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</si>
  <si>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</si>
  <si>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</si>
  <si>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</si>
  <si>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</si>
  <si>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</si>
  <si>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</si>
  <si>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</si>
  <si>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</si>
  <si>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</si>
  <si>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</si>
  <si>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</si>
  <si>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</si>
  <si>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</si>
  <si>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</si>
  <si>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</si>
  <si>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</si>
  <si>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</si>
  <si>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</si>
  <si>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</si>
  <si>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</si>
  <si>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</si>
  <si>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</si>
  <si>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</si>
  <si>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</si>
  <si>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</si>
  <si>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</si>
  <si>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</si>
  <si>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</si>
  <si>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</si>
  <si>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</si>
  <si>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</si>
  <si>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</si>
  <si>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</si>
  <si>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</si>
  <si>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</si>
  <si>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</si>
  <si>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</si>
  <si>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</si>
  <si>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</si>
  <si>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</si>
  <si>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</si>
  <si>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</si>
  <si>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</si>
  <si>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</si>
  <si>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</si>
  <si>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</si>
  <si>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</si>
  <si>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</si>
  <si>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</si>
  <si>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</si>
  <si>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</si>
  <si>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</si>
  <si>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</si>
  <si>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</si>
  <si>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</si>
  <si>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</si>
  <si>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</si>
  <si>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</si>
  <si>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</si>
  <si>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</si>
  <si>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</si>
  <si>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</si>
  <si>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</si>
  <si>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</si>
  <si>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</si>
  <si>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</si>
  <si>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</si>
  <si>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</si>
  <si>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</si>
  <si>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</si>
  <si>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</si>
  <si>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</si>
  <si>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</si>
  <si>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</si>
  <si>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</si>
  <si>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</si>
  <si>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</si>
  <si>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</si>
  <si>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</si>
  <si>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</si>
  <si>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</si>
  <si>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</si>
  <si>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</si>
  <si>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</si>
  <si>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</si>
  <si>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</si>
  <si>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</si>
  <si>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</si>
  <si>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</si>
  <si>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</si>
  <si>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</si>
  <si>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</si>
  <si>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</si>
  <si>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</si>
  <si>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</si>
  <si>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</si>
  <si>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</si>
  <si>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</si>
  <si>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</si>
  <si>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</si>
  <si>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</si>
  <si>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</si>
  <si>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</si>
  <si>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</si>
  <si>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</si>
  <si>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</si>
  <si>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</si>
  <si>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</si>
  <si>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</si>
  <si>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</si>
  <si>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</si>
  <si>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</si>
  <si>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</si>
  <si>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</si>
  <si>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</si>
  <si>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</si>
  <si>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</si>
  <si>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</si>
  <si>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</si>
  <si>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</si>
  <si>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</si>
  <si>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</si>
  <si>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</si>
  <si>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</si>
  <si>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</si>
  <si>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</si>
  <si>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</si>
  <si>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</si>
  <si>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</si>
  <si>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</si>
  <si>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</si>
  <si>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</si>
  <si>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</si>
  <si>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</si>
  <si>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</si>
  <si>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</si>
  <si>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</si>
  <si>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</si>
  <si>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</si>
  <si>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</si>
  <si>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</si>
  <si>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</si>
  <si>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</si>
  <si>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</si>
  <si>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</si>
  <si>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</si>
  <si>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</si>
  <si>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</si>
  <si>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</si>
  <si>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</si>
  <si>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</si>
  <si>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</si>
  <si>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</si>
  <si>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</si>
  <si>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</si>
  <si>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</si>
  <si>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</si>
  <si>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</si>
  <si>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</si>
  <si>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</si>
  <si>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</si>
  <si>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</si>
  <si>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</si>
  <si>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</si>
  <si>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</si>
  <si>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</si>
  <si>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</si>
  <si>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</si>
  <si>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</si>
  <si>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</si>
  <si>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</si>
  <si>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</si>
  <si>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</si>
  <si>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</si>
  <si>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</si>
  <si>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</si>
  <si>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</si>
  <si>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</si>
  <si>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</si>
  <si>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</si>
  <si>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</si>
  <si>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</si>
  <si>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</si>
  <si>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</si>
  <si>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</si>
  <si>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</si>
  <si>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</si>
  <si>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</si>
  <si>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</si>
  <si>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</si>
  <si>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</si>
  <si>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</si>
  <si>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</si>
  <si>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</si>
  <si>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</si>
  <si>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</si>
  <si>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</si>
  <si>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</si>
  <si>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</si>
  <si>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</si>
  <si>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</si>
  <si>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</si>
  <si>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</si>
  <si>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</si>
  <si>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</si>
  <si>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</si>
  <si>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</si>
  <si>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</si>
  <si>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</si>
  <si>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</si>
  <si>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</si>
  <si>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</si>
  <si>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</si>
  <si>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</si>
  <si>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</si>
  <si>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</si>
  <si>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</si>
  <si>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</si>
  <si>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</si>
  <si>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</si>
  <si>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</si>
  <si>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</si>
  <si>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</si>
  <si>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</si>
  <si>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</si>
  <si>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</si>
  <si>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</si>
  <si>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</si>
  <si>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</si>
  <si>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</si>
  <si>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</si>
  <si>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</si>
  <si>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</si>
  <si>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</si>
  <si>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</si>
  <si>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</si>
  <si>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</si>
  <si>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</si>
  <si>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</si>
  <si>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</si>
  <si>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</si>
  <si>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</si>
  <si>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</si>
  <si>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</si>
  <si>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</si>
  <si>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</si>
  <si>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</si>
  <si>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</si>
  <si>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</si>
  <si>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</si>
  <si>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</si>
  <si>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</si>
  <si>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</si>
  <si>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</si>
  <si>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</si>
  <si>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</si>
  <si>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</si>
  <si>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</si>
  <si>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</si>
  <si>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</si>
  <si>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</si>
  <si>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</si>
  <si>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</si>
  <si>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</si>
  <si>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</si>
  <si>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</si>
  <si>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</si>
  <si>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</si>
  <si>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</si>
  <si>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</si>
  <si>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</si>
  <si>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</si>
  <si>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</si>
  <si>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</si>
  <si>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</si>
  <si>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</si>
  <si>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</si>
  <si>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</si>
  <si>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</si>
  <si>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</si>
  <si>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</si>
  <si>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</si>
  <si>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</si>
  <si>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</si>
  <si>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</si>
  <si>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</si>
  <si>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</si>
  <si>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</si>
  <si>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</si>
  <si>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</si>
  <si>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</si>
  <si>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</si>
  <si>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</si>
  <si>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</si>
  <si>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</si>
  <si>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</si>
  <si>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</si>
  <si>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</si>
  <si>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</si>
  <si>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</si>
  <si>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</si>
  <si>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</si>
  <si>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</si>
  <si>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</si>
  <si>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</si>
  <si>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</si>
  <si>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</si>
  <si>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</si>
  <si>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</si>
  <si>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</si>
  <si>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</si>
  <si>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</si>
  <si>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</si>
  <si>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</si>
  <si>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</si>
  <si>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</si>
  <si>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</si>
  <si>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</si>
  <si>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</si>
  <si>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</si>
  <si>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</si>
  <si>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</si>
  <si>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</si>
  <si>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</si>
  <si>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</si>
  <si>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</si>
  <si>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</si>
  <si>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</si>
  <si>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</si>
  <si>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</si>
  <si>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</si>
  <si>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</si>
  <si>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</si>
  <si>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</si>
  <si>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</si>
  <si>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</si>
  <si>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</si>
  <si>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</si>
  <si>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</si>
  <si>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</si>
  <si>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</si>
  <si>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</si>
  <si>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</si>
  <si>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</si>
  <si>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</si>
  <si>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</si>
  <si>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</si>
  <si>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</si>
  <si>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</si>
  <si>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</si>
  <si>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</si>
  <si>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</si>
  <si>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</si>
  <si>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</si>
  <si>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</si>
  <si>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</si>
  <si>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</si>
  <si>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</si>
  <si>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</si>
  <si>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</si>
  <si>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</si>
  <si>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</si>
  <si>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</si>
  <si>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</si>
  <si>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</si>
  <si>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</si>
  <si>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</si>
  <si>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</si>
  <si>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</si>
  <si>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</si>
  <si>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</si>
  <si>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</si>
  <si>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</si>
  <si>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</si>
  <si>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</si>
  <si>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</si>
  <si>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</si>
  <si>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</si>
  <si>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</si>
  <si>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</si>
  <si>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</si>
  <si>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</si>
  <si>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</si>
  <si>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</si>
  <si>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</si>
  <si>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</si>
  <si>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</si>
  <si>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</si>
  <si>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</si>
  <si>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</si>
  <si>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</si>
  <si>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</si>
  <si>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</si>
  <si>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</si>
  <si>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</si>
  <si>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</si>
  <si>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</si>
  <si>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</si>
  <si>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</si>
  <si>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</si>
  <si>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</si>
  <si>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</si>
  <si>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</si>
  <si>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</si>
  <si>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</si>
  <si>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</si>
  <si>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</si>
  <si>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</si>
  <si>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</si>
  <si>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</si>
  <si>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</si>
  <si>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</si>
  <si>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</si>
  <si>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</si>
  <si>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</si>
  <si>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</si>
  <si>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</si>
  <si>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</si>
  <si>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</si>
  <si>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</si>
  <si>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</si>
  <si>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</si>
  <si>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</si>
  <si>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</si>
  <si>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</si>
  <si>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</si>
  <si>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</si>
  <si>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</si>
  <si>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</si>
  <si>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</si>
  <si>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</si>
  <si>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</si>
  <si>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</si>
  <si>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</si>
  <si>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</si>
  <si>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</si>
  <si>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</si>
  <si>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</si>
  <si>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</si>
  <si>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</si>
  <si>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</si>
  <si>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</si>
  <si>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</si>
  <si>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</si>
  <si>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</si>
  <si>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</si>
  <si>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</si>
  <si>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</si>
  <si>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</si>
  <si>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</si>
  <si>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</si>
  <si>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</si>
  <si>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</si>
  <si>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</si>
  <si>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</si>
  <si>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</si>
  <si>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</si>
  <si>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</si>
  <si>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</si>
  <si>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</si>
  <si>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</si>
  <si>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</si>
  <si>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</si>
  <si>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</si>
  <si>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</si>
  <si>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</si>
  <si>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</si>
  <si>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</si>
  <si>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</si>
  <si>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</si>
  <si>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</si>
  <si>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</si>
  <si>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</si>
  <si>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</si>
  <si>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</si>
  <si>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</si>
  <si>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</si>
  <si>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</si>
  <si>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</si>
  <si>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</si>
  <si>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</si>
  <si>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</si>
  <si>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</si>
  <si>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</si>
  <si>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</si>
  <si>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</si>
  <si>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</si>
  <si>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</si>
  <si>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</si>
  <si>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</si>
  <si>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</si>
  <si>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</si>
  <si>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</si>
  <si>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</si>
  <si>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</si>
  <si>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</si>
  <si>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</si>
  <si>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</si>
  <si>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</si>
  <si>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</si>
  <si>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</si>
  <si>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</si>
  <si>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</si>
  <si>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</si>
  <si>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</si>
  <si>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</si>
  <si>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</si>
  <si>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</si>
  <si>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</si>
  <si>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</si>
  <si>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</si>
  <si>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</si>
  <si>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</si>
  <si>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</si>
  <si>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</si>
  <si>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</si>
  <si>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</si>
  <si>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</si>
  <si>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</si>
  <si>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</si>
  <si>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</si>
  <si>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</si>
  <si>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</si>
  <si>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</si>
  <si>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</si>
  <si>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</si>
  <si>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</si>
  <si>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</si>
  <si>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</si>
  <si>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</si>
  <si>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</si>
  <si>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</si>
  <si>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</si>
  <si>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</si>
  <si>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</si>
  <si>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</si>
  <si>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</si>
  <si>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</si>
  <si>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</si>
  <si>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</si>
  <si>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</si>
  <si>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</si>
  <si>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</si>
  <si>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</si>
  <si>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</si>
  <si>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</si>
  <si>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</si>
  <si>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</si>
  <si>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</si>
  <si>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</si>
  <si>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</si>
  <si>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</si>
  <si>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</si>
  <si>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</si>
  <si>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</si>
  <si>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</si>
  <si>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</si>
  <si>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</si>
  <si>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</si>
  <si>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</si>
  <si>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</si>
  <si>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</si>
  <si>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</si>
  <si>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</si>
  <si>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</si>
  <si>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</si>
  <si>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</si>
  <si>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</si>
  <si>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</si>
  <si>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</si>
  <si>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</si>
  <si>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</si>
  <si>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</si>
  <si>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</si>
  <si>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</si>
  <si>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</si>
  <si>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</si>
  <si>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</si>
  <si>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</si>
  <si>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</si>
  <si>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</si>
  <si>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</si>
  <si>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</si>
  <si>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</si>
  <si>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</si>
  <si>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</si>
  <si>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</si>
  <si>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</si>
  <si>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</si>
  <si>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</si>
  <si>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</si>
  <si>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</si>
  <si>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</si>
  <si>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</si>
  <si>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</si>
  <si>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</si>
  <si>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</si>
  <si>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</si>
  <si>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</si>
  <si>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</si>
  <si>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</si>
  <si>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</si>
  <si>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</si>
  <si>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</si>
  <si>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</si>
  <si>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</si>
  <si>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</si>
  <si>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</si>
  <si>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</si>
  <si>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</si>
  <si>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</si>
  <si>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</si>
  <si>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</si>
  <si>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</si>
  <si>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</si>
  <si>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</si>
  <si>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</si>
  <si>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</si>
  <si>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</si>
  <si>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</si>
  <si>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</si>
  <si>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</si>
  <si>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</si>
  <si>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</si>
  <si>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</si>
  <si>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</si>
  <si>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</si>
  <si>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</si>
  <si>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</si>
  <si>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</si>
  <si>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</si>
  <si>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</si>
  <si>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</si>
  <si>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</si>
  <si>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</si>
  <si>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</si>
  <si>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</si>
  <si>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</si>
  <si>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</si>
  <si>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</si>
  <si>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</si>
  <si>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</si>
  <si>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</si>
  <si>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</si>
  <si>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</si>
  <si>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</si>
  <si>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</si>
  <si>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</si>
  <si>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</si>
  <si>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</si>
  <si>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</si>
  <si>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</si>
  <si>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</si>
  <si>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</si>
  <si>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</si>
  <si>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</si>
  <si>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</si>
  <si>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</si>
  <si>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</si>
  <si>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</si>
  <si>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</si>
  <si>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</si>
  <si>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</si>
  <si>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</si>
  <si>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</si>
  <si>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</si>
  <si>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</si>
  <si>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</si>
  <si>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</si>
  <si>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</si>
  <si>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</si>
  <si>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</si>
  <si>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</si>
  <si>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</si>
  <si>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</si>
  <si>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</si>
  <si>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</si>
  <si>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</si>
  <si>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</si>
  <si>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</si>
  <si>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</si>
  <si>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</si>
  <si>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</si>
  <si>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</si>
  <si>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</si>
  <si>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</si>
  <si>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</si>
  <si>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</si>
  <si>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</si>
  <si>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</si>
  <si>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</si>
  <si>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</si>
  <si>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</si>
  <si>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</si>
  <si>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</si>
  <si>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</si>
  <si>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</si>
  <si>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</si>
  <si>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</si>
  <si>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</si>
  <si>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</si>
  <si>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</si>
  <si>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</si>
  <si>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</si>
  <si>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</si>
  <si>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</si>
  <si>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</si>
  <si>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</si>
  <si>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</si>
  <si>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</si>
  <si>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</si>
  <si>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</si>
  <si>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</si>
  <si>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</si>
  <si>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</si>
  <si>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</si>
  <si>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</si>
  <si>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</si>
  <si>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</si>
  <si>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</si>
  <si>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</si>
  <si>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</si>
  <si>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</si>
  <si>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</si>
  <si>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</si>
  <si>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</si>
  <si>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</si>
  <si>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</si>
  <si>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</si>
  <si>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</si>
  <si>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</si>
  <si>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</si>
  <si>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</si>
  <si>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</si>
  <si>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</si>
  <si>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</si>
  <si>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</si>
  <si>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</si>
  <si>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</si>
  <si>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</si>
  <si>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</si>
  <si>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</si>
  <si>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</si>
  <si>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</si>
  <si>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</si>
  <si>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</si>
  <si>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</si>
  <si>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</si>
  <si>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</si>
  <si>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</si>
  <si>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</si>
  <si>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</si>
  <si>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</si>
  <si>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</si>
  <si>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</si>
  <si>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</si>
  <si>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</si>
  <si>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</si>
  <si>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</si>
  <si>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</si>
  <si>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</si>
  <si>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</si>
  <si>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</si>
  <si>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</si>
  <si>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</si>
  <si>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</si>
  <si>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</si>
  <si>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</si>
  <si>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</si>
  <si>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</si>
  <si>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</si>
  <si>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</si>
  <si>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</si>
  <si>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</si>
  <si>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</si>
  <si>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</si>
  <si>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</si>
  <si>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</si>
  <si>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</si>
  <si>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</si>
  <si>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</si>
  <si>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</si>
  <si>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</si>
  <si>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</si>
  <si>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</si>
  <si>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</si>
  <si>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</si>
  <si>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</si>
  <si>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</si>
  <si>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</si>
  <si>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</si>
  <si>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</si>
  <si>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</si>
  <si>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</si>
  <si>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</si>
  <si>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</si>
  <si>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</si>
  <si>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</si>
  <si>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</si>
  <si>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</si>
  <si>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</si>
  <si>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</si>
  <si>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</si>
  <si>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</si>
  <si>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</si>
  <si>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</si>
  <si>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</si>
  <si>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</si>
  <si>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</si>
  <si>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</si>
  <si>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</si>
  <si>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</si>
  <si>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</si>
  <si>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</si>
  <si>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</si>
  <si>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</si>
  <si>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</si>
  <si>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</si>
  <si>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</si>
  <si>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</si>
  <si>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</si>
  <si>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</si>
  <si>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</si>
  <si>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</si>
  <si>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</si>
  <si>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</si>
  <si>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</si>
  <si>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</si>
  <si>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</si>
  <si>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</si>
  <si>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</si>
  <si>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</si>
  <si>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</si>
  <si>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</si>
  <si>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</si>
  <si>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</si>
  <si>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</si>
  <si>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</si>
  <si>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</si>
  <si>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</si>
  <si>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</si>
  <si>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</si>
  <si>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</si>
  <si>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</si>
  <si>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</si>
  <si>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</si>
  <si>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</si>
  <si>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</si>
  <si>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</si>
  <si>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</si>
  <si>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</si>
  <si>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</si>
  <si>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</si>
  <si>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</si>
  <si>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</si>
  <si>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</si>
  <si>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</si>
  <si>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</si>
  <si>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</si>
  <si>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</si>
  <si>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</si>
  <si>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</si>
  <si>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</si>
  <si>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</si>
  <si>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</si>
  <si>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</si>
  <si>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</si>
  <si>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</si>
  <si>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</si>
  <si>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</si>
  <si>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</si>
  <si>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</si>
  <si>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</si>
  <si>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</si>
  <si>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</si>
  <si>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</si>
  <si>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</si>
  <si>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</si>
  <si>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</si>
  <si>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</si>
  <si>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</si>
  <si>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</si>
  <si>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</si>
  <si>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</si>
  <si>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</si>
  <si>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</si>
  <si>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</si>
  <si>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</si>
  <si>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</si>
  <si>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</si>
  <si>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</si>
  <si>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</si>
  <si>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</si>
  <si>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</si>
  <si>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</si>
  <si>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</si>
  <si>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</si>
  <si>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</si>
  <si>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</si>
  <si>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</si>
  <si>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</si>
  <si>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</si>
  <si>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</si>
  <si>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</si>
  <si>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</si>
  <si>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</si>
  <si>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</si>
  <si>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</si>
  <si>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</si>
  <si>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</si>
  <si>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</si>
  <si>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</si>
  <si>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</si>
  <si>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</si>
  <si>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</si>
  <si>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</si>
  <si>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</si>
  <si>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</si>
  <si>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</si>
  <si>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</si>
  <si>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</si>
  <si>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</si>
  <si>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</si>
  <si>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</si>
  <si>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</si>
  <si>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</si>
  <si>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</si>
  <si>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</si>
  <si>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</si>
  <si>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</si>
  <si>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</si>
  <si>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</si>
  <si>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</si>
  <si>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</si>
  <si>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</si>
  <si>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</si>
  <si>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</si>
  <si>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</si>
  <si>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</si>
  <si>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</si>
  <si>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</si>
  <si>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</si>
  <si>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</si>
  <si>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</si>
  <si>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</si>
  <si>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</si>
  <si>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</si>
  <si>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</si>
  <si>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</si>
  <si>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</si>
  <si>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</si>
  <si>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</si>
  <si>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</si>
  <si>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</si>
  <si>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</si>
  <si>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</si>
  <si>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</si>
  <si>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</si>
  <si>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</si>
  <si>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</si>
  <si>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</si>
  <si>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</si>
  <si>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</si>
  <si>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</si>
  <si>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</si>
  <si>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</si>
  <si>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</si>
  <si>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</si>
  <si>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</si>
  <si>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</si>
  <si>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</si>
  <si>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</si>
  <si>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</si>
  <si>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</si>
  <si>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</si>
  <si>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</si>
  <si>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</si>
  <si>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</si>
  <si>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</si>
  <si>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</si>
  <si>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</si>
  <si>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</si>
  <si>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</si>
  <si>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</si>
  <si>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</si>
  <si>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</si>
  <si>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</si>
  <si>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</si>
  <si>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</si>
  <si>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</si>
  <si>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</si>
  <si>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</si>
  <si>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</si>
  <si>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</si>
  <si>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</si>
  <si>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</si>
  <si>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</si>
  <si>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</si>
  <si>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</si>
  <si>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</si>
  <si>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</si>
  <si>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</si>
  <si>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</si>
  <si>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</si>
  <si>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</si>
  <si>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</si>
  <si>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</si>
  <si>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</si>
  <si>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</si>
  <si>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</si>
  <si>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</si>
  <si>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</si>
  <si>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</si>
  <si>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</si>
  <si>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</si>
  <si>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</si>
  <si>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</si>
  <si>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</si>
  <si>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</si>
  <si>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</si>
  <si>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</si>
  <si>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</si>
  <si>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</si>
  <si>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</si>
  <si>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</si>
  <si>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</si>
  <si>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</si>
  <si>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</si>
  <si>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</si>
  <si>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</si>
  <si>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</si>
  <si>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</si>
  <si>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</si>
  <si>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</si>
  <si>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</si>
  <si>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</si>
  <si>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</si>
  <si>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</si>
  <si>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</si>
  <si>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</si>
  <si>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</si>
  <si>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</si>
  <si>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</si>
  <si>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</si>
  <si>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</si>
  <si>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</si>
  <si>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</si>
  <si>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</si>
  <si>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</si>
  <si>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</si>
  <si>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</si>
  <si>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</si>
  <si>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</si>
  <si>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</si>
  <si>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</si>
  <si>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</si>
  <si>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</si>
  <si>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</si>
  <si>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</si>
  <si>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</si>
  <si>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</si>
  <si>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</si>
  <si>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</si>
  <si>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</si>
  <si>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</si>
  <si>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</si>
  <si>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</si>
  <si>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</si>
  <si>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</si>
  <si>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</si>
  <si>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</si>
  <si>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</si>
  <si>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</si>
  <si>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</si>
  <si>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</si>
  <si>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</si>
  <si>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</si>
  <si>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</si>
  <si>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</si>
  <si>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</si>
  <si>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</si>
  <si>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</si>
  <si>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</si>
  <si>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</si>
  <si>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</si>
  <si>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</si>
  <si>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</si>
  <si>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</si>
  <si>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</si>
  <si>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</si>
  <si>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</si>
  <si>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</si>
  <si>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</si>
  <si>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</si>
  <si>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</si>
  <si>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</si>
  <si>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</si>
  <si>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</si>
  <si>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</si>
  <si>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</si>
  <si>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</si>
  <si>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</si>
  <si>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</si>
  <si>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</si>
  <si>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</si>
  <si>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</si>
  <si>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</si>
  <si>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</si>
  <si>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</si>
  <si>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</si>
  <si>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</si>
  <si>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</si>
  <si>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</si>
  <si>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</si>
  <si>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</si>
  <si>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</si>
  <si>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</si>
  <si>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</si>
  <si>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</si>
  <si>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</si>
  <si>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</si>
  <si>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</si>
  <si>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</si>
  <si>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</si>
  <si>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</si>
  <si>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</si>
  <si>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</si>
  <si>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</si>
  <si>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</si>
  <si>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</si>
  <si>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</si>
  <si>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</si>
  <si>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</si>
  <si>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</si>
  <si>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</si>
  <si>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</si>
  <si>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</si>
  <si>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</si>
  <si>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</si>
  <si>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</si>
  <si>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</si>
  <si>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</si>
  <si>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</si>
  <si>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</si>
  <si>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</si>
  <si>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</si>
  <si>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</si>
  <si>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</si>
  <si>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</si>
  <si>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</si>
  <si>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</si>
  <si>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</si>
  <si>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</si>
  <si>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</si>
  <si>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</si>
  <si>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</si>
  <si>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</si>
  <si>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</si>
  <si>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</si>
  <si>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</si>
  <si>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</si>
  <si>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</si>
  <si>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</si>
  <si>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</si>
  <si>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</si>
  <si>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</si>
  <si>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</si>
  <si>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</si>
  <si>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</si>
  <si>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</si>
  <si>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</si>
  <si>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</si>
  <si>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</si>
  <si>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</si>
  <si>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</si>
  <si>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</si>
  <si>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</si>
  <si>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</si>
  <si>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</si>
  <si>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</si>
  <si>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</si>
  <si>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</si>
  <si>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</si>
  <si>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</si>
  <si>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</si>
  <si>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</si>
  <si>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</si>
  <si>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</si>
  <si>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</si>
  <si>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</si>
  <si>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</si>
  <si>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</si>
  <si>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</si>
  <si>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</si>
  <si>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</si>
  <si>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</si>
  <si>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</si>
  <si>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</si>
  <si>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</si>
  <si>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</si>
  <si>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</si>
  <si>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</si>
  <si>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</si>
  <si>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</si>
  <si>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</si>
  <si>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</si>
  <si>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</si>
  <si>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</si>
  <si>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</si>
  <si>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</si>
  <si>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</si>
  <si>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</si>
  <si>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</si>
  <si>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</si>
  <si>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</si>
  <si>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</si>
  <si>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</si>
  <si>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</si>
  <si>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</si>
  <si>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</si>
  <si>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</si>
  <si>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</si>
  <si>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</si>
  <si>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</si>
  <si>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</si>
  <si>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</si>
  <si>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</si>
  <si>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</si>
  <si>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</si>
  <si>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</si>
  <si>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</si>
  <si>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</si>
  <si>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</si>
  <si>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</si>
  <si>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</si>
  <si>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</si>
  <si>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</si>
  <si>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</si>
  <si>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</si>
  <si>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</si>
  <si>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</si>
  <si>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</si>
  <si>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</si>
  <si>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</si>
  <si>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</si>
  <si>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</si>
  <si>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</si>
  <si>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</si>
  <si>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</si>
  <si>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</si>
  <si>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</si>
  <si>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</si>
  <si>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</si>
  <si>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</si>
  <si>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</si>
  <si>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</si>
  <si>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</si>
  <si>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</si>
  <si>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</si>
  <si>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</si>
  <si>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</si>
  <si>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</si>
  <si>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</si>
  <si>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</si>
  <si>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</si>
  <si>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</si>
  <si>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</si>
  <si>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</si>
  <si>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</si>
  <si>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</si>
  <si>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</si>
  <si>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</si>
  <si>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</si>
  <si>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</si>
  <si>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</si>
  <si>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</si>
  <si>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</si>
  <si>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</si>
  <si>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</si>
  <si>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</si>
  <si>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</si>
  <si>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</si>
  <si>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</si>
  <si>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</si>
  <si>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</si>
  <si>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</si>
  <si>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</si>
  <si>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</si>
  <si>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</si>
  <si>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</si>
  <si>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</si>
  <si>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</si>
  <si>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</si>
  <si>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</si>
  <si>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</si>
  <si>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</si>
  <si>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</si>
  <si>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</si>
  <si>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</si>
  <si>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</si>
  <si>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</si>
  <si>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</si>
  <si>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</si>
  <si>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</si>
  <si>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</si>
  <si>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</si>
  <si>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</si>
  <si>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</si>
  <si>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</si>
  <si>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</si>
  <si>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</si>
  <si>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</si>
  <si>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</si>
  <si>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</si>
  <si>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</si>
  <si>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</si>
  <si>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</si>
  <si>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</si>
  <si>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</si>
  <si>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</si>
  <si>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</si>
  <si>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</si>
  <si>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</si>
  <si>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</si>
  <si>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</si>
  <si>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</si>
  <si>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</si>
  <si>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</si>
  <si>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</si>
  <si>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</si>
  <si>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</si>
  <si>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</si>
  <si>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</si>
  <si>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</si>
  <si>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</si>
  <si>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</si>
  <si>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</si>
  <si>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</si>
  <si>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</si>
  <si>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</si>
  <si>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</si>
  <si>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</si>
  <si>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</si>
  <si>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</si>
  <si>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</si>
  <si>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</si>
  <si>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</si>
  <si>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</si>
  <si>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</si>
  <si>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</si>
  <si>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</si>
  <si>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</si>
  <si>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</si>
  <si>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</si>
  <si>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</si>
  <si>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</si>
  <si>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</si>
  <si>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</si>
  <si>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</si>
  <si>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</si>
  <si>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</si>
  <si>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</si>
  <si>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</si>
  <si>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</si>
  <si>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</si>
  <si>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</si>
  <si>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</si>
  <si>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</si>
  <si>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</si>
  <si>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</si>
  <si>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</si>
  <si>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</si>
  <si>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</si>
  <si>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</si>
  <si>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</si>
  <si>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</si>
  <si>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</si>
  <si>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</si>
  <si>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</si>
  <si>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</si>
  <si>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</si>
  <si>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</si>
  <si>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</si>
  <si>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</si>
  <si>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</si>
  <si>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</si>
  <si>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</si>
  <si>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</si>
  <si>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</si>
  <si>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</si>
  <si>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</si>
  <si>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</si>
  <si>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</si>
  <si>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</si>
  <si>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</si>
  <si>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</si>
  <si>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</si>
  <si>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</si>
  <si>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</si>
  <si>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</si>
  <si>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</si>
  <si>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</si>
  <si>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</si>
  <si>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</si>
  <si>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</si>
  <si>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</si>
  <si>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</si>
  <si>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</si>
  <si>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</si>
  <si>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</si>
  <si>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</si>
  <si>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</si>
  <si>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</si>
  <si>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</si>
  <si>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</si>
  <si>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</si>
  <si>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</si>
  <si>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</si>
  <si>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</si>
  <si>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</si>
  <si>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</si>
  <si>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</si>
  <si>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</si>
  <si>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</si>
  <si>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</si>
  <si>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</si>
  <si>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</si>
  <si>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</si>
  <si>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</si>
  <si>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</si>
  <si>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</si>
  <si>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</si>
  <si>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</si>
  <si>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</si>
  <si>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</si>
  <si>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</si>
  <si>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</si>
  <si>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</si>
  <si>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</si>
  <si>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</si>
  <si>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</si>
  <si>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</si>
  <si>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</si>
  <si>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</si>
  <si>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Pt. Koin Baju Global</t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</si>
  <si>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</si>
  <si>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</si>
  <si>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</si>
  <si>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</si>
  <si>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</si>
  <si>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</si>
  <si>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</si>
  <si>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</si>
  <si>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</si>
  <si>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</si>
  <si>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</si>
  <si>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</si>
  <si>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</si>
  <si>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</si>
  <si>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</si>
  <si>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</si>
  <si>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</si>
  <si>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</si>
  <si>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</si>
  <si>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</si>
  <si>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</si>
  <si>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</si>
  <si>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</si>
  <si>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</si>
  <si>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</si>
  <si>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</si>
  <si>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</si>
  <si>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</si>
  <si>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</si>
  <si>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</si>
  <si>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</si>
  <si>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</si>
  <si>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</si>
  <si>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</si>
  <si>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</si>
  <si>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</si>
  <si>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</si>
  <si>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</si>
  <si>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</si>
  <si>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</si>
  <si>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</si>
  <si>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</si>
  <si>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</si>
  <si>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</si>
  <si>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</si>
  <si>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</si>
  <si>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</si>
  <si>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</si>
  <si>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</si>
  <si>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</si>
  <si>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</si>
  <si>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</si>
  <si>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</si>
  <si>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</si>
  <si>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</si>
  <si>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</si>
  <si>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</si>
  <si>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</si>
  <si>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</si>
  <si>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</si>
  <si>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</si>
  <si>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</si>
  <si>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</si>
  <si>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</si>
  <si>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</si>
  <si>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</si>
  <si>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</si>
  <si>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</si>
  <si>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</si>
  <si>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</si>
  <si>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</si>
  <si>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</si>
  <si>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</si>
  <si>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</si>
  <si>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</si>
  <si>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</si>
  <si>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</si>
  <si>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</si>
  <si>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</si>
  <si>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</si>
  <si>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</si>
  <si>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</si>
  <si>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</si>
  <si>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</si>
  <si>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</si>
  <si>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</si>
  <si>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</si>
  <si>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</si>
  <si>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</si>
  <si>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</si>
  <si>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</si>
  <si>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</si>
  <si>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</si>
  <si>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</si>
  <si>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</si>
  <si>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</si>
  <si>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</si>
  <si>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</si>
  <si>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</si>
  <si>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</si>
  <si>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</si>
  <si>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</si>
  <si>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</si>
  <si>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</si>
  <si>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</si>
  <si>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</si>
  <si>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</si>
  <si>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</si>
  <si>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</si>
  <si>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</si>
  <si>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</si>
  <si>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</si>
  <si>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</si>
  <si>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</si>
  <si>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</si>
  <si>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</si>
  <si>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</si>
  <si>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</si>
  <si>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</si>
  <si>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</si>
  <si>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</si>
  <si>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</si>
  <si>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</si>
  <si>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</si>
  <si>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</si>
  <si>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</si>
  <si>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</si>
  <si>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</si>
  <si>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</si>
  <si>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</si>
  <si>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</si>
  <si>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</si>
  <si>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</si>
  <si>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</si>
  <si>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</si>
  <si>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</si>
  <si>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</si>
  <si>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</si>
  <si>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Swimwear</t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</si>
  <si>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</si>
  <si>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</si>
  <si>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</si>
  <si>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</si>
  <si>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</si>
  <si>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</si>
  <si>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</si>
  <si>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</si>
  <si>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</si>
  <si>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</si>
  <si>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</si>
  <si>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</si>
  <si>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</si>
  <si>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</si>
  <si>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</si>
  <si>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</si>
  <si>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</si>
  <si>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</si>
  <si>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</si>
  <si>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</si>
  <si>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</si>
  <si>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</si>
  <si>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</si>
  <si>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</si>
  <si>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</si>
  <si>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</si>
  <si>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</si>
  <si>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</si>
  <si>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</si>
  <si>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</si>
  <si>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</si>
  <si>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</si>
  <si>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</si>
  <si>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</si>
  <si>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</si>
  <si>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</si>
  <si>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</si>
  <si>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</si>
  <si>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</si>
  <si>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</si>
  <si>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</si>
  <si>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</si>
  <si>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</si>
  <si>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</si>
  <si>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</si>
  <si>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</si>
  <si>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</si>
  <si>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</si>
  <si>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</si>
  <si>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</si>
  <si>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</si>
  <si>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</si>
  <si>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</si>
  <si>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</si>
  <si>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</si>
  <si>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</si>
  <si>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</si>
  <si>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</si>
  <si>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</si>
  <si>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</si>
  <si>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</si>
  <si>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</si>
  <si>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</si>
  <si>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</si>
  <si>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</si>
  <si>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</si>
  <si>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</si>
  <si>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</si>
  <si>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</si>
  <si>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</si>
  <si>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</si>
  <si>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</si>
  <si>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</si>
  <si>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</si>
  <si>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</si>
  <si>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</si>
  <si>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</si>
  <si>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</si>
  <si>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</si>
  <si>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</si>
  <si>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</si>
  <si>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</si>
  <si>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</si>
  <si>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</si>
  <si>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</si>
  <si>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</si>
  <si>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</si>
  <si>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</si>
  <si>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</si>
  <si>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</si>
  <si>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</si>
  <si>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</si>
  <si>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</si>
  <si>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</si>
  <si>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</si>
  <si>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</si>
  <si>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</si>
  <si>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</si>
  <si>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</si>
  <si>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</si>
  <si>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</si>
  <si>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</si>
  <si>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</si>
  <si>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</si>
  <si>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</si>
  <si>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</si>
  <si>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</si>
  <si>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</si>
  <si>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</si>
  <si>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</si>
  <si>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</si>
  <si>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</si>
  <si>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</si>
  <si>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</si>
  <si>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</si>
  <si>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</si>
  <si>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</si>
  <si>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</si>
  <si>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</si>
  <si>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</si>
  <si>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</si>
  <si>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</si>
  <si>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</si>
  <si>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</si>
  <si>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</si>
  <si>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</si>
  <si>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</si>
  <si>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</si>
  <si>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</si>
  <si>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</si>
  <si>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</si>
  <si>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</si>
  <si>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</si>
  <si>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</si>
  <si>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</si>
  <si>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</si>
  <si>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</si>
  <si>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</si>
  <si>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</si>
  <si>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</si>
  <si>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</si>
  <si>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</si>
  <si>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</si>
  <si>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</si>
  <si>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</si>
  <si>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</si>
  <si>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</si>
  <si>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</si>
  <si>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</si>
  <si>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</si>
  <si>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</si>
  <si>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</si>
  <si>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</si>
  <si>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</si>
  <si>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</si>
  <si>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</si>
  <si>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</si>
  <si>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</si>
  <si>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</si>
  <si>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</si>
  <si>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</si>
  <si>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</si>
  <si>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</si>
  <si>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</si>
  <si>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</si>
  <si>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</si>
  <si>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</si>
  <si>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</si>
  <si>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</si>
  <si>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</si>
  <si>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</si>
  <si>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</si>
  <si>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</si>
  <si>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</si>
  <si>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</si>
  <si>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</si>
  <si>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</si>
  <si>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</si>
  <si>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</si>
  <si>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</si>
  <si>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</si>
  <si>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</si>
  <si>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</si>
  <si>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</si>
  <si>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</si>
  <si>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</si>
  <si>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</si>
  <si>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</si>
  <si>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</si>
  <si>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</si>
  <si>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</si>
  <si>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</si>
  <si>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Aeropostale, Inc.</t>
  </si>
  <si>
    <t>ALYNED</t>
  </si>
  <si>
    <t>Lands End</t>
  </si>
  <si>
    <t>XERSION</t>
  </si>
  <si>
    <t>Knit</t>
  </si>
  <si>
    <t>Thien Son Ha Nam Co., Ltd</t>
  </si>
  <si>
    <t>Thien Son Hung Yen Co., Ltd</t>
  </si>
  <si>
    <t>DHGK-2100</t>
  </si>
  <si>
    <t>1788</t>
  </si>
  <si>
    <t>DHGK-2101</t>
  </si>
  <si>
    <t>1784</t>
  </si>
  <si>
    <t>DHGK-2102</t>
  </si>
  <si>
    <t>477662</t>
  </si>
  <si>
    <t>DHGK-2103</t>
  </si>
  <si>
    <t>1780</t>
  </si>
  <si>
    <t>DHGK-2104</t>
  </si>
  <si>
    <t>1767</t>
  </si>
  <si>
    <t>DHGK-2105</t>
  </si>
  <si>
    <t>1788-1</t>
  </si>
  <si>
    <t>DHGK-2106</t>
  </si>
  <si>
    <t>1792</t>
  </si>
  <si>
    <t>DHGK-2107</t>
  </si>
  <si>
    <t>1794</t>
  </si>
  <si>
    <t>DHGK-2108</t>
  </si>
  <si>
    <t>8953</t>
  </si>
  <si>
    <t>DHGK-2109</t>
  </si>
  <si>
    <t>2587</t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</si>
  <si>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</si>
  <si>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</si>
  <si>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</si>
  <si>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</si>
  <si>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</si>
  <si>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</si>
  <si>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</si>
  <si>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</si>
  <si>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DHGK-2113-1</t>
  </si>
  <si>
    <t>JCX0135-1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</si>
  <si>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</si>
  <si>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</si>
  <si>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</si>
  <si>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</si>
  <si>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</si>
  <si>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</si>
  <si>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</si>
  <si>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</si>
  <si>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</si>
  <si>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</si>
  <si>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</si>
  <si>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</si>
  <si>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</si>
  <si>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</si>
  <si>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</si>
  <si>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</si>
  <si>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</si>
  <si>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</si>
  <si>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</si>
  <si>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</si>
  <si>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</si>
  <si>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</si>
  <si>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</si>
  <si>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</si>
  <si>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</si>
  <si>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</si>
  <si>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Data Loaded</t>
  </si>
  <si>
    <t>시즌년도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</si>
</sst>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2.png"/><Relationship Id="rId7" Type="http://schemas.openxmlformats.org/officeDocument/2006/relationships/image" Target="../media/image11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3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2.png"/><Relationship Id="rId7" Type="http://schemas.openxmlformats.org/officeDocument/2006/relationships/image" Target="../media/image9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3.svg"/><Relationship Id="rId9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60960</xdr:rowOff>
        </xdr:from>
        <xdr:to>
          <xdr:col>3</xdr:col>
          <xdr:colOff>617220</xdr:colOff>
          <xdr:row>1</xdr:row>
          <xdr:rowOff>320040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60960</xdr:rowOff>
        </xdr:from>
        <xdr:to>
          <xdr:col>6</xdr:col>
          <xdr:colOff>160020</xdr:colOff>
          <xdr:row>1</xdr:row>
          <xdr:rowOff>320040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60960</xdr:rowOff>
        </xdr:from>
        <xdr:to>
          <xdr:col>7</xdr:col>
          <xdr:colOff>670560</xdr:colOff>
          <xdr:row>1</xdr:row>
          <xdr:rowOff>320040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47625</xdr:rowOff>
    </xdr:from>
    <xdr:to>
      <xdr:col>10</xdr:col>
      <xdr:colOff>193676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71436" y="428625"/>
          <a:ext cx="34036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1249680</xdr:colOff>
          <xdr:row>0</xdr:row>
          <xdr:rowOff>22860</xdr:rowOff>
        </xdr:from>
        <xdr:to>
          <xdr:col>12</xdr:col>
          <xdr:colOff>213360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95250</xdr:colOff>
      <xdr:row>0</xdr:row>
      <xdr:rowOff>0</xdr:rowOff>
    </xdr:from>
    <xdr:to>
      <xdr:col>16</xdr:col>
      <xdr:colOff>38435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9985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38100</xdr:rowOff>
    </xdr:from>
    <xdr:to>
      <xdr:col>11</xdr:col>
      <xdr:colOff>130810</xdr:colOff>
      <xdr:row>1</xdr:row>
      <xdr:rowOff>323850</xdr:rowOff>
    </xdr:to>
    <xdr:sp macro="[0]!delete_indent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8135620" y="4191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521970</xdr:colOff>
          <xdr:row>1</xdr:row>
          <xdr:rowOff>52070</xdr:rowOff>
        </xdr:from>
        <xdr:to>
          <xdr:col>9</xdr:col>
          <xdr:colOff>544830</xdr:colOff>
          <xdr:row>1</xdr:row>
          <xdr:rowOff>311150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479B4E3E-379E-4779-A480-BCE6AE19F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41910</xdr:rowOff>
    </xdr:from>
    <xdr:to>
      <xdr:col>8</xdr:col>
      <xdr:colOff>502920</xdr:colOff>
      <xdr:row>1</xdr:row>
      <xdr:rowOff>317627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152A42D-34E8-4A6C-B537-A4B10C935560}"/>
            </a:ext>
          </a:extLst>
        </xdr:cNvPr>
        <xdr:cNvSpPr txBox="1"/>
      </xdr:nvSpPr>
      <xdr:spPr>
        <a:xfrm>
          <a:off x="5829300" y="422910"/>
          <a:ext cx="75438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16</xdr:col>
      <xdr:colOff>34635</xdr:colOff>
      <xdr:row>2</xdr:row>
      <xdr:rowOff>254000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6350"/>
          <a:ext cx="15922335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595630</xdr:colOff>
      <xdr:row>0</xdr:row>
      <xdr:rowOff>47626</xdr:rowOff>
    </xdr:from>
    <xdr:to>
      <xdr:col>4</xdr:col>
      <xdr:colOff>207010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9</xdr:col>
      <xdr:colOff>467360</xdr:colOff>
      <xdr:row>0</xdr:row>
      <xdr:rowOff>31750</xdr:rowOff>
    </xdr:from>
    <xdr:to>
      <xdr:col>11</xdr:col>
      <xdr:colOff>229235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043160" y="317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22860</xdr:colOff>
      <xdr:row>1</xdr:row>
      <xdr:rowOff>207010</xdr:rowOff>
    </xdr:from>
    <xdr:to>
      <xdr:col>11</xdr:col>
      <xdr:colOff>355600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957560" y="594360"/>
          <a:ext cx="33274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640080</xdr:colOff>
          <xdr:row>0</xdr:row>
          <xdr:rowOff>0</xdr:rowOff>
        </xdr:from>
        <xdr:to>
          <xdr:col>6</xdr:col>
          <xdr:colOff>2621280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2400300</xdr:colOff>
          <xdr:row>0</xdr:row>
          <xdr:rowOff>0</xdr:rowOff>
        </xdr:from>
        <xdr:to>
          <xdr:col>8</xdr:col>
          <xdr:colOff>518160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459740</xdr:colOff>
      <xdr:row>1</xdr:row>
      <xdr:rowOff>240030</xdr:rowOff>
    </xdr:from>
    <xdr:to>
      <xdr:col>10</xdr:col>
      <xdr:colOff>655955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035540" y="62738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175260</xdr:colOff>
          <xdr:row>1</xdr:row>
          <xdr:rowOff>190500</xdr:rowOff>
        </xdr:from>
        <xdr:to>
          <xdr:col>4</xdr:col>
          <xdr:colOff>99060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2</xdr:col>
      <xdr:colOff>157480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69900"/>
          <a:ext cx="120396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313690</xdr:colOff>
      <xdr:row>1</xdr:row>
      <xdr:rowOff>210820</xdr:rowOff>
    </xdr:from>
    <xdr:to>
      <xdr:col>5</xdr:col>
      <xdr:colOff>561340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316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424181</xdr:colOff>
      <xdr:row>0</xdr:row>
      <xdr:rowOff>0</xdr:rowOff>
    </xdr:from>
    <xdr:to>
      <xdr:col>13</xdr:col>
      <xdr:colOff>273051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35888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632460</xdr:colOff>
          <xdr:row>1</xdr:row>
          <xdr:rowOff>213360</xdr:rowOff>
        </xdr:from>
        <xdr:to>
          <xdr:col>5</xdr:col>
          <xdr:colOff>274320</xdr:colOff>
          <xdr:row>2</xdr:row>
          <xdr:rowOff>99060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26670</xdr:colOff>
      <xdr:row>1</xdr:row>
      <xdr:rowOff>185420</xdr:rowOff>
    </xdr:from>
    <xdr:to>
      <xdr:col>4</xdr:col>
      <xdr:colOff>592284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8498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629921</xdr:colOff>
      <xdr:row>1</xdr:row>
      <xdr:rowOff>209550</xdr:rowOff>
    </xdr:from>
    <xdr:to>
      <xdr:col>6</xdr:col>
      <xdr:colOff>557531</xdr:colOff>
      <xdr:row>2</xdr:row>
      <xdr:rowOff>114300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062221" y="590550"/>
          <a:ext cx="6451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370840</xdr:colOff>
      <xdr:row>0</xdr:row>
      <xdr:rowOff>214630</xdr:rowOff>
    </xdr:from>
    <xdr:to>
      <xdr:col>6</xdr:col>
      <xdr:colOff>560705</xdr:colOff>
      <xdr:row>1</xdr:row>
      <xdr:rowOff>113030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441190" y="2146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showRowColHeaders="0" workbookViewId="0">
      <pane ySplit="1" topLeftCell="A2" activePane="bottomLeft" state="frozen"/>
      <selection pane="bottomLeft" activeCell="I13" sqref="I13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32"/>
  <sheetViews>
    <sheetView showGridLines="0" showRowColHeaders="0" tabSelected="1" topLeftCell="B1" workbookViewId="0">
      <pane ySplit="4" topLeftCell="A5" activePane="bottomLeft" state="frozen"/>
      <selection pane="bottomLeft" activeCell="L18" sqref="L18"/>
    </sheetView>
  </sheetViews>
  <sheetFormatPr defaultColWidth="8.77734375" defaultRowHeight="12" x14ac:dyDescent="0.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 t="s">
        <v>3310</v>
      </c>
    </row>
    <row r="4" spans="1:13" s="18" customFormat="1" x14ac:dyDescent="0.2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">
      <c r="A5" s="20">
        <v>505</v>
      </c>
      <c r="B5" s="20" t="s">
        <v>3254</v>
      </c>
      <c r="C5" s="20" t="s">
        <v>3247</v>
      </c>
      <c r="D5" s="20" t="s">
        <v>3255</v>
      </c>
      <c r="E5" s="20" t="s">
        <v>2369</v>
      </c>
      <c r="F5" s="20">
        <v>2022</v>
      </c>
      <c r="G5" s="20" t="s">
        <v>2913</v>
      </c>
      <c r="H5" s="20" t="s">
        <v>3251</v>
      </c>
      <c r="I5" s="20" t="s">
        <v>3054</v>
      </c>
      <c r="J5" s="20" t="s">
        <v>2912</v>
      </c>
      <c r="L5" s="20" t="s">
        <v>3252</v>
      </c>
    </row>
    <row r="6" spans="1:13" x14ac:dyDescent="0.2">
      <c r="A6" s="20">
        <v>506</v>
      </c>
      <c r="B6" s="20" t="s">
        <v>3256</v>
      </c>
      <c r="C6" s="20" t="s">
        <v>3247</v>
      </c>
      <c r="D6" s="20" t="s">
        <v>3257</v>
      </c>
      <c r="E6" s="20" t="s">
        <v>2369</v>
      </c>
      <c r="F6" s="20">
        <v>2022</v>
      </c>
      <c r="G6" s="20" t="s">
        <v>2913</v>
      </c>
      <c r="H6" s="20" t="s">
        <v>3251</v>
      </c>
      <c r="I6" s="20" t="s">
        <v>3054</v>
      </c>
      <c r="J6" s="20" t="s">
        <v>2912</v>
      </c>
      <c r="L6" s="20" t="s">
        <v>3252</v>
      </c>
    </row>
    <row r="7" spans="1:13" x14ac:dyDescent="0.2">
      <c r="A7" s="20">
        <v>507</v>
      </c>
      <c r="B7" s="20" t="s">
        <v>3258</v>
      </c>
      <c r="C7" s="20" t="s">
        <v>3249</v>
      </c>
      <c r="D7" s="20" t="s">
        <v>3259</v>
      </c>
      <c r="E7" s="20" t="s">
        <v>2369</v>
      </c>
      <c r="F7" s="20">
        <v>2022</v>
      </c>
      <c r="G7" s="20" t="s">
        <v>2913</v>
      </c>
      <c r="H7" s="20" t="s">
        <v>3251</v>
      </c>
      <c r="I7" s="20" t="s">
        <v>3054</v>
      </c>
      <c r="J7" s="20" t="s">
        <v>2912</v>
      </c>
      <c r="L7" s="20" t="s">
        <v>3252</v>
      </c>
    </row>
    <row r="8" spans="1:13" x14ac:dyDescent="0.2">
      <c r="A8" s="20">
        <v>508</v>
      </c>
      <c r="B8" s="20" t="s">
        <v>3260</v>
      </c>
      <c r="C8" s="20" t="s">
        <v>3247</v>
      </c>
      <c r="D8" s="20" t="s">
        <v>3261</v>
      </c>
      <c r="E8" s="20" t="s">
        <v>2369</v>
      </c>
      <c r="F8" s="20">
        <v>2022</v>
      </c>
      <c r="G8" s="20" t="s">
        <v>2913</v>
      </c>
      <c r="H8" s="20" t="s">
        <v>3251</v>
      </c>
      <c r="I8" s="20" t="s">
        <v>3054</v>
      </c>
      <c r="J8" s="20" t="s">
        <v>2912</v>
      </c>
      <c r="L8" s="20" t="s">
        <v>3252</v>
      </c>
    </row>
    <row r="9" spans="1:13" x14ac:dyDescent="0.2">
      <c r="A9" s="20">
        <v>509</v>
      </c>
      <c r="B9" s="20" t="s">
        <v>3262</v>
      </c>
      <c r="C9" s="20" t="s">
        <v>3247</v>
      </c>
      <c r="D9" s="20" t="s">
        <v>3263</v>
      </c>
      <c r="E9" s="20" t="s">
        <v>2369</v>
      </c>
      <c r="F9" s="20">
        <v>2022</v>
      </c>
      <c r="G9" s="20" t="s">
        <v>2913</v>
      </c>
      <c r="H9" s="20" t="s">
        <v>3251</v>
      </c>
      <c r="I9" s="20" t="s">
        <v>3054</v>
      </c>
      <c r="J9" s="20" t="s">
        <v>2912</v>
      </c>
      <c r="L9" s="20" t="s">
        <v>3252</v>
      </c>
    </row>
    <row r="10" spans="1:13" x14ac:dyDescent="0.2">
      <c r="A10" s="20">
        <v>510</v>
      </c>
      <c r="B10" s="20" t="s">
        <v>3264</v>
      </c>
      <c r="C10" s="20" t="s">
        <v>3247</v>
      </c>
      <c r="D10" s="20" t="s">
        <v>3265</v>
      </c>
      <c r="E10" s="20" t="s">
        <v>2369</v>
      </c>
      <c r="F10" s="20">
        <v>2022</v>
      </c>
      <c r="G10" s="20" t="s">
        <v>2913</v>
      </c>
      <c r="H10" s="20" t="s">
        <v>3251</v>
      </c>
      <c r="I10" s="20" t="s">
        <v>3054</v>
      </c>
      <c r="J10" s="20" t="s">
        <v>2912</v>
      </c>
      <c r="L10" s="20" t="s">
        <v>3252</v>
      </c>
    </row>
    <row r="11" spans="1:13" x14ac:dyDescent="0.2">
      <c r="A11" s="20">
        <v>511</v>
      </c>
      <c r="B11" s="20" t="s">
        <v>3266</v>
      </c>
      <c r="C11" s="20" t="s">
        <v>3247</v>
      </c>
      <c r="D11" s="20" t="s">
        <v>3267</v>
      </c>
      <c r="E11" s="20" t="s">
        <v>2369</v>
      </c>
      <c r="F11" s="20">
        <v>2022</v>
      </c>
      <c r="G11" s="20" t="s">
        <v>2913</v>
      </c>
      <c r="H11" s="20" t="s">
        <v>3251</v>
      </c>
      <c r="I11" s="20" t="s">
        <v>3054</v>
      </c>
      <c r="J11" s="20" t="s">
        <v>2912</v>
      </c>
      <c r="L11" s="20" t="s">
        <v>3252</v>
      </c>
    </row>
    <row r="12" spans="1:13" x14ac:dyDescent="0.2">
      <c r="A12" s="20">
        <v>512</v>
      </c>
      <c r="B12" s="20" t="s">
        <v>3268</v>
      </c>
      <c r="C12" s="20" t="s">
        <v>3247</v>
      </c>
      <c r="D12" s="20" t="s">
        <v>3269</v>
      </c>
      <c r="E12" s="20" t="s">
        <v>2369</v>
      </c>
      <c r="F12" s="20">
        <v>2022</v>
      </c>
      <c r="G12" s="20" t="s">
        <v>2913</v>
      </c>
      <c r="H12" s="20" t="s">
        <v>3251</v>
      </c>
      <c r="I12" s="20" t="s">
        <v>3054</v>
      </c>
      <c r="J12" s="20" t="s">
        <v>2912</v>
      </c>
      <c r="L12" s="20" t="s">
        <v>3252</v>
      </c>
    </row>
    <row r="13" spans="1:13" x14ac:dyDescent="0.2">
      <c r="A13" s="20">
        <v>513</v>
      </c>
      <c r="B13" s="20" t="s">
        <v>3270</v>
      </c>
      <c r="C13" s="20" t="s">
        <v>3247</v>
      </c>
      <c r="D13" s="20" t="s">
        <v>3271</v>
      </c>
      <c r="E13" s="20" t="s">
        <v>2369</v>
      </c>
      <c r="F13" s="20">
        <v>2022</v>
      </c>
      <c r="G13" s="20" t="s">
        <v>2913</v>
      </c>
      <c r="H13" s="20" t="s">
        <v>3251</v>
      </c>
      <c r="I13" s="20" t="s">
        <v>3054</v>
      </c>
      <c r="J13" s="20" t="s">
        <v>2912</v>
      </c>
      <c r="L13" s="20" t="s">
        <v>3252</v>
      </c>
    </row>
    <row r="14" spans="1:13" x14ac:dyDescent="0.2">
      <c r="A14" s="20">
        <v>514</v>
      </c>
      <c r="B14" s="20" t="s">
        <v>3272</v>
      </c>
      <c r="C14" s="20" t="s">
        <v>3248</v>
      </c>
      <c r="D14" s="20" t="s">
        <v>3273</v>
      </c>
      <c r="E14" s="20" t="s">
        <v>2369</v>
      </c>
      <c r="F14" s="20">
        <v>2022</v>
      </c>
      <c r="G14" s="20" t="s">
        <v>2913</v>
      </c>
      <c r="H14" s="20" t="s">
        <v>3251</v>
      </c>
      <c r="I14" s="20" t="s">
        <v>3054</v>
      </c>
      <c r="J14" s="20" t="s">
        <v>2912</v>
      </c>
      <c r="L14" s="20" t="s">
        <v>3252</v>
      </c>
    </row>
    <row r="15" spans="1:13" x14ac:dyDescent="0.2">
      <c r="A15" s="20">
        <v>515</v>
      </c>
      <c r="B15" s="20" t="s">
        <v>3274</v>
      </c>
      <c r="C15" s="20" t="s">
        <v>3250</v>
      </c>
      <c r="D15" s="20" t="s">
        <v>3275</v>
      </c>
      <c r="E15" s="20" t="s">
        <v>2369</v>
      </c>
      <c r="F15" s="20">
        <v>2022</v>
      </c>
      <c r="G15" s="20" t="s">
        <v>2913</v>
      </c>
      <c r="H15" s="20" t="s">
        <v>3251</v>
      </c>
      <c r="I15" s="20" t="s">
        <v>3054</v>
      </c>
      <c r="J15" s="20" t="s">
        <v>2912</v>
      </c>
      <c r="L15" s="20" t="s">
        <v>3253</v>
      </c>
    </row>
    <row r="16" spans="1:13" x14ac:dyDescent="0.2">
      <c r="A16" s="20">
        <v>516</v>
      </c>
      <c r="B16" s="20" t="s">
        <v>3276</v>
      </c>
      <c r="C16" s="20" t="s">
        <v>3250</v>
      </c>
      <c r="D16" s="20" t="s">
        <v>3277</v>
      </c>
      <c r="E16" s="20" t="s">
        <v>2369</v>
      </c>
      <c r="F16" s="20">
        <v>2022</v>
      </c>
      <c r="G16" s="20" t="s">
        <v>2913</v>
      </c>
      <c r="H16" s="20" t="s">
        <v>3251</v>
      </c>
      <c r="I16" s="20" t="s">
        <v>3054</v>
      </c>
      <c r="J16" s="20" t="s">
        <v>2912</v>
      </c>
      <c r="L16" s="20" t="s">
        <v>3253</v>
      </c>
    </row>
    <row r="17" spans="1:12" x14ac:dyDescent="0.2">
      <c r="A17" s="20">
        <v>517</v>
      </c>
      <c r="B17" s="20" t="s">
        <v>3278</v>
      </c>
      <c r="C17" s="20" t="s">
        <v>3250</v>
      </c>
      <c r="D17" s="20" t="s">
        <v>3279</v>
      </c>
      <c r="E17" s="20" t="s">
        <v>2369</v>
      </c>
      <c r="F17" s="20">
        <v>2022</v>
      </c>
      <c r="G17" s="20" t="s">
        <v>2913</v>
      </c>
      <c r="H17" s="20" t="s">
        <v>3251</v>
      </c>
      <c r="I17" s="20" t="s">
        <v>3054</v>
      </c>
      <c r="J17" s="20" t="s">
        <v>2912</v>
      </c>
      <c r="L17" s="20" t="s">
        <v>3253</v>
      </c>
    </row>
    <row r="18" spans="1:12" x14ac:dyDescent="0.2">
      <c r="A18" s="20">
        <v>518</v>
      </c>
      <c r="B18" s="20" t="s">
        <v>3280</v>
      </c>
      <c r="C18" s="20" t="s">
        <v>3250</v>
      </c>
      <c r="D18" s="20" t="s">
        <v>3281</v>
      </c>
      <c r="E18" s="20" t="s">
        <v>2369</v>
      </c>
      <c r="F18" s="20">
        <v>2022</v>
      </c>
      <c r="G18" s="20" t="s">
        <v>2913</v>
      </c>
      <c r="H18" s="20" t="s">
        <v>3251</v>
      </c>
      <c r="I18" s="20" t="s">
        <v>3054</v>
      </c>
      <c r="J18" s="20" t="s">
        <v>2912</v>
      </c>
      <c r="L18" s="20" t="s">
        <v>3252</v>
      </c>
    </row>
    <row r="19" spans="1:12" x14ac:dyDescent="0.2">
      <c r="A19" s="20">
        <v>519</v>
      </c>
      <c r="B19" s="20" t="s">
        <v>3282</v>
      </c>
      <c r="C19" s="20" t="s">
        <v>3250</v>
      </c>
      <c r="D19" s="20" t="s">
        <v>3283</v>
      </c>
      <c r="E19" s="20" t="s">
        <v>2369</v>
      </c>
      <c r="F19" s="20">
        <v>2022</v>
      </c>
      <c r="G19" s="20" t="s">
        <v>2913</v>
      </c>
      <c r="H19" s="20" t="s">
        <v>3251</v>
      </c>
      <c r="I19" s="20" t="s">
        <v>3054</v>
      </c>
      <c r="J19" s="20" t="s">
        <v>2912</v>
      </c>
      <c r="L19" s="20" t="s">
        <v>3252</v>
      </c>
    </row>
    <row r="20" spans="1:12" x14ac:dyDescent="0.2">
      <c r="A20" s="20">
        <v>520</v>
      </c>
      <c r="B20" s="20" t="s">
        <v>3284</v>
      </c>
      <c r="C20" s="20" t="s">
        <v>3250</v>
      </c>
      <c r="D20" s="20" t="s">
        <v>3285</v>
      </c>
      <c r="E20" s="20" t="s">
        <v>2369</v>
      </c>
      <c r="F20" s="20">
        <v>2022</v>
      </c>
      <c r="G20" s="20" t="s">
        <v>2913</v>
      </c>
      <c r="H20" s="20" t="s">
        <v>3251</v>
      </c>
      <c r="I20" s="20" t="s">
        <v>3054</v>
      </c>
      <c r="J20" s="20" t="s">
        <v>2912</v>
      </c>
      <c r="L20" s="20" t="s">
        <v>3253</v>
      </c>
    </row>
    <row r="21" spans="1:12" x14ac:dyDescent="0.2">
      <c r="A21" s="20">
        <v>521</v>
      </c>
      <c r="B21" s="20" t="s">
        <v>3286</v>
      </c>
      <c r="C21" s="20" t="s">
        <v>3250</v>
      </c>
      <c r="D21" s="20" t="s">
        <v>3287</v>
      </c>
      <c r="E21" s="20" t="s">
        <v>2369</v>
      </c>
      <c r="F21" s="20">
        <v>2022</v>
      </c>
      <c r="G21" s="20" t="s">
        <v>2913</v>
      </c>
      <c r="H21" s="20" t="s">
        <v>3251</v>
      </c>
      <c r="I21" s="20" t="s">
        <v>3054</v>
      </c>
      <c r="J21" s="20" t="s">
        <v>2912</v>
      </c>
      <c r="L21" s="20" t="s">
        <v>3252</v>
      </c>
    </row>
    <row r="22" spans="1:12" x14ac:dyDescent="0.2">
      <c r="A22" s="20">
        <v>522</v>
      </c>
      <c r="B22" s="20" t="s">
        <v>3288</v>
      </c>
      <c r="C22" s="20" t="s">
        <v>3250</v>
      </c>
      <c r="D22" s="20" t="s">
        <v>3289</v>
      </c>
      <c r="E22" s="20" t="s">
        <v>2369</v>
      </c>
      <c r="F22" s="20">
        <v>2022</v>
      </c>
      <c r="G22" s="20" t="s">
        <v>2913</v>
      </c>
      <c r="H22" s="20" t="s">
        <v>3251</v>
      </c>
      <c r="I22" s="20" t="s">
        <v>3054</v>
      </c>
      <c r="J22" s="20" t="s">
        <v>2912</v>
      </c>
      <c r="L22" s="20" t="s">
        <v>3253</v>
      </c>
    </row>
    <row r="23" spans="1:12" x14ac:dyDescent="0.2">
      <c r="A23" s="20">
        <v>523</v>
      </c>
      <c r="B23" s="20" t="s">
        <v>3290</v>
      </c>
      <c r="C23" s="20" t="s">
        <v>3250</v>
      </c>
      <c r="D23" s="20" t="s">
        <v>3291</v>
      </c>
      <c r="E23" s="20" t="s">
        <v>2369</v>
      </c>
      <c r="F23" s="20">
        <v>2022</v>
      </c>
      <c r="G23" s="20" t="s">
        <v>2913</v>
      </c>
      <c r="H23" s="20" t="s">
        <v>3251</v>
      </c>
      <c r="I23" s="20" t="s">
        <v>3054</v>
      </c>
      <c r="J23" s="20" t="s">
        <v>2912</v>
      </c>
      <c r="L23" s="20" t="s">
        <v>3252</v>
      </c>
    </row>
    <row r="24" spans="1:12" x14ac:dyDescent="0.2">
      <c r="A24" s="20">
        <v>524</v>
      </c>
      <c r="B24" s="20" t="s">
        <v>3292</v>
      </c>
      <c r="C24" s="20" t="s">
        <v>3250</v>
      </c>
      <c r="D24" s="20" t="s">
        <v>3293</v>
      </c>
      <c r="E24" s="20" t="s">
        <v>2369</v>
      </c>
      <c r="F24" s="20">
        <v>2022</v>
      </c>
      <c r="G24" s="20" t="s">
        <v>2913</v>
      </c>
      <c r="H24" s="20" t="s">
        <v>3251</v>
      </c>
      <c r="I24" s="20" t="s">
        <v>3054</v>
      </c>
      <c r="J24" s="20" t="s">
        <v>2912</v>
      </c>
      <c r="L24" s="20" t="s">
        <v>3253</v>
      </c>
    </row>
    <row r="25" spans="1:12" x14ac:dyDescent="0.2">
      <c r="A25" s="20">
        <v>525</v>
      </c>
      <c r="B25" s="20" t="s">
        <v>3294</v>
      </c>
      <c r="C25" s="20" t="s">
        <v>3250</v>
      </c>
      <c r="D25" s="20" t="s">
        <v>3295</v>
      </c>
      <c r="E25" s="20" t="s">
        <v>2369</v>
      </c>
      <c r="F25" s="20">
        <v>2022</v>
      </c>
      <c r="G25" s="20" t="s">
        <v>2913</v>
      </c>
      <c r="H25" s="20" t="s">
        <v>3251</v>
      </c>
      <c r="I25" s="20" t="s">
        <v>3054</v>
      </c>
      <c r="J25" s="20" t="s">
        <v>2912</v>
      </c>
      <c r="L25" s="20" t="s">
        <v>3253</v>
      </c>
    </row>
    <row r="26" spans="1:12" x14ac:dyDescent="0.2">
      <c r="A26" s="20">
        <v>526</v>
      </c>
      <c r="B26" s="20" t="s">
        <v>3296</v>
      </c>
      <c r="C26" s="20" t="s">
        <v>3250</v>
      </c>
      <c r="D26" s="20" t="s">
        <v>3297</v>
      </c>
      <c r="E26" s="20" t="s">
        <v>2369</v>
      </c>
      <c r="F26" s="20">
        <v>2022</v>
      </c>
      <c r="G26" s="20" t="s">
        <v>2913</v>
      </c>
      <c r="H26" s="20" t="s">
        <v>3251</v>
      </c>
      <c r="I26" s="20" t="s">
        <v>3054</v>
      </c>
      <c r="J26" s="20" t="s">
        <v>2912</v>
      </c>
      <c r="L26" s="20" t="s">
        <v>3252</v>
      </c>
    </row>
    <row r="27" spans="1:12" x14ac:dyDescent="0.2">
      <c r="A27" s="20">
        <v>527</v>
      </c>
      <c r="B27" s="20" t="s">
        <v>3298</v>
      </c>
      <c r="C27" s="20" t="s">
        <v>3250</v>
      </c>
      <c r="D27" s="20" t="s">
        <v>3299</v>
      </c>
      <c r="E27" s="20" t="s">
        <v>2369</v>
      </c>
      <c r="F27" s="20">
        <v>2022</v>
      </c>
      <c r="G27" s="20" t="s">
        <v>2913</v>
      </c>
      <c r="H27" s="20" t="s">
        <v>3251</v>
      </c>
      <c r="I27" s="20" t="s">
        <v>3054</v>
      </c>
      <c r="J27" s="20" t="s">
        <v>2912</v>
      </c>
      <c r="L27" s="20" t="s">
        <v>3253</v>
      </c>
    </row>
    <row r="28" spans="1:12" x14ac:dyDescent="0.2">
      <c r="A28" s="20">
        <v>528</v>
      </c>
      <c r="B28" s="20" t="s">
        <v>3300</v>
      </c>
      <c r="C28" s="20" t="s">
        <v>3250</v>
      </c>
      <c r="D28" s="20" t="s">
        <v>3301</v>
      </c>
      <c r="E28" s="20" t="s">
        <v>2369</v>
      </c>
      <c r="F28" s="20">
        <v>2022</v>
      </c>
      <c r="G28" s="20" t="s">
        <v>2913</v>
      </c>
      <c r="H28" s="20" t="s">
        <v>3251</v>
      </c>
      <c r="I28" s="20" t="s">
        <v>3054</v>
      </c>
      <c r="J28" s="20" t="s">
        <v>2912</v>
      </c>
      <c r="L28" s="20" t="s">
        <v>3253</v>
      </c>
    </row>
    <row r="29" spans="1:12" x14ac:dyDescent="0.2">
      <c r="A29" s="20">
        <v>529</v>
      </c>
      <c r="B29" s="20" t="s">
        <v>3302</v>
      </c>
      <c r="C29" s="20" t="s">
        <v>3250</v>
      </c>
      <c r="D29" s="20" t="s">
        <v>3303</v>
      </c>
      <c r="E29" s="20" t="s">
        <v>2369</v>
      </c>
      <c r="F29" s="20">
        <v>2022</v>
      </c>
      <c r="G29" s="20" t="s">
        <v>2913</v>
      </c>
      <c r="H29" s="20" t="s">
        <v>3251</v>
      </c>
      <c r="I29" s="20" t="s">
        <v>3054</v>
      </c>
      <c r="J29" s="20" t="s">
        <v>2912</v>
      </c>
      <c r="L29" s="20" t="s">
        <v>3253</v>
      </c>
    </row>
    <row r="30" spans="1:12" x14ac:dyDescent="0.2">
      <c r="A30" s="20">
        <v>530</v>
      </c>
      <c r="B30" s="20" t="s">
        <v>3304</v>
      </c>
      <c r="C30" s="20" t="s">
        <v>3250</v>
      </c>
      <c r="D30" s="20" t="s">
        <v>3305</v>
      </c>
      <c r="E30" s="20" t="s">
        <v>2369</v>
      </c>
      <c r="F30" s="20">
        <v>2022</v>
      </c>
      <c r="G30" s="20" t="s">
        <v>2913</v>
      </c>
      <c r="H30" s="20" t="s">
        <v>3251</v>
      </c>
      <c r="I30" s="20" t="s">
        <v>3054</v>
      </c>
      <c r="J30" s="20" t="s">
        <v>2912</v>
      </c>
      <c r="L30" s="20" t="s">
        <v>3253</v>
      </c>
    </row>
    <row r="31" spans="1:12" x14ac:dyDescent="0.2">
      <c r="A31" s="20">
        <v>531</v>
      </c>
      <c r="B31" s="20" t="s">
        <v>3306</v>
      </c>
      <c r="C31" s="20" t="s">
        <v>3250</v>
      </c>
      <c r="D31" s="20" t="s">
        <v>3307</v>
      </c>
      <c r="E31" s="20" t="s">
        <v>2369</v>
      </c>
      <c r="F31" s="20">
        <v>2022</v>
      </c>
      <c r="G31" s="20" t="s">
        <v>2913</v>
      </c>
      <c r="H31" s="20" t="s">
        <v>3251</v>
      </c>
      <c r="I31" s="20" t="s">
        <v>3054</v>
      </c>
      <c r="J31" s="20" t="s">
        <v>2912</v>
      </c>
      <c r="L31" s="20" t="s">
        <v>3253</v>
      </c>
    </row>
    <row r="32" spans="1:12" x14ac:dyDescent="0.2">
      <c r="A32" s="20">
        <v>532</v>
      </c>
      <c r="B32" s="20" t="s">
        <v>3308</v>
      </c>
      <c r="C32" s="20" t="s">
        <v>3250</v>
      </c>
      <c r="D32" s="20" t="s">
        <v>3309</v>
      </c>
      <c r="E32" s="20" t="s">
        <v>2369</v>
      </c>
      <c r="F32" s="20">
        <v>2022</v>
      </c>
      <c r="G32" s="20" t="s">
        <v>2913</v>
      </c>
      <c r="H32" s="20" t="s">
        <v>3251</v>
      </c>
      <c r="I32" s="20" t="s">
        <v>3054</v>
      </c>
      <c r="J32" s="20" t="s">
        <v>2912</v>
      </c>
      <c r="L32" s="20" t="s">
        <v>3253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525780</xdr:colOff>
                <xdr:row>1</xdr:row>
                <xdr:rowOff>53340</xdr:rowOff>
              </from>
              <to>
                <xdr:col>9</xdr:col>
                <xdr:colOff>548640</xdr:colOff>
                <xdr:row>1</xdr:row>
                <xdr:rowOff>312420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60960</xdr:rowOff>
              </from>
              <to>
                <xdr:col>7</xdr:col>
                <xdr:colOff>601980</xdr:colOff>
                <xdr:row>1</xdr:row>
                <xdr:rowOff>312420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60960</xdr:rowOff>
              </from>
              <to>
                <xdr:col>6</xdr:col>
                <xdr:colOff>76200</xdr:colOff>
                <xdr:row>1</xdr:row>
                <xdr:rowOff>312420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716280</xdr:colOff>
                <xdr:row>1</xdr:row>
                <xdr:rowOff>60960</xdr:rowOff>
              </from>
              <to>
                <xdr:col>3</xdr:col>
                <xdr:colOff>472440</xdr:colOff>
                <xdr:row>1</xdr:row>
                <xdr:rowOff>312420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1249680</xdr:colOff>
                <xdr:row>0</xdr:row>
                <xdr:rowOff>22860</xdr:rowOff>
              </from>
              <to>
                <xdr:col>12</xdr:col>
                <xdr:colOff>7620</xdr:colOff>
                <xdr:row>0</xdr:row>
                <xdr:rowOff>289560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showRowColHeaders="0" topLeftCell="B1" workbookViewId="0">
      <pane ySplit="4" topLeftCell="A5" activePane="bottomLeft" state="frozen"/>
      <selection pane="bottomLeft" activeCell="F16" sqref="F16"/>
    </sheetView>
  </sheetViews>
  <sheetFormatPr defaultColWidth="8.77734375" defaultRowHeight="13.8" x14ac:dyDescent="0.2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54.44140625" style="2" bestFit="1" customWidth="1"/>
    <col min="8" max="8" width="9.66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24" width="12.88671875" style="2" customWidth="1"/>
    <col min="25" max="16384" width="8.77734375" style="2"/>
  </cols>
  <sheetData>
    <row r="1" spans="1:13" s="17" customFormat="1" ht="30.45" customHeight="1" x14ac:dyDescent="0.2">
      <c r="I1" s="36"/>
      <c r="J1" s="40"/>
      <c r="K1" s="40"/>
    </row>
    <row r="2" spans="1:13" ht="30" customHeight="1" x14ac:dyDescent="0.2">
      <c r="J2" s="41"/>
      <c r="K2" s="41"/>
    </row>
    <row r="3" spans="1:13" ht="21" customHeight="1" x14ac:dyDescent="0.2">
      <c r="J3" s="41"/>
      <c r="K3" s="41"/>
    </row>
    <row r="4" spans="1:13" s="18" customFormat="1" ht="12" x14ac:dyDescent="0.2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</sheetData>
  <autoFilter ref="A4:M331" xr:uid="{456007C3-8189-421D-94DC-81D7832F4943}"/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2</xdr:col>
                <xdr:colOff>175260</xdr:colOff>
                <xdr:row>1</xdr:row>
                <xdr:rowOff>190500</xdr:rowOff>
              </from>
              <to>
                <xdr:col>3</xdr:col>
                <xdr:colOff>640080</xdr:colOff>
                <xdr:row>2</xdr:row>
                <xdr:rowOff>76200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4</xdr:col>
                <xdr:colOff>632460</xdr:colOff>
                <xdr:row>1</xdr:row>
                <xdr:rowOff>213360</xdr:rowOff>
              </from>
              <to>
                <xdr:col>5</xdr:col>
                <xdr:colOff>160020</xdr:colOff>
                <xdr:row>2</xdr:row>
                <xdr:rowOff>91440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640080</xdr:colOff>
                <xdr:row>0</xdr:row>
                <xdr:rowOff>0</xdr:rowOff>
              </from>
              <to>
                <xdr:col>6</xdr:col>
                <xdr:colOff>2621280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6</xdr:col>
                <xdr:colOff>2400300</xdr:colOff>
                <xdr:row>0</xdr:row>
                <xdr:rowOff>0</xdr:rowOff>
              </from>
              <to>
                <xdr:col>8</xdr:col>
                <xdr:colOff>518160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96FAB103-90E4-48E0-9495-B5E5AAC7D522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01FD88AB-E166-44DA-90F1-478D5AD30497}">
          <x14:formula1>
            <xm:f>validation!$N$2:$N$108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DC505E6C-E2EB-408A-8481-400D032FDCAB}">
          <x14:formula1>
            <xm:f>validation!$O$2:$O$493</xm:f>
          </x14:formula1>
          <xm:sqref>H5:H10000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.2" x14ac:dyDescent="0.2"/>
  <cols>
    <col min="1" max="1" width="18.109375" customWidth="1"/>
    <col min="3" max="4" width="14.33203125" customWidth="1"/>
  </cols>
  <sheetData>
    <row r="1" spans="1:3" x14ac:dyDescent="0.2">
      <c r="A1" t="s">
        <v>2036</v>
      </c>
      <c r="C1" t="s">
        <v>3246</v>
      </c>
    </row>
    <row r="2" spans="1:3" x14ac:dyDescent="0.2">
      <c r="A2" t="s">
        <v>1739</v>
      </c>
    </row>
    <row r="3" spans="1:3" x14ac:dyDescent="0.2">
      <c r="A3" t="s">
        <v>1781</v>
      </c>
    </row>
    <row r="4" spans="1:3" x14ac:dyDescent="0.2">
      <c r="A4" t="s">
        <v>3055</v>
      </c>
    </row>
    <row r="5" spans="1:3" x14ac:dyDescent="0.2">
      <c r="A5" t="s">
        <v>1810</v>
      </c>
    </row>
    <row r="6" spans="1:3" x14ac:dyDescent="0.2">
      <c r="A6" t="s">
        <v>1823</v>
      </c>
    </row>
    <row r="7" spans="1:3" x14ac:dyDescent="0.2">
      <c r="A7" t="s">
        <v>1749</v>
      </c>
    </row>
    <row r="8" spans="1:3" x14ac:dyDescent="0.2">
      <c r="A8" t="s">
        <v>3056</v>
      </c>
    </row>
    <row r="9" spans="1:3" x14ac:dyDescent="0.2">
      <c r="A9" t="s">
        <v>1775</v>
      </c>
    </row>
    <row r="10" spans="1:3" x14ac:dyDescent="0.2">
      <c r="A10" t="s">
        <v>3057</v>
      </c>
    </row>
    <row r="11" spans="1:3" x14ac:dyDescent="0.2">
      <c r="A11" t="s">
        <v>1783</v>
      </c>
    </row>
    <row r="12" spans="1:3" x14ac:dyDescent="0.2">
      <c r="A12" t="s">
        <v>1777</v>
      </c>
    </row>
    <row r="13" spans="1:3" x14ac:dyDescent="0.2">
      <c r="A13" t="s">
        <v>1754</v>
      </c>
    </row>
    <row r="14" spans="1:3" x14ac:dyDescent="0.2">
      <c r="A14" t="s">
        <v>1817</v>
      </c>
    </row>
    <row r="15" spans="1:3" x14ac:dyDescent="0.2">
      <c r="A15" t="s">
        <v>1778</v>
      </c>
    </row>
    <row r="16" spans="1:3" x14ac:dyDescent="0.2">
      <c r="A16" t="s">
        <v>3058</v>
      </c>
    </row>
    <row r="17" spans="1:1" x14ac:dyDescent="0.2">
      <c r="A17" t="s">
        <v>1813</v>
      </c>
    </row>
    <row r="18" spans="1:1" x14ac:dyDescent="0.2">
      <c r="A18" t="s">
        <v>1752</v>
      </c>
    </row>
    <row r="19" spans="1:1" x14ac:dyDescent="0.2">
      <c r="A19" t="s">
        <v>1782</v>
      </c>
    </row>
    <row r="20" spans="1:1" x14ac:dyDescent="0.2">
      <c r="A20" t="s">
        <v>3059</v>
      </c>
    </row>
    <row r="21" spans="1:1" x14ac:dyDescent="0.2">
      <c r="A21" t="s">
        <v>1789</v>
      </c>
    </row>
    <row r="22" spans="1:1" x14ac:dyDescent="0.2">
      <c r="A22" t="s">
        <v>1822</v>
      </c>
    </row>
    <row r="23" spans="1:1" x14ac:dyDescent="0.2">
      <c r="A23" t="s">
        <v>1814</v>
      </c>
    </row>
    <row r="24" spans="1:1" x14ac:dyDescent="0.2">
      <c r="A24" t="s">
        <v>1776</v>
      </c>
    </row>
    <row r="25" spans="1:1" x14ac:dyDescent="0.2">
      <c r="A25" t="s">
        <v>1821</v>
      </c>
    </row>
    <row r="26" spans="1:1" x14ac:dyDescent="0.2">
      <c r="A26" t="s">
        <v>1784</v>
      </c>
    </row>
    <row r="27" spans="1:1" x14ac:dyDescent="0.2">
      <c r="A27" t="s">
        <v>1815</v>
      </c>
    </row>
    <row r="28" spans="1:1" x14ac:dyDescent="0.2">
      <c r="A28" t="s">
        <v>1750</v>
      </c>
    </row>
    <row r="29" spans="1:1" x14ac:dyDescent="0.2">
      <c r="A29" t="s">
        <v>1811</v>
      </c>
    </row>
    <row r="30" spans="1:1" x14ac:dyDescent="0.2">
      <c r="A30" t="s">
        <v>1833</v>
      </c>
    </row>
    <row r="31" spans="1:1" x14ac:dyDescent="0.2">
      <c r="A31" t="s">
        <v>1824</v>
      </c>
    </row>
    <row r="32" spans="1:1" x14ac:dyDescent="0.2">
      <c r="A32" t="s">
        <v>1812</v>
      </c>
    </row>
    <row r="33" spans="1:1" x14ac:dyDescent="0.2">
      <c r="A33" t="s">
        <v>1790</v>
      </c>
    </row>
    <row r="34" spans="1:1" x14ac:dyDescent="0.2">
      <c r="A34" t="s">
        <v>1779</v>
      </c>
    </row>
    <row r="35" spans="1:1" x14ac:dyDescent="0.2">
      <c r="A35" t="s">
        <v>1816</v>
      </c>
    </row>
    <row r="36" spans="1:1" x14ac:dyDescent="0.2">
      <c r="A36" t="s">
        <v>1819</v>
      </c>
    </row>
    <row r="37" spans="1:1" x14ac:dyDescent="0.2">
      <c r="A37" t="s">
        <v>1702</v>
      </c>
    </row>
    <row r="38" spans="1:1" x14ac:dyDescent="0.2">
      <c r="A38" t="s">
        <v>3060</v>
      </c>
    </row>
    <row r="39" spans="1:1" x14ac:dyDescent="0.2">
      <c r="A39" t="s">
        <v>3061</v>
      </c>
    </row>
    <row r="40" spans="1:1" x14ac:dyDescent="0.2">
      <c r="A40" t="s">
        <v>1701</v>
      </c>
    </row>
    <row r="41" spans="1:1" x14ac:dyDescent="0.2">
      <c r="A41" t="s">
        <v>1703</v>
      </c>
    </row>
    <row r="42" spans="1:1" x14ac:dyDescent="0.2">
      <c r="A42" t="s">
        <v>3062</v>
      </c>
    </row>
    <row r="43" spans="1:1" x14ac:dyDescent="0.2">
      <c r="A43" t="s">
        <v>1700</v>
      </c>
    </row>
    <row r="44" spans="1:1" x14ac:dyDescent="0.2">
      <c r="A44" t="s">
        <v>3063</v>
      </c>
    </row>
    <row r="45" spans="1:1" x14ac:dyDescent="0.2">
      <c r="A45" t="s">
        <v>3064</v>
      </c>
    </row>
    <row r="46" spans="1:1" x14ac:dyDescent="0.2">
      <c r="A46" t="s">
        <v>1699</v>
      </c>
    </row>
    <row r="47" spans="1:1" x14ac:dyDescent="0.2">
      <c r="A47" t="s">
        <v>1820</v>
      </c>
    </row>
    <row r="48" spans="1:1" x14ac:dyDescent="0.2">
      <c r="A48" t="s">
        <v>1923</v>
      </c>
    </row>
    <row r="49" spans="1:1" x14ac:dyDescent="0.2">
      <c r="A49" t="s">
        <v>1924</v>
      </c>
    </row>
    <row r="50" spans="1:1" x14ac:dyDescent="0.2">
      <c r="A50" t="s">
        <v>1929</v>
      </c>
    </row>
    <row r="51" spans="1:1" x14ac:dyDescent="0.2">
      <c r="A51" t="s">
        <v>1842</v>
      </c>
    </row>
    <row r="52" spans="1:1" x14ac:dyDescent="0.2">
      <c r="A52" t="s">
        <v>1927</v>
      </c>
    </row>
    <row r="53" spans="1:1" x14ac:dyDescent="0.2">
      <c r="A53" t="s">
        <v>1843</v>
      </c>
    </row>
    <row r="54" spans="1:1" x14ac:dyDescent="0.2">
      <c r="A54" t="s">
        <v>1928</v>
      </c>
    </row>
    <row r="55" spans="1:1" x14ac:dyDescent="0.2">
      <c r="A55" t="s">
        <v>1844</v>
      </c>
    </row>
    <row r="56" spans="1:1" x14ac:dyDescent="0.2">
      <c r="A56" t="s">
        <v>3065</v>
      </c>
    </row>
    <row r="57" spans="1:1" x14ac:dyDescent="0.2">
      <c r="A57" t="s">
        <v>1860</v>
      </c>
    </row>
    <row r="58" spans="1:1" x14ac:dyDescent="0.2">
      <c r="A58" t="s">
        <v>3066</v>
      </c>
    </row>
    <row r="59" spans="1:1" x14ac:dyDescent="0.2">
      <c r="A59" t="s">
        <v>1786</v>
      </c>
    </row>
    <row r="60" spans="1:1" x14ac:dyDescent="0.2">
      <c r="A60" t="s">
        <v>3067</v>
      </c>
    </row>
    <row r="61" spans="1:1" x14ac:dyDescent="0.2">
      <c r="A61" t="s">
        <v>3068</v>
      </c>
    </row>
    <row r="62" spans="1:1" x14ac:dyDescent="0.2">
      <c r="A62" t="s">
        <v>3069</v>
      </c>
    </row>
    <row r="63" spans="1:1" x14ac:dyDescent="0.2">
      <c r="A63" t="s">
        <v>1828</v>
      </c>
    </row>
    <row r="64" spans="1:1" x14ac:dyDescent="0.2">
      <c r="A64" t="s">
        <v>1868</v>
      </c>
    </row>
    <row r="65" spans="1:1" x14ac:dyDescent="0.2">
      <c r="A65" t="s">
        <v>1761</v>
      </c>
    </row>
    <row r="66" spans="1:1" x14ac:dyDescent="0.2">
      <c r="A66" t="s">
        <v>1787</v>
      </c>
    </row>
    <row r="67" spans="1:1" x14ac:dyDescent="0.2">
      <c r="A67" t="s">
        <v>1901</v>
      </c>
    </row>
    <row r="68" spans="1:1" x14ac:dyDescent="0.2">
      <c r="A68" t="s">
        <v>1859</v>
      </c>
    </row>
    <row r="69" spans="1:1" x14ac:dyDescent="0.2">
      <c r="A69" t="s">
        <v>3070</v>
      </c>
    </row>
    <row r="70" spans="1:1" x14ac:dyDescent="0.2">
      <c r="A70" t="s">
        <v>1785</v>
      </c>
    </row>
    <row r="71" spans="1:1" x14ac:dyDescent="0.2">
      <c r="A71" t="s">
        <v>3071</v>
      </c>
    </row>
    <row r="72" spans="1:1" x14ac:dyDescent="0.2">
      <c r="A72" t="s">
        <v>1827</v>
      </c>
    </row>
    <row r="73" spans="1:1" x14ac:dyDescent="0.2">
      <c r="A73" t="s">
        <v>1760</v>
      </c>
    </row>
    <row r="74" spans="1:1" x14ac:dyDescent="0.2">
      <c r="A74" t="s">
        <v>1691</v>
      </c>
    </row>
    <row r="75" spans="1:1" x14ac:dyDescent="0.2">
      <c r="A75" t="s">
        <v>1845</v>
      </c>
    </row>
    <row r="76" spans="1:1" x14ac:dyDescent="0.2">
      <c r="A76" t="s">
        <v>1926</v>
      </c>
    </row>
    <row r="77" spans="1:1" x14ac:dyDescent="0.2">
      <c r="A77" t="s">
        <v>1925</v>
      </c>
    </row>
    <row r="78" spans="1:1" x14ac:dyDescent="0.2">
      <c r="A78" t="s">
        <v>1763</v>
      </c>
    </row>
    <row r="79" spans="1:1" x14ac:dyDescent="0.2">
      <c r="A79" t="s">
        <v>1762</v>
      </c>
    </row>
    <row r="80" spans="1:1" x14ac:dyDescent="0.2">
      <c r="A80" t="s">
        <v>1861</v>
      </c>
    </row>
    <row r="81" spans="1:1" x14ac:dyDescent="0.2">
      <c r="A81" t="s">
        <v>1769</v>
      </c>
    </row>
    <row r="82" spans="1:1" x14ac:dyDescent="0.2">
      <c r="A82" t="s">
        <v>1768</v>
      </c>
    </row>
    <row r="83" spans="1:1" x14ac:dyDescent="0.2">
      <c r="A83" t="s">
        <v>1770</v>
      </c>
    </row>
    <row r="84" spans="1:1" x14ac:dyDescent="0.2">
      <c r="A84" t="s">
        <v>1771</v>
      </c>
    </row>
    <row r="85" spans="1:1" x14ac:dyDescent="0.2">
      <c r="A85" t="s">
        <v>1622</v>
      </c>
    </row>
    <row r="86" spans="1:1" x14ac:dyDescent="0.2">
      <c r="A86" t="s">
        <v>1738</v>
      </c>
    </row>
    <row r="87" spans="1:1" x14ac:dyDescent="0.2">
      <c r="A87" t="s">
        <v>1737</v>
      </c>
    </row>
    <row r="88" spans="1:1" x14ac:dyDescent="0.2">
      <c r="A88" t="s">
        <v>1741</v>
      </c>
    </row>
    <row r="89" spans="1:1" x14ac:dyDescent="0.2">
      <c r="A89" t="s">
        <v>1803</v>
      </c>
    </row>
    <row r="90" spans="1:1" x14ac:dyDescent="0.2">
      <c r="A90" t="s">
        <v>1740</v>
      </c>
    </row>
    <row r="91" spans="1:1" x14ac:dyDescent="0.2">
      <c r="A91" t="s">
        <v>1835</v>
      </c>
    </row>
    <row r="92" spans="1:1" x14ac:dyDescent="0.2">
      <c r="A92" t="s">
        <v>1896</v>
      </c>
    </row>
    <row r="93" spans="1:1" x14ac:dyDescent="0.2">
      <c r="A93" t="s">
        <v>1872</v>
      </c>
    </row>
    <row r="94" spans="1:1" x14ac:dyDescent="0.2">
      <c r="A94" t="s">
        <v>1871</v>
      </c>
    </row>
    <row r="95" spans="1:1" x14ac:dyDescent="0.2">
      <c r="A95" t="s">
        <v>1834</v>
      </c>
    </row>
    <row r="96" spans="1:1" x14ac:dyDescent="0.2">
      <c r="A96" t="s">
        <v>1895</v>
      </c>
    </row>
    <row r="97" spans="1:1" x14ac:dyDescent="0.2">
      <c r="A97" t="s">
        <v>1894</v>
      </c>
    </row>
    <row r="98" spans="1:1" x14ac:dyDescent="0.2">
      <c r="A98" t="s">
        <v>1836</v>
      </c>
    </row>
    <row r="99" spans="1:1" x14ac:dyDescent="0.2">
      <c r="A99" t="s">
        <v>1837</v>
      </c>
    </row>
    <row r="100" spans="1:1" x14ac:dyDescent="0.2">
      <c r="A100" t="s">
        <v>1864</v>
      </c>
    </row>
    <row r="101" spans="1:1" x14ac:dyDescent="0.2">
      <c r="A101" t="s">
        <v>1870</v>
      </c>
    </row>
    <row r="102" spans="1:1" x14ac:dyDescent="0.2">
      <c r="A102" t="s">
        <v>1623</v>
      </c>
    </row>
    <row r="103" spans="1:1" x14ac:dyDescent="0.2">
      <c r="A103" t="s">
        <v>1745</v>
      </c>
    </row>
    <row r="104" spans="1:1" x14ac:dyDescent="0.2">
      <c r="A104" t="s">
        <v>1905</v>
      </c>
    </row>
    <row r="105" spans="1:1" x14ac:dyDescent="0.2">
      <c r="A105" t="s">
        <v>1846</v>
      </c>
    </row>
    <row r="106" spans="1:1" x14ac:dyDescent="0.2">
      <c r="A106" t="s">
        <v>1744</v>
      </c>
    </row>
    <row r="107" spans="1:1" x14ac:dyDescent="0.2">
      <c r="A107" t="s">
        <v>1743</v>
      </c>
    </row>
    <row r="108" spans="1:1" x14ac:dyDescent="0.2">
      <c r="A108" t="s">
        <v>1788</v>
      </c>
    </row>
    <row r="109" spans="1:1" x14ac:dyDescent="0.2">
      <c r="A109" t="s">
        <v>1906</v>
      </c>
    </row>
    <row r="110" spans="1:1" x14ac:dyDescent="0.2">
      <c r="A110" t="s">
        <v>1809</v>
      </c>
    </row>
    <row r="111" spans="1:1" x14ac:dyDescent="0.2">
      <c r="A111" t="s">
        <v>1907</v>
      </c>
    </row>
    <row r="112" spans="1:1" x14ac:dyDescent="0.2">
      <c r="A112" t="s">
        <v>1829</v>
      </c>
    </row>
    <row r="113" spans="1:1" x14ac:dyDescent="0.2">
      <c r="A113" t="s">
        <v>1869</v>
      </c>
    </row>
    <row r="114" spans="1:1" x14ac:dyDescent="0.2">
      <c r="A114" t="s">
        <v>1855</v>
      </c>
    </row>
    <row r="115" spans="1:1" x14ac:dyDescent="0.2">
      <c r="A115" t="s">
        <v>1932</v>
      </c>
    </row>
    <row r="116" spans="1:1" x14ac:dyDescent="0.2">
      <c r="A116" t="s">
        <v>1801</v>
      </c>
    </row>
    <row r="117" spans="1:1" x14ac:dyDescent="0.2">
      <c r="A117" t="s">
        <v>1878</v>
      </c>
    </row>
    <row r="118" spans="1:1" x14ac:dyDescent="0.2">
      <c r="A118" t="s">
        <v>1909</v>
      </c>
    </row>
    <row r="119" spans="1:1" x14ac:dyDescent="0.2">
      <c r="A119" t="s">
        <v>1908</v>
      </c>
    </row>
    <row r="120" spans="1:1" x14ac:dyDescent="0.2">
      <c r="A120" t="s">
        <v>1897</v>
      </c>
    </row>
    <row r="121" spans="1:1" x14ac:dyDescent="0.2">
      <c r="A121" t="s">
        <v>1889</v>
      </c>
    </row>
    <row r="122" spans="1:1" x14ac:dyDescent="0.2">
      <c r="A122" t="s">
        <v>1898</v>
      </c>
    </row>
    <row r="123" spans="1:1" x14ac:dyDescent="0.2">
      <c r="A123" t="s">
        <v>1877</v>
      </c>
    </row>
    <row r="124" spans="1:1" x14ac:dyDescent="0.2">
      <c r="A124" t="s">
        <v>1875</v>
      </c>
    </row>
    <row r="125" spans="1:1" x14ac:dyDescent="0.2">
      <c r="A125" t="s">
        <v>1847</v>
      </c>
    </row>
    <row r="126" spans="1:1" x14ac:dyDescent="0.2">
      <c r="A126" t="s">
        <v>1802</v>
      </c>
    </row>
    <row r="127" spans="1:1" x14ac:dyDescent="0.2">
      <c r="A127" t="s">
        <v>3072</v>
      </c>
    </row>
    <row r="128" spans="1:1" x14ac:dyDescent="0.2">
      <c r="A128" t="s">
        <v>3073</v>
      </c>
    </row>
    <row r="129" spans="1:1" x14ac:dyDescent="0.2">
      <c r="A129" t="s">
        <v>1830</v>
      </c>
    </row>
    <row r="130" spans="1:1" x14ac:dyDescent="0.2">
      <c r="A130" t="s">
        <v>1893</v>
      </c>
    </row>
    <row r="131" spans="1:1" x14ac:dyDescent="0.2">
      <c r="A131" t="s">
        <v>1899</v>
      </c>
    </row>
    <row r="132" spans="1:1" x14ac:dyDescent="0.2">
      <c r="A132" t="s">
        <v>1863</v>
      </c>
    </row>
    <row r="133" spans="1:1" x14ac:dyDescent="0.2">
      <c r="A133" t="s">
        <v>1887</v>
      </c>
    </row>
    <row r="134" spans="1:1" x14ac:dyDescent="0.2">
      <c r="A134" t="s">
        <v>1890</v>
      </c>
    </row>
    <row r="135" spans="1:1" x14ac:dyDescent="0.2">
      <c r="A135" t="s">
        <v>1867</v>
      </c>
    </row>
    <row r="136" spans="1:1" x14ac:dyDescent="0.2">
      <c r="A136" t="s">
        <v>1888</v>
      </c>
    </row>
    <row r="137" spans="1:1" x14ac:dyDescent="0.2">
      <c r="A137" t="s">
        <v>1910</v>
      </c>
    </row>
    <row r="138" spans="1:1" x14ac:dyDescent="0.2">
      <c r="A138" t="s">
        <v>1712</v>
      </c>
    </row>
    <row r="139" spans="1:1" x14ac:dyDescent="0.2">
      <c r="A139" t="s">
        <v>1742</v>
      </c>
    </row>
    <row r="140" spans="1:1" x14ac:dyDescent="0.2">
      <c r="A140" t="s">
        <v>1976</v>
      </c>
    </row>
    <row r="141" spans="1:1" x14ac:dyDescent="0.2">
      <c r="A141" t="s">
        <v>1938</v>
      </c>
    </row>
    <row r="142" spans="1:1" x14ac:dyDescent="0.2">
      <c r="A142" t="s">
        <v>1857</v>
      </c>
    </row>
    <row r="143" spans="1:1" x14ac:dyDescent="0.2">
      <c r="A143" t="s">
        <v>1922</v>
      </c>
    </row>
    <row r="144" spans="1:1" x14ac:dyDescent="0.2">
      <c r="A144" t="s">
        <v>3074</v>
      </c>
    </row>
    <row r="145" spans="1:1" x14ac:dyDescent="0.2">
      <c r="A145" t="s">
        <v>1943</v>
      </c>
    </row>
    <row r="146" spans="1:1" x14ac:dyDescent="0.2">
      <c r="A146" t="s">
        <v>1808</v>
      </c>
    </row>
    <row r="147" spans="1:1" x14ac:dyDescent="0.2">
      <c r="A147" t="s">
        <v>1900</v>
      </c>
    </row>
    <row r="148" spans="1:1" x14ac:dyDescent="0.2">
      <c r="A148" t="s">
        <v>1858</v>
      </c>
    </row>
    <row r="149" spans="1:1" x14ac:dyDescent="0.2">
      <c r="A149" t="s">
        <v>3075</v>
      </c>
    </row>
    <row r="150" spans="1:1" x14ac:dyDescent="0.2">
      <c r="A150" t="s">
        <v>1944</v>
      </c>
    </row>
    <row r="151" spans="1:1" x14ac:dyDescent="0.2">
      <c r="A151" t="s">
        <v>1971</v>
      </c>
    </row>
    <row r="152" spans="1:1" x14ac:dyDescent="0.2">
      <c r="A152" t="s">
        <v>1939</v>
      </c>
    </row>
    <row r="153" spans="1:1" x14ac:dyDescent="0.2">
      <c r="A153" t="s">
        <v>2014</v>
      </c>
    </row>
    <row r="154" spans="1:1" x14ac:dyDescent="0.2">
      <c r="A154" t="s">
        <v>1746</v>
      </c>
    </row>
    <row r="155" spans="1:1" x14ac:dyDescent="0.2">
      <c r="A155" t="s">
        <v>1931</v>
      </c>
    </row>
    <row r="156" spans="1:1" x14ac:dyDescent="0.2">
      <c r="A156" t="s">
        <v>1753</v>
      </c>
    </row>
    <row r="157" spans="1:1" x14ac:dyDescent="0.2">
      <c r="A157" t="s">
        <v>1930</v>
      </c>
    </row>
    <row r="158" spans="1:1" x14ac:dyDescent="0.2">
      <c r="A158" t="s">
        <v>1903</v>
      </c>
    </row>
    <row r="159" spans="1:1" x14ac:dyDescent="0.2">
      <c r="A159" t="s">
        <v>1862</v>
      </c>
    </row>
    <row r="160" spans="1:1" x14ac:dyDescent="0.2">
      <c r="A160" t="s">
        <v>3076</v>
      </c>
    </row>
    <row r="161" spans="1:1" x14ac:dyDescent="0.2">
      <c r="A161" t="s">
        <v>2031</v>
      </c>
    </row>
    <row r="162" spans="1:1" x14ac:dyDescent="0.2">
      <c r="A162" t="s">
        <v>1940</v>
      </c>
    </row>
    <row r="163" spans="1:1" x14ac:dyDescent="0.2">
      <c r="A163" t="s">
        <v>1902</v>
      </c>
    </row>
    <row r="164" spans="1:1" x14ac:dyDescent="0.2">
      <c r="A164" t="s">
        <v>1831</v>
      </c>
    </row>
    <row r="165" spans="1:1" x14ac:dyDescent="0.2">
      <c r="A165" t="s">
        <v>1941</v>
      </c>
    </row>
    <row r="166" spans="1:1" x14ac:dyDescent="0.2">
      <c r="A166" t="s">
        <v>1800</v>
      </c>
    </row>
    <row r="167" spans="1:1" x14ac:dyDescent="0.2">
      <c r="A167" t="s">
        <v>1796</v>
      </c>
    </row>
    <row r="168" spans="1:1" x14ac:dyDescent="0.2">
      <c r="A168" t="s">
        <v>1792</v>
      </c>
    </row>
    <row r="169" spans="1:1" x14ac:dyDescent="0.2">
      <c r="A169" t="s">
        <v>1798</v>
      </c>
    </row>
    <row r="170" spans="1:1" x14ac:dyDescent="0.2">
      <c r="A170" t="s">
        <v>1935</v>
      </c>
    </row>
    <row r="171" spans="1:1" x14ac:dyDescent="0.2">
      <c r="A171" t="s">
        <v>1794</v>
      </c>
    </row>
    <row r="172" spans="1:1" x14ac:dyDescent="0.2">
      <c r="A172" t="s">
        <v>1973</v>
      </c>
    </row>
    <row r="173" spans="1:1" x14ac:dyDescent="0.2">
      <c r="A173" t="s">
        <v>2047</v>
      </c>
    </row>
    <row r="174" spans="1:1" x14ac:dyDescent="0.2">
      <c r="A174" t="s">
        <v>1974</v>
      </c>
    </row>
    <row r="175" spans="1:1" x14ac:dyDescent="0.2">
      <c r="A175" t="s">
        <v>1998</v>
      </c>
    </row>
    <row r="176" spans="1:1" x14ac:dyDescent="0.2">
      <c r="A176" t="s">
        <v>1904</v>
      </c>
    </row>
    <row r="177" spans="1:1" x14ac:dyDescent="0.2">
      <c r="A177" t="s">
        <v>3077</v>
      </c>
    </row>
    <row r="178" spans="1:1" x14ac:dyDescent="0.2">
      <c r="A178" t="s">
        <v>3078</v>
      </c>
    </row>
    <row r="179" spans="1:1" x14ac:dyDescent="0.2">
      <c r="A179" t="s">
        <v>3079</v>
      </c>
    </row>
    <row r="180" spans="1:1" x14ac:dyDescent="0.2">
      <c r="A180" t="s">
        <v>1963</v>
      </c>
    </row>
    <row r="181" spans="1:1" x14ac:dyDescent="0.2">
      <c r="A181" t="s">
        <v>1956</v>
      </c>
    </row>
    <row r="182" spans="1:1" x14ac:dyDescent="0.2">
      <c r="A182" t="s">
        <v>1936</v>
      </c>
    </row>
    <row r="183" spans="1:1" x14ac:dyDescent="0.2">
      <c r="A183" t="s">
        <v>1937</v>
      </c>
    </row>
    <row r="184" spans="1:1" x14ac:dyDescent="0.2">
      <c r="A184" t="s">
        <v>2002</v>
      </c>
    </row>
    <row r="185" spans="1:1" x14ac:dyDescent="0.2">
      <c r="A185" t="s">
        <v>1947</v>
      </c>
    </row>
    <row r="186" spans="1:1" x14ac:dyDescent="0.2">
      <c r="A186" t="s">
        <v>1756</v>
      </c>
    </row>
    <row r="187" spans="1:1" x14ac:dyDescent="0.2">
      <c r="A187" t="s">
        <v>1921</v>
      </c>
    </row>
    <row r="188" spans="1:1" x14ac:dyDescent="0.2">
      <c r="A188" t="s">
        <v>1874</v>
      </c>
    </row>
    <row r="189" spans="1:1" x14ac:dyDescent="0.2">
      <c r="A189" t="s">
        <v>1866</v>
      </c>
    </row>
    <row r="190" spans="1:1" x14ac:dyDescent="0.2">
      <c r="A190" t="s">
        <v>1865</v>
      </c>
    </row>
    <row r="191" spans="1:1" x14ac:dyDescent="0.2">
      <c r="A191" t="s">
        <v>1962</v>
      </c>
    </row>
    <row r="192" spans="1:1" x14ac:dyDescent="0.2">
      <c r="A192" t="s">
        <v>1852</v>
      </c>
    </row>
    <row r="193" spans="1:1" x14ac:dyDescent="0.2">
      <c r="A193" t="s">
        <v>1848</v>
      </c>
    </row>
    <row r="194" spans="1:1" x14ac:dyDescent="0.2">
      <c r="A194" t="s">
        <v>3080</v>
      </c>
    </row>
    <row r="195" spans="1:1" x14ac:dyDescent="0.2">
      <c r="A195" t="s">
        <v>3081</v>
      </c>
    </row>
    <row r="196" spans="1:1" x14ac:dyDescent="0.2">
      <c r="A196" t="s">
        <v>3082</v>
      </c>
    </row>
    <row r="197" spans="1:1" x14ac:dyDescent="0.2">
      <c r="A197" t="s">
        <v>1989</v>
      </c>
    </row>
    <row r="198" spans="1:1" x14ac:dyDescent="0.2">
      <c r="A198" t="s">
        <v>1958</v>
      </c>
    </row>
    <row r="199" spans="1:1" x14ac:dyDescent="0.2">
      <c r="A199" t="s">
        <v>3083</v>
      </c>
    </row>
    <row r="200" spans="1:1" x14ac:dyDescent="0.2">
      <c r="A200" t="s">
        <v>3084</v>
      </c>
    </row>
    <row r="201" spans="1:1" x14ac:dyDescent="0.2">
      <c r="A201" t="s">
        <v>1806</v>
      </c>
    </row>
    <row r="202" spans="1:1" x14ac:dyDescent="0.2">
      <c r="A202" t="s">
        <v>2088</v>
      </c>
    </row>
    <row r="203" spans="1:1" x14ac:dyDescent="0.2">
      <c r="A203" t="s">
        <v>1805</v>
      </c>
    </row>
    <row r="204" spans="1:1" x14ac:dyDescent="0.2">
      <c r="A204" t="s">
        <v>1884</v>
      </c>
    </row>
    <row r="205" spans="1:1" x14ac:dyDescent="0.2">
      <c r="A205" t="s">
        <v>1772</v>
      </c>
    </row>
    <row r="206" spans="1:1" x14ac:dyDescent="0.2">
      <c r="A206" t="s">
        <v>2073</v>
      </c>
    </row>
    <row r="207" spans="1:1" x14ac:dyDescent="0.2">
      <c r="A207" t="s">
        <v>1818</v>
      </c>
    </row>
    <row r="208" spans="1:1" x14ac:dyDescent="0.2">
      <c r="A208" t="s">
        <v>1966</v>
      </c>
    </row>
    <row r="209" spans="1:1" x14ac:dyDescent="0.2">
      <c r="A209" t="s">
        <v>2017</v>
      </c>
    </row>
    <row r="210" spans="1:1" x14ac:dyDescent="0.2">
      <c r="A210" t="s">
        <v>2018</v>
      </c>
    </row>
    <row r="211" spans="1:1" x14ac:dyDescent="0.2">
      <c r="A211" t="s">
        <v>1933</v>
      </c>
    </row>
    <row r="212" spans="1:1" x14ac:dyDescent="0.2">
      <c r="A212" t="s">
        <v>1934</v>
      </c>
    </row>
    <row r="213" spans="1:1" x14ac:dyDescent="0.2">
      <c r="A213" t="s">
        <v>2048</v>
      </c>
    </row>
    <row r="214" spans="1:1" x14ac:dyDescent="0.2">
      <c r="A214" t="s">
        <v>3085</v>
      </c>
    </row>
    <row r="215" spans="1:1" x14ac:dyDescent="0.2">
      <c r="A215" t="s">
        <v>2087</v>
      </c>
    </row>
    <row r="216" spans="1:1" x14ac:dyDescent="0.2">
      <c r="A216" t="s">
        <v>2072</v>
      </c>
    </row>
    <row r="217" spans="1:1" x14ac:dyDescent="0.2">
      <c r="A217" t="s">
        <v>1992</v>
      </c>
    </row>
    <row r="218" spans="1:1" x14ac:dyDescent="0.2">
      <c r="A218" t="s">
        <v>2035</v>
      </c>
    </row>
    <row r="219" spans="1:1" x14ac:dyDescent="0.2">
      <c r="A219" t="s">
        <v>2071</v>
      </c>
    </row>
    <row r="220" spans="1:1" x14ac:dyDescent="0.2">
      <c r="A220" t="s">
        <v>1990</v>
      </c>
    </row>
    <row r="221" spans="1:1" x14ac:dyDescent="0.2">
      <c r="A221" t="s">
        <v>2034</v>
      </c>
    </row>
    <row r="222" spans="1:1" x14ac:dyDescent="0.2">
      <c r="A222" t="s">
        <v>2033</v>
      </c>
    </row>
    <row r="223" spans="1:1" x14ac:dyDescent="0.2">
      <c r="A223" t="s">
        <v>1991</v>
      </c>
    </row>
    <row r="224" spans="1:1" x14ac:dyDescent="0.2">
      <c r="A224" t="s">
        <v>2085</v>
      </c>
    </row>
    <row r="225" spans="1:1" x14ac:dyDescent="0.2">
      <c r="A225" t="s">
        <v>1942</v>
      </c>
    </row>
    <row r="226" spans="1:1" x14ac:dyDescent="0.2">
      <c r="A226" t="s">
        <v>1999</v>
      </c>
    </row>
    <row r="227" spans="1:1" x14ac:dyDescent="0.2">
      <c r="A227" t="s">
        <v>1968</v>
      </c>
    </row>
    <row r="228" spans="1:1" x14ac:dyDescent="0.2">
      <c r="A228" t="s">
        <v>1980</v>
      </c>
    </row>
    <row r="229" spans="1:1" x14ac:dyDescent="0.2">
      <c r="A229" t="s">
        <v>3086</v>
      </c>
    </row>
    <row r="230" spans="1:1" x14ac:dyDescent="0.2">
      <c r="A230" t="s">
        <v>1954</v>
      </c>
    </row>
    <row r="231" spans="1:1" x14ac:dyDescent="0.2">
      <c r="A231" t="s">
        <v>3087</v>
      </c>
    </row>
    <row r="232" spans="1:1" x14ac:dyDescent="0.2">
      <c r="A232" t="s">
        <v>1912</v>
      </c>
    </row>
    <row r="233" spans="1:1" x14ac:dyDescent="0.2">
      <c r="A233" t="s">
        <v>1972</v>
      </c>
    </row>
    <row r="234" spans="1:1" x14ac:dyDescent="0.2">
      <c r="A234" t="s">
        <v>1960</v>
      </c>
    </row>
    <row r="235" spans="1:1" x14ac:dyDescent="0.2">
      <c r="A235" t="s">
        <v>1959</v>
      </c>
    </row>
    <row r="236" spans="1:1" x14ac:dyDescent="0.2">
      <c r="A236" t="s">
        <v>2042</v>
      </c>
    </row>
    <row r="237" spans="1:1" x14ac:dyDescent="0.2">
      <c r="A237" t="s">
        <v>2043</v>
      </c>
    </row>
    <row r="238" spans="1:1" x14ac:dyDescent="0.2">
      <c r="A238" t="s">
        <v>2084</v>
      </c>
    </row>
    <row r="239" spans="1:1" x14ac:dyDescent="0.2">
      <c r="A239" t="s">
        <v>2083</v>
      </c>
    </row>
    <row r="240" spans="1:1" x14ac:dyDescent="0.2">
      <c r="A240" t="s">
        <v>1876</v>
      </c>
    </row>
    <row r="241" spans="1:1" x14ac:dyDescent="0.2">
      <c r="A241" t="s">
        <v>2007</v>
      </c>
    </row>
    <row r="242" spans="1:1" x14ac:dyDescent="0.2">
      <c r="A242" t="s">
        <v>2056</v>
      </c>
    </row>
    <row r="243" spans="1:1" x14ac:dyDescent="0.2">
      <c r="A243" t="s">
        <v>2000</v>
      </c>
    </row>
    <row r="244" spans="1:1" x14ac:dyDescent="0.2">
      <c r="A244" t="s">
        <v>2008</v>
      </c>
    </row>
    <row r="245" spans="1:1" x14ac:dyDescent="0.2">
      <c r="A245" t="s">
        <v>2005</v>
      </c>
    </row>
    <row r="246" spans="1:1" x14ac:dyDescent="0.2">
      <c r="A246" t="s">
        <v>3088</v>
      </c>
    </row>
    <row r="247" spans="1:1" x14ac:dyDescent="0.2">
      <c r="A247" t="s">
        <v>1913</v>
      </c>
    </row>
    <row r="248" spans="1:1" x14ac:dyDescent="0.2">
      <c r="A248" t="s">
        <v>3089</v>
      </c>
    </row>
    <row r="249" spans="1:1" x14ac:dyDescent="0.2">
      <c r="A249" t="s">
        <v>2029</v>
      </c>
    </row>
    <row r="250" spans="1:1" x14ac:dyDescent="0.2">
      <c r="A250" t="s">
        <v>1986</v>
      </c>
    </row>
    <row r="251" spans="1:1" x14ac:dyDescent="0.2">
      <c r="A251" t="s">
        <v>1985</v>
      </c>
    </row>
    <row r="252" spans="1:1" x14ac:dyDescent="0.2">
      <c r="A252" t="s">
        <v>1984</v>
      </c>
    </row>
    <row r="253" spans="1:1" x14ac:dyDescent="0.2">
      <c r="A253" t="s">
        <v>1969</v>
      </c>
    </row>
    <row r="254" spans="1:1" x14ac:dyDescent="0.2">
      <c r="A254" t="s">
        <v>1970</v>
      </c>
    </row>
    <row r="255" spans="1:1" x14ac:dyDescent="0.2">
      <c r="A255" t="s">
        <v>1987</v>
      </c>
    </row>
    <row r="256" spans="1:1" x14ac:dyDescent="0.2">
      <c r="A256" t="s">
        <v>1955</v>
      </c>
    </row>
    <row r="257" spans="1:1" x14ac:dyDescent="0.2">
      <c r="A257" t="s">
        <v>3090</v>
      </c>
    </row>
    <row r="258" spans="1:1" x14ac:dyDescent="0.2">
      <c r="A258" t="s">
        <v>3091</v>
      </c>
    </row>
    <row r="259" spans="1:1" x14ac:dyDescent="0.2">
      <c r="A259" t="s">
        <v>2003</v>
      </c>
    </row>
    <row r="260" spans="1:1" x14ac:dyDescent="0.2">
      <c r="A260" t="s">
        <v>2013</v>
      </c>
    </row>
    <row r="261" spans="1:1" x14ac:dyDescent="0.2">
      <c r="A261" t="s">
        <v>1967</v>
      </c>
    </row>
    <row r="262" spans="1:1" x14ac:dyDescent="0.2">
      <c r="A262" t="s">
        <v>1964</v>
      </c>
    </row>
    <row r="263" spans="1:1" x14ac:dyDescent="0.2">
      <c r="A263" t="s">
        <v>3092</v>
      </c>
    </row>
    <row r="264" spans="1:1" x14ac:dyDescent="0.2">
      <c r="A264" t="s">
        <v>3093</v>
      </c>
    </row>
    <row r="265" spans="1:1" x14ac:dyDescent="0.2">
      <c r="A265" t="s">
        <v>1957</v>
      </c>
    </row>
    <row r="266" spans="1:1" x14ac:dyDescent="0.2">
      <c r="A266" t="s">
        <v>3094</v>
      </c>
    </row>
    <row r="267" spans="1:1" x14ac:dyDescent="0.2">
      <c r="A267" t="s">
        <v>2032</v>
      </c>
    </row>
    <row r="268" spans="1:1" x14ac:dyDescent="0.2">
      <c r="A268" t="s">
        <v>2051</v>
      </c>
    </row>
    <row r="269" spans="1:1" x14ac:dyDescent="0.2">
      <c r="A269" t="s">
        <v>1988</v>
      </c>
    </row>
    <row r="270" spans="1:1" x14ac:dyDescent="0.2">
      <c r="A270" t="s">
        <v>1965</v>
      </c>
    </row>
    <row r="271" spans="1:1" x14ac:dyDescent="0.2">
      <c r="A271" t="s">
        <v>2006</v>
      </c>
    </row>
    <row r="272" spans="1:1" x14ac:dyDescent="0.2">
      <c r="A272" t="s">
        <v>2044</v>
      </c>
    </row>
    <row r="273" spans="1:1" x14ac:dyDescent="0.2">
      <c r="A273" t="s">
        <v>2052</v>
      </c>
    </row>
    <row r="274" spans="1:1" x14ac:dyDescent="0.2">
      <c r="A274" t="s">
        <v>1996</v>
      </c>
    </row>
    <row r="275" spans="1:1" x14ac:dyDescent="0.2">
      <c r="A275" t="s">
        <v>2026</v>
      </c>
    </row>
    <row r="276" spans="1:1" x14ac:dyDescent="0.2">
      <c r="A276" t="s">
        <v>1995</v>
      </c>
    </row>
    <row r="277" spans="1:1" x14ac:dyDescent="0.2">
      <c r="A277" t="s">
        <v>2027</v>
      </c>
    </row>
    <row r="278" spans="1:1" x14ac:dyDescent="0.2">
      <c r="A278" t="s">
        <v>1949</v>
      </c>
    </row>
    <row r="279" spans="1:1" x14ac:dyDescent="0.2">
      <c r="A279" t="s">
        <v>1948</v>
      </c>
    </row>
    <row r="280" spans="1:1" x14ac:dyDescent="0.2">
      <c r="A280" t="s">
        <v>3095</v>
      </c>
    </row>
    <row r="281" spans="1:1" x14ac:dyDescent="0.2">
      <c r="A281" t="s">
        <v>1993</v>
      </c>
    </row>
    <row r="282" spans="1:1" x14ac:dyDescent="0.2">
      <c r="A282" t="s">
        <v>1982</v>
      </c>
    </row>
    <row r="283" spans="1:1" x14ac:dyDescent="0.2">
      <c r="A283" t="s">
        <v>3096</v>
      </c>
    </row>
    <row r="284" spans="1:1" x14ac:dyDescent="0.2">
      <c r="A284" t="s">
        <v>1997</v>
      </c>
    </row>
    <row r="285" spans="1:1" x14ac:dyDescent="0.2">
      <c r="A285" t="s">
        <v>1978</v>
      </c>
    </row>
    <row r="286" spans="1:1" x14ac:dyDescent="0.2">
      <c r="A286" t="s">
        <v>1977</v>
      </c>
    </row>
    <row r="287" spans="1:1" x14ac:dyDescent="0.2">
      <c r="A287" t="s">
        <v>1975</v>
      </c>
    </row>
    <row r="288" spans="1:1" x14ac:dyDescent="0.2">
      <c r="A288" t="s">
        <v>1979</v>
      </c>
    </row>
    <row r="289" spans="1:1" x14ac:dyDescent="0.2">
      <c r="A289" t="s">
        <v>2021</v>
      </c>
    </row>
    <row r="290" spans="1:1" x14ac:dyDescent="0.2">
      <c r="A290" t="s">
        <v>3097</v>
      </c>
    </row>
    <row r="291" spans="1:1" x14ac:dyDescent="0.2">
      <c r="A291" t="s">
        <v>2016</v>
      </c>
    </row>
    <row r="292" spans="1:1" x14ac:dyDescent="0.2">
      <c r="A292" t="s">
        <v>2015</v>
      </c>
    </row>
    <row r="293" spans="1:1" x14ac:dyDescent="0.2">
      <c r="A293" t="s">
        <v>3098</v>
      </c>
    </row>
    <row r="294" spans="1:1" x14ac:dyDescent="0.2">
      <c r="A294" t="s">
        <v>2009</v>
      </c>
    </row>
    <row r="295" spans="1:1" x14ac:dyDescent="0.2">
      <c r="A295" t="s">
        <v>2012</v>
      </c>
    </row>
    <row r="296" spans="1:1" x14ac:dyDescent="0.2">
      <c r="A296" t="s">
        <v>1891</v>
      </c>
    </row>
    <row r="297" spans="1:1" x14ac:dyDescent="0.2">
      <c r="A297" t="s">
        <v>2057</v>
      </c>
    </row>
    <row r="298" spans="1:1" x14ac:dyDescent="0.2">
      <c r="A298" t="s">
        <v>3099</v>
      </c>
    </row>
    <row r="299" spans="1:1" x14ac:dyDescent="0.2">
      <c r="A299" t="s">
        <v>2046</v>
      </c>
    </row>
    <row r="300" spans="1:1" x14ac:dyDescent="0.2">
      <c r="A300" t="s">
        <v>2010</v>
      </c>
    </row>
    <row r="301" spans="1:1" x14ac:dyDescent="0.2">
      <c r="A301" t="s">
        <v>2045</v>
      </c>
    </row>
    <row r="302" spans="1:1" x14ac:dyDescent="0.2">
      <c r="A302" t="s">
        <v>2054</v>
      </c>
    </row>
    <row r="303" spans="1:1" x14ac:dyDescent="0.2">
      <c r="A303" t="s">
        <v>2059</v>
      </c>
    </row>
    <row r="304" spans="1:1" x14ac:dyDescent="0.2">
      <c r="A304" t="s">
        <v>1983</v>
      </c>
    </row>
    <row r="305" spans="1:1" x14ac:dyDescent="0.2">
      <c r="A305" t="s">
        <v>1950</v>
      </c>
    </row>
    <row r="306" spans="1:1" x14ac:dyDescent="0.2">
      <c r="A306" t="s">
        <v>2055</v>
      </c>
    </row>
    <row r="307" spans="1:1" x14ac:dyDescent="0.2">
      <c r="A307" t="s">
        <v>1951</v>
      </c>
    </row>
    <row r="308" spans="1:1" x14ac:dyDescent="0.2">
      <c r="A308" t="s">
        <v>2022</v>
      </c>
    </row>
    <row r="309" spans="1:1" x14ac:dyDescent="0.2">
      <c r="A309" t="s">
        <v>2037</v>
      </c>
    </row>
    <row r="310" spans="1:1" x14ac:dyDescent="0.2">
      <c r="A310" t="s">
        <v>2067</v>
      </c>
    </row>
    <row r="311" spans="1:1" x14ac:dyDescent="0.2">
      <c r="A311" t="s">
        <v>2066</v>
      </c>
    </row>
    <row r="312" spans="1:1" x14ac:dyDescent="0.2">
      <c r="A312" t="s">
        <v>2038</v>
      </c>
    </row>
    <row r="313" spans="1:1" x14ac:dyDescent="0.2">
      <c r="A313" t="s">
        <v>2041</v>
      </c>
    </row>
    <row r="314" spans="1:1" x14ac:dyDescent="0.2">
      <c r="A314" t="s">
        <v>1994</v>
      </c>
    </row>
    <row r="315" spans="1:1" x14ac:dyDescent="0.2">
      <c r="A315" t="s">
        <v>2001</v>
      </c>
    </row>
    <row r="316" spans="1:1" x14ac:dyDescent="0.2">
      <c r="A316" t="s">
        <v>2060</v>
      </c>
    </row>
    <row r="317" spans="1:1" x14ac:dyDescent="0.2">
      <c r="A317" t="s">
        <v>2061</v>
      </c>
    </row>
    <row r="318" spans="1:1" x14ac:dyDescent="0.2">
      <c r="A318" t="s">
        <v>2062</v>
      </c>
    </row>
    <row r="319" spans="1:1" x14ac:dyDescent="0.2">
      <c r="A319" t="s">
        <v>2039</v>
      </c>
    </row>
    <row r="320" spans="1:1" x14ac:dyDescent="0.2">
      <c r="A320" t="s">
        <v>3100</v>
      </c>
    </row>
    <row r="321" spans="1:1" x14ac:dyDescent="0.2">
      <c r="A321" t="s">
        <v>2064</v>
      </c>
    </row>
    <row r="322" spans="1:1" x14ac:dyDescent="0.2">
      <c r="A322" t="s">
        <v>2028</v>
      </c>
    </row>
    <row r="323" spans="1:1" x14ac:dyDescent="0.2">
      <c r="A323" t="s">
        <v>2080</v>
      </c>
    </row>
    <row r="324" spans="1:1" x14ac:dyDescent="0.2">
      <c r="A324" t="s">
        <v>2004</v>
      </c>
    </row>
    <row r="325" spans="1:1" x14ac:dyDescent="0.2">
      <c r="A325" t="s">
        <v>2053</v>
      </c>
    </row>
    <row r="326" spans="1:1" x14ac:dyDescent="0.2">
      <c r="A326" t="s">
        <v>2065</v>
      </c>
    </row>
    <row r="327" spans="1:1" x14ac:dyDescent="0.2">
      <c r="A327" t="s">
        <v>2023</v>
      </c>
    </row>
    <row r="328" spans="1:1" x14ac:dyDescent="0.2">
      <c r="A328" t="s">
        <v>3101</v>
      </c>
    </row>
    <row r="329" spans="1:1" x14ac:dyDescent="0.2">
      <c r="A329" t="s">
        <v>3102</v>
      </c>
    </row>
    <row r="330" spans="1:1" x14ac:dyDescent="0.2">
      <c r="A330" t="s">
        <v>2011</v>
      </c>
    </row>
    <row r="331" spans="1:1" x14ac:dyDescent="0.2">
      <c r="A331" t="s">
        <v>2019</v>
      </c>
    </row>
    <row r="332" spans="1:1" x14ac:dyDescent="0.2">
      <c r="A332" t="s">
        <v>2020</v>
      </c>
    </row>
    <row r="333" spans="1:1" x14ac:dyDescent="0.2">
      <c r="A333" t="s">
        <v>2024</v>
      </c>
    </row>
    <row r="334" spans="1:1" x14ac:dyDescent="0.2">
      <c r="A334" t="s">
        <v>2058</v>
      </c>
    </row>
    <row r="335" spans="1:1" x14ac:dyDescent="0.2">
      <c r="A335" t="s">
        <v>2050</v>
      </c>
    </row>
    <row r="336" spans="1:1" x14ac:dyDescent="0.2">
      <c r="A336" t="s">
        <v>2040</v>
      </c>
    </row>
    <row r="337" spans="1:1" x14ac:dyDescent="0.2">
      <c r="A337" t="s">
        <v>3103</v>
      </c>
    </row>
    <row r="338" spans="1:1" x14ac:dyDescent="0.2">
      <c r="A338" t="s">
        <v>2086</v>
      </c>
    </row>
    <row r="339" spans="1:1" x14ac:dyDescent="0.2">
      <c r="A339" t="s">
        <v>1961</v>
      </c>
    </row>
    <row r="340" spans="1:1" x14ac:dyDescent="0.2">
      <c r="A340" t="s">
        <v>2070</v>
      </c>
    </row>
    <row r="341" spans="1:1" x14ac:dyDescent="0.2">
      <c r="A341" t="s">
        <v>3104</v>
      </c>
    </row>
    <row r="342" spans="1:1" x14ac:dyDescent="0.2">
      <c r="A342" t="s">
        <v>2025</v>
      </c>
    </row>
    <row r="343" spans="1:1" x14ac:dyDescent="0.2">
      <c r="A343" t="s">
        <v>3105</v>
      </c>
    </row>
    <row r="344" spans="1:1" x14ac:dyDescent="0.2">
      <c r="A344" t="s">
        <v>2030</v>
      </c>
    </row>
    <row r="345" spans="1:1" x14ac:dyDescent="0.2">
      <c r="A345" t="s">
        <v>2077</v>
      </c>
    </row>
    <row r="346" spans="1:1" x14ac:dyDescent="0.2">
      <c r="A346" t="s">
        <v>2076</v>
      </c>
    </row>
    <row r="347" spans="1:1" x14ac:dyDescent="0.2">
      <c r="A347" t="s">
        <v>3106</v>
      </c>
    </row>
    <row r="348" spans="1:1" x14ac:dyDescent="0.2">
      <c r="A348" t="s">
        <v>3107</v>
      </c>
    </row>
    <row r="349" spans="1:1" x14ac:dyDescent="0.2">
      <c r="A349" t="s">
        <v>3108</v>
      </c>
    </row>
    <row r="350" spans="1:1" x14ac:dyDescent="0.2">
      <c r="A350" t="s">
        <v>3109</v>
      </c>
    </row>
    <row r="351" spans="1:1" x14ac:dyDescent="0.2">
      <c r="A351" t="s">
        <v>3110</v>
      </c>
    </row>
    <row r="352" spans="1:1" x14ac:dyDescent="0.2">
      <c r="A352" t="s">
        <v>3111</v>
      </c>
    </row>
    <row r="353" spans="1:1" x14ac:dyDescent="0.2">
      <c r="A353" t="s">
        <v>3112</v>
      </c>
    </row>
    <row r="354" spans="1:1" x14ac:dyDescent="0.2">
      <c r="A354" t="s">
        <v>3113</v>
      </c>
    </row>
    <row r="355" spans="1:1" x14ac:dyDescent="0.2">
      <c r="A355" t="s">
        <v>3114</v>
      </c>
    </row>
    <row r="356" spans="1:1" x14ac:dyDescent="0.2">
      <c r="A356" t="s">
        <v>3115</v>
      </c>
    </row>
    <row r="357" spans="1:1" x14ac:dyDescent="0.2">
      <c r="A357" t="s">
        <v>3116</v>
      </c>
    </row>
    <row r="358" spans="1:1" x14ac:dyDescent="0.2">
      <c r="A358" t="s">
        <v>3117</v>
      </c>
    </row>
    <row r="359" spans="1:1" x14ac:dyDescent="0.2">
      <c r="A359" t="s">
        <v>3118</v>
      </c>
    </row>
    <row r="360" spans="1:1" x14ac:dyDescent="0.2">
      <c r="A360" t="s">
        <v>3119</v>
      </c>
    </row>
    <row r="361" spans="1:1" x14ac:dyDescent="0.2">
      <c r="A361" t="s">
        <v>3120</v>
      </c>
    </row>
    <row r="362" spans="1:1" x14ac:dyDescent="0.2">
      <c r="A362" t="s">
        <v>3121</v>
      </c>
    </row>
    <row r="363" spans="1:1" x14ac:dyDescent="0.2">
      <c r="A363" t="s">
        <v>3122</v>
      </c>
    </row>
    <row r="364" spans="1:1" x14ac:dyDescent="0.2">
      <c r="A364" t="s">
        <v>3123</v>
      </c>
    </row>
    <row r="365" spans="1:1" x14ac:dyDescent="0.2">
      <c r="A365" t="s">
        <v>3124</v>
      </c>
    </row>
    <row r="366" spans="1:1" x14ac:dyDescent="0.2">
      <c r="A366" t="s">
        <v>2068</v>
      </c>
    </row>
    <row r="367" spans="1:1" x14ac:dyDescent="0.2">
      <c r="A367" t="s">
        <v>2079</v>
      </c>
    </row>
    <row r="368" spans="1:1" x14ac:dyDescent="0.2">
      <c r="A368" t="s">
        <v>2078</v>
      </c>
    </row>
    <row r="369" spans="1:1" x14ac:dyDescent="0.2">
      <c r="A369" t="s">
        <v>3125</v>
      </c>
    </row>
    <row r="370" spans="1:1" x14ac:dyDescent="0.2">
      <c r="A370" t="s">
        <v>3126</v>
      </c>
    </row>
    <row r="371" spans="1:1" x14ac:dyDescent="0.2">
      <c r="A371" t="s">
        <v>3127</v>
      </c>
    </row>
    <row r="372" spans="1:1" x14ac:dyDescent="0.2">
      <c r="A372" t="s">
        <v>3128</v>
      </c>
    </row>
    <row r="373" spans="1:1" x14ac:dyDescent="0.2">
      <c r="A373" t="s">
        <v>3129</v>
      </c>
    </row>
    <row r="374" spans="1:1" x14ac:dyDescent="0.2">
      <c r="A374" t="s">
        <v>3130</v>
      </c>
    </row>
    <row r="375" spans="1:1" x14ac:dyDescent="0.2">
      <c r="A375" t="s">
        <v>3131</v>
      </c>
    </row>
    <row r="376" spans="1:1" x14ac:dyDescent="0.2">
      <c r="A376" t="s">
        <v>3132</v>
      </c>
    </row>
    <row r="377" spans="1:1" x14ac:dyDescent="0.2">
      <c r="A377" t="s">
        <v>3133</v>
      </c>
    </row>
    <row r="378" spans="1:1" x14ac:dyDescent="0.2">
      <c r="A378" t="s">
        <v>3134</v>
      </c>
    </row>
    <row r="379" spans="1:1" x14ac:dyDescent="0.2">
      <c r="A379" t="s">
        <v>3135</v>
      </c>
    </row>
    <row r="380" spans="1:1" x14ac:dyDescent="0.2">
      <c r="A380" t="s">
        <v>3136</v>
      </c>
    </row>
    <row r="381" spans="1:1" x14ac:dyDescent="0.2">
      <c r="A381" t="s">
        <v>3137</v>
      </c>
    </row>
    <row r="382" spans="1:1" x14ac:dyDescent="0.2">
      <c r="A382" t="s">
        <v>3138</v>
      </c>
    </row>
    <row r="383" spans="1:1" x14ac:dyDescent="0.2">
      <c r="A383" t="s">
        <v>3139</v>
      </c>
    </row>
    <row r="384" spans="1:1" x14ac:dyDescent="0.2">
      <c r="A384" t="s">
        <v>3140</v>
      </c>
    </row>
    <row r="385" spans="1:1" x14ac:dyDescent="0.2">
      <c r="A385" t="s">
        <v>3141</v>
      </c>
    </row>
    <row r="386" spans="1:1" x14ac:dyDescent="0.2">
      <c r="A386" t="s">
        <v>3142</v>
      </c>
    </row>
    <row r="387" spans="1:1" x14ac:dyDescent="0.2">
      <c r="A387" t="s">
        <v>3143</v>
      </c>
    </row>
    <row r="388" spans="1:1" x14ac:dyDescent="0.2">
      <c r="A388" t="s">
        <v>3144</v>
      </c>
    </row>
    <row r="389" spans="1:1" x14ac:dyDescent="0.2">
      <c r="A389" t="s">
        <v>3145</v>
      </c>
    </row>
    <row r="390" spans="1:1" x14ac:dyDescent="0.2">
      <c r="A390" t="s">
        <v>3146</v>
      </c>
    </row>
    <row r="391" spans="1:1" x14ac:dyDescent="0.2">
      <c r="A391" t="s">
        <v>3147</v>
      </c>
    </row>
    <row r="392" spans="1:1" x14ac:dyDescent="0.2">
      <c r="A392" t="s">
        <v>3148</v>
      </c>
    </row>
    <row r="393" spans="1:1" x14ac:dyDescent="0.2">
      <c r="A393" t="s">
        <v>3149</v>
      </c>
    </row>
    <row r="394" spans="1:1" x14ac:dyDescent="0.2">
      <c r="A394" t="s">
        <v>3150</v>
      </c>
    </row>
    <row r="395" spans="1:1" x14ac:dyDescent="0.2">
      <c r="A395" t="s">
        <v>3151</v>
      </c>
    </row>
    <row r="396" spans="1:1" x14ac:dyDescent="0.2">
      <c r="A396" t="s">
        <v>2063</v>
      </c>
    </row>
    <row r="397" spans="1:1" x14ac:dyDescent="0.2">
      <c r="A397" t="s">
        <v>3152</v>
      </c>
    </row>
    <row r="398" spans="1:1" x14ac:dyDescent="0.2">
      <c r="A398" t="s">
        <v>3153</v>
      </c>
    </row>
    <row r="399" spans="1:1" x14ac:dyDescent="0.2">
      <c r="A399" t="s">
        <v>3154</v>
      </c>
    </row>
    <row r="400" spans="1:1" x14ac:dyDescent="0.2">
      <c r="A400" t="s">
        <v>3155</v>
      </c>
    </row>
    <row r="401" spans="1:1" x14ac:dyDescent="0.2">
      <c r="A401" t="s">
        <v>3156</v>
      </c>
    </row>
    <row r="402" spans="1:1" x14ac:dyDescent="0.2">
      <c r="A402" t="s">
        <v>3157</v>
      </c>
    </row>
    <row r="403" spans="1:1" x14ac:dyDescent="0.2">
      <c r="A403" t="s">
        <v>3158</v>
      </c>
    </row>
    <row r="404" spans="1:1" x14ac:dyDescent="0.2">
      <c r="A404" t="s">
        <v>3159</v>
      </c>
    </row>
    <row r="405" spans="1:1" x14ac:dyDescent="0.2">
      <c r="A405" t="s">
        <v>3160</v>
      </c>
    </row>
    <row r="406" spans="1:1" x14ac:dyDescent="0.2">
      <c r="A406" t="s">
        <v>3161</v>
      </c>
    </row>
    <row r="407" spans="1:1" x14ac:dyDescent="0.2">
      <c r="A407" t="s">
        <v>3162</v>
      </c>
    </row>
    <row r="408" spans="1:1" x14ac:dyDescent="0.2">
      <c r="A408" t="s">
        <v>2069</v>
      </c>
    </row>
    <row r="409" spans="1:1" x14ac:dyDescent="0.2">
      <c r="A409" t="s">
        <v>3163</v>
      </c>
    </row>
    <row r="410" spans="1:1" x14ac:dyDescent="0.2">
      <c r="A410" t="s">
        <v>3164</v>
      </c>
    </row>
    <row r="411" spans="1:1" x14ac:dyDescent="0.2">
      <c r="A411" t="s">
        <v>3165</v>
      </c>
    </row>
    <row r="412" spans="1:1" x14ac:dyDescent="0.2">
      <c r="A412" t="s">
        <v>3166</v>
      </c>
    </row>
    <row r="413" spans="1:1" x14ac:dyDescent="0.2">
      <c r="A413" t="s">
        <v>3167</v>
      </c>
    </row>
    <row r="414" spans="1:1" x14ac:dyDescent="0.2">
      <c r="A414" t="s">
        <v>3168</v>
      </c>
    </row>
    <row r="415" spans="1:1" x14ac:dyDescent="0.2">
      <c r="A415" t="s">
        <v>3169</v>
      </c>
    </row>
    <row r="416" spans="1:1" x14ac:dyDescent="0.2">
      <c r="A416" t="s">
        <v>3170</v>
      </c>
    </row>
    <row r="417" spans="1:1" x14ac:dyDescent="0.2">
      <c r="A417" t="s">
        <v>3171</v>
      </c>
    </row>
    <row r="418" spans="1:1" x14ac:dyDescent="0.2">
      <c r="A418" t="s">
        <v>2082</v>
      </c>
    </row>
    <row r="419" spans="1:1" x14ac:dyDescent="0.2">
      <c r="A419" t="s">
        <v>3172</v>
      </c>
    </row>
    <row r="420" spans="1:1" x14ac:dyDescent="0.2">
      <c r="A420" t="s">
        <v>3173</v>
      </c>
    </row>
    <row r="421" spans="1:1" x14ac:dyDescent="0.2">
      <c r="A421" t="s">
        <v>3174</v>
      </c>
    </row>
    <row r="422" spans="1:1" x14ac:dyDescent="0.2">
      <c r="A422" t="s">
        <v>3175</v>
      </c>
    </row>
    <row r="423" spans="1:1" x14ac:dyDescent="0.2">
      <c r="A423" t="s">
        <v>3176</v>
      </c>
    </row>
    <row r="424" spans="1:1" x14ac:dyDescent="0.2">
      <c r="A424" t="s">
        <v>3177</v>
      </c>
    </row>
    <row r="425" spans="1:1" x14ac:dyDescent="0.2">
      <c r="A425" t="s">
        <v>3178</v>
      </c>
    </row>
    <row r="426" spans="1:1" x14ac:dyDescent="0.2">
      <c r="A426" t="s">
        <v>3179</v>
      </c>
    </row>
    <row r="427" spans="1:1" x14ac:dyDescent="0.2">
      <c r="A427" t="s">
        <v>3180</v>
      </c>
    </row>
    <row r="428" spans="1:1" x14ac:dyDescent="0.2">
      <c r="A428" t="s">
        <v>3181</v>
      </c>
    </row>
    <row r="429" spans="1:1" x14ac:dyDescent="0.2">
      <c r="A429" t="s">
        <v>3182</v>
      </c>
    </row>
    <row r="430" spans="1:1" x14ac:dyDescent="0.2">
      <c r="A430" t="s">
        <v>3183</v>
      </c>
    </row>
    <row r="431" spans="1:1" x14ac:dyDescent="0.2">
      <c r="A431" t="s">
        <v>3184</v>
      </c>
    </row>
    <row r="432" spans="1:1" x14ac:dyDescent="0.2">
      <c r="A432" t="s">
        <v>3185</v>
      </c>
    </row>
    <row r="433" spans="1:1" x14ac:dyDescent="0.2">
      <c r="A433" t="s">
        <v>3186</v>
      </c>
    </row>
    <row r="434" spans="1:1" x14ac:dyDescent="0.2">
      <c r="A434" t="s">
        <v>3187</v>
      </c>
    </row>
    <row r="435" spans="1:1" x14ac:dyDescent="0.2">
      <c r="A435" t="s">
        <v>3188</v>
      </c>
    </row>
    <row r="436" spans="1:1" x14ac:dyDescent="0.2">
      <c r="A436" t="s">
        <v>3189</v>
      </c>
    </row>
    <row r="437" spans="1:1" x14ac:dyDescent="0.2">
      <c r="A437" t="s">
        <v>3190</v>
      </c>
    </row>
    <row r="438" spans="1:1" x14ac:dyDescent="0.2">
      <c r="A438" t="s">
        <v>3191</v>
      </c>
    </row>
    <row r="439" spans="1:1" x14ac:dyDescent="0.2">
      <c r="A439" t="s">
        <v>3192</v>
      </c>
    </row>
    <row r="440" spans="1:1" x14ac:dyDescent="0.2">
      <c r="A440" t="s">
        <v>3193</v>
      </c>
    </row>
    <row r="441" spans="1:1" x14ac:dyDescent="0.2">
      <c r="A441" t="s">
        <v>3194</v>
      </c>
    </row>
    <row r="442" spans="1:1" x14ac:dyDescent="0.2">
      <c r="A442" t="s">
        <v>3195</v>
      </c>
    </row>
    <row r="443" spans="1:1" x14ac:dyDescent="0.2">
      <c r="A443" t="s">
        <v>3196</v>
      </c>
    </row>
    <row r="444" spans="1:1" x14ac:dyDescent="0.2">
      <c r="A444" t="s">
        <v>3197</v>
      </c>
    </row>
    <row r="445" spans="1:1" x14ac:dyDescent="0.2">
      <c r="A445" t="s">
        <v>3198</v>
      </c>
    </row>
    <row r="446" spans="1:1" x14ac:dyDescent="0.2">
      <c r="A446" t="s">
        <v>3199</v>
      </c>
    </row>
    <row r="447" spans="1:1" x14ac:dyDescent="0.2">
      <c r="A447" t="s">
        <v>3200</v>
      </c>
    </row>
    <row r="448" spans="1:1" x14ac:dyDescent="0.2">
      <c r="A448" t="s">
        <v>3201</v>
      </c>
    </row>
    <row r="449" spans="1:1" x14ac:dyDescent="0.2">
      <c r="A449" t="s">
        <v>3202</v>
      </c>
    </row>
    <row r="450" spans="1:1" x14ac:dyDescent="0.2">
      <c r="A450" t="s">
        <v>3203</v>
      </c>
    </row>
    <row r="451" spans="1:1" x14ac:dyDescent="0.2">
      <c r="A451" t="s">
        <v>3204</v>
      </c>
    </row>
    <row r="452" spans="1:1" x14ac:dyDescent="0.2">
      <c r="A452" t="s">
        <v>3205</v>
      </c>
    </row>
    <row r="453" spans="1:1" x14ac:dyDescent="0.2">
      <c r="A453" t="s">
        <v>3206</v>
      </c>
    </row>
    <row r="454" spans="1:1" x14ac:dyDescent="0.2">
      <c r="A454" t="s">
        <v>3207</v>
      </c>
    </row>
    <row r="455" spans="1:1" x14ac:dyDescent="0.2">
      <c r="A455" t="s">
        <v>3208</v>
      </c>
    </row>
    <row r="456" spans="1:1" x14ac:dyDescent="0.2">
      <c r="A456" t="s">
        <v>3209</v>
      </c>
    </row>
    <row r="457" spans="1:1" x14ac:dyDescent="0.2">
      <c r="A457" t="s">
        <v>3210</v>
      </c>
    </row>
    <row r="458" spans="1:1" x14ac:dyDescent="0.2">
      <c r="A458" t="s">
        <v>3211</v>
      </c>
    </row>
    <row r="459" spans="1:1" x14ac:dyDescent="0.2">
      <c r="A459" t="s">
        <v>3212</v>
      </c>
    </row>
    <row r="460" spans="1:1" x14ac:dyDescent="0.2">
      <c r="A460" t="s">
        <v>3213</v>
      </c>
    </row>
    <row r="461" spans="1:1" x14ac:dyDescent="0.2">
      <c r="A461" t="s">
        <v>3214</v>
      </c>
    </row>
    <row r="462" spans="1:1" x14ac:dyDescent="0.2">
      <c r="A462" t="s">
        <v>3215</v>
      </c>
    </row>
    <row r="463" spans="1:1" x14ac:dyDescent="0.2">
      <c r="A463" t="s">
        <v>3216</v>
      </c>
    </row>
    <row r="464" spans="1:1" x14ac:dyDescent="0.2">
      <c r="A464" t="s">
        <v>3217</v>
      </c>
    </row>
    <row r="465" spans="1:1" x14ac:dyDescent="0.2">
      <c r="A465" t="s">
        <v>3218</v>
      </c>
    </row>
    <row r="466" spans="1:1" x14ac:dyDescent="0.2">
      <c r="A466" t="s">
        <v>3219</v>
      </c>
    </row>
    <row r="467" spans="1:1" x14ac:dyDescent="0.2">
      <c r="A467" t="s">
        <v>3220</v>
      </c>
    </row>
    <row r="468" spans="1:1" x14ac:dyDescent="0.2">
      <c r="A468" t="s">
        <v>3221</v>
      </c>
    </row>
    <row r="469" spans="1:1" x14ac:dyDescent="0.2">
      <c r="A469" t="s">
        <v>3222</v>
      </c>
    </row>
    <row r="470" spans="1:1" x14ac:dyDescent="0.2">
      <c r="A470" t="s">
        <v>3223</v>
      </c>
    </row>
    <row r="471" spans="1:1" x14ac:dyDescent="0.2">
      <c r="A471" t="s">
        <v>3224</v>
      </c>
    </row>
    <row r="472" spans="1:1" x14ac:dyDescent="0.2">
      <c r="A472" t="s">
        <v>3225</v>
      </c>
    </row>
    <row r="473" spans="1:1" x14ac:dyDescent="0.2">
      <c r="A473" t="s">
        <v>3226</v>
      </c>
    </row>
    <row r="474" spans="1:1" x14ac:dyDescent="0.2">
      <c r="A474" t="s">
        <v>3227</v>
      </c>
    </row>
    <row r="475" spans="1:1" x14ac:dyDescent="0.2">
      <c r="A475" t="s">
        <v>3228</v>
      </c>
    </row>
    <row r="476" spans="1:1" x14ac:dyDescent="0.2">
      <c r="A476" t="s">
        <v>3229</v>
      </c>
    </row>
    <row r="477" spans="1:1" x14ac:dyDescent="0.2">
      <c r="A477" t="s">
        <v>3230</v>
      </c>
    </row>
    <row r="478" spans="1:1" x14ac:dyDescent="0.2">
      <c r="A478" t="s">
        <v>3231</v>
      </c>
    </row>
    <row r="479" spans="1:1" x14ac:dyDescent="0.2">
      <c r="A479" t="s">
        <v>3232</v>
      </c>
    </row>
    <row r="480" spans="1:1" x14ac:dyDescent="0.2">
      <c r="A480" t="s">
        <v>3233</v>
      </c>
    </row>
    <row r="481" spans="1:1" x14ac:dyDescent="0.2">
      <c r="A481" t="s">
        <v>3234</v>
      </c>
    </row>
    <row r="482" spans="1:1" x14ac:dyDescent="0.2">
      <c r="A482" t="s">
        <v>3237</v>
      </c>
    </row>
    <row r="483" spans="1:1" x14ac:dyDescent="0.2">
      <c r="A483" t="s">
        <v>3238</v>
      </c>
    </row>
    <row r="484" spans="1:1" x14ac:dyDescent="0.2">
      <c r="A484" t="s">
        <v>3235</v>
      </c>
    </row>
    <row r="485" spans="1:1" x14ac:dyDescent="0.2">
      <c r="A485" t="s">
        <v>3239</v>
      </c>
    </row>
    <row r="486" spans="1:1" x14ac:dyDescent="0.2">
      <c r="A486" t="s">
        <v>3240</v>
      </c>
    </row>
    <row r="487" spans="1:1" x14ac:dyDescent="0.2">
      <c r="A487" t="s">
        <v>3242</v>
      </c>
    </row>
    <row r="488" spans="1:1" x14ac:dyDescent="0.2">
      <c r="A488" t="s">
        <v>3243</v>
      </c>
    </row>
    <row r="489" spans="1:1" x14ac:dyDescent="0.2">
      <c r="A489" t="s">
        <v>3244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H2" sqref="H2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</cols>
  <sheetData>
    <row r="1" spans="1:25" x14ac:dyDescent="0.2">
      <c r="A1" t="s">
        <v>2095</v>
      </c>
      <c r="B1" t="s">
        <v>2089</v>
      </c>
      <c r="C1" t="s">
        <v>2096</v>
      </c>
      <c r="D1" t="s">
        <v>2097</v>
      </c>
      <c r="E1" t="s">
        <v>2914</v>
      </c>
      <c r="G1" s="25" t="s">
        <v>2133</v>
      </c>
      <c r="H1" t="s">
        <v>3311</v>
      </c>
      <c r="I1" s="26" t="str">
        <f>"id : "&amp;J1</f>
        <v>id : 369</v>
      </c>
      <c r="J1" s="27">
        <v>369</v>
      </c>
      <c r="K1" s="27" t="str">
        <f>"Gender : "&amp;L1</f>
        <v>Gender : Womens</v>
      </c>
      <c r="L1" s="32" t="s">
        <v>2913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">
      <c r="A2" t="s">
        <v>2090</v>
      </c>
      <c r="B2" t="s">
        <v>2365</v>
      </c>
      <c r="C2" t="s">
        <v>2360</v>
      </c>
      <c r="D2" t="s">
        <v>2098</v>
      </c>
      <c r="F2" t="s">
        <v>2281</v>
      </c>
      <c r="G2">
        <v>2019</v>
      </c>
      <c r="H2">
        <v>2019</v>
      </c>
      <c r="I2" s="28" t="str">
        <f>"Indent No.: "&amp;J2</f>
        <v>Indent No.: DHGI-2147</v>
      </c>
      <c r="J2" s="29" t="s">
        <v>451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">
      <c r="A3" t="s">
        <v>2091</v>
      </c>
      <c r="B3" t="s">
        <v>2366</v>
      </c>
      <c r="C3" t="s">
        <v>2361</v>
      </c>
      <c r="D3" t="s">
        <v>2099</v>
      </c>
      <c r="F3" t="s">
        <v>2282</v>
      </c>
      <c r="G3">
        <v>2020</v>
      </c>
      <c r="H3">
        <v>2020</v>
      </c>
      <c r="I3" s="28" t="str">
        <f>"Brand name : "&amp;J3</f>
        <v>Brand name : Hollister</v>
      </c>
      <c r="J3" s="29" t="s">
        <v>17</v>
      </c>
      <c r="K3" s="29" t="str">
        <f>"Garment Type : "&amp;L3</f>
        <v>Garment Type : Outerwear</v>
      </c>
      <c r="L3" s="33" t="s">
        <v>2373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">
      <c r="B4" t="s">
        <v>2092</v>
      </c>
      <c r="C4" t="s">
        <v>2362</v>
      </c>
      <c r="D4" t="s">
        <v>2100</v>
      </c>
      <c r="F4" t="s">
        <v>2283</v>
      </c>
      <c r="G4">
        <v>2021</v>
      </c>
      <c r="H4">
        <v>2021</v>
      </c>
      <c r="I4" s="28" t="str">
        <f>"Design No.: "&amp;J4</f>
        <v>Design No.: 344J2342</v>
      </c>
      <c r="J4" s="29" t="s">
        <v>1534</v>
      </c>
      <c r="K4" s="29" t="str">
        <f>"Order Type : "&amp;L4</f>
        <v>Order Type : Bulk</v>
      </c>
      <c r="L4" s="33" t="s">
        <v>2912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">
      <c r="B5" t="s">
        <v>2093</v>
      </c>
      <c r="C5" t="s">
        <v>2363</v>
      </c>
      <c r="D5" t="s">
        <v>2101</v>
      </c>
      <c r="F5" t="s">
        <v>2284</v>
      </c>
      <c r="G5">
        <v>2022</v>
      </c>
      <c r="H5">
        <v>2022</v>
      </c>
      <c r="I5" s="28" t="str">
        <f>"Season : "&amp;J5</f>
        <v>Season : FW</v>
      </c>
      <c r="J5" s="29" t="s">
        <v>2368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8" thickBot="1" x14ac:dyDescent="0.25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Pt. Koin Baju Global</v>
      </c>
      <c r="L6" s="34" t="s">
        <v>2915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">
      <c r="D21" t="s">
        <v>2117</v>
      </c>
    </row>
    <row r="22" spans="4:25" x14ac:dyDescent="0.2">
      <c r="D22" t="s">
        <v>2118</v>
      </c>
    </row>
    <row r="23" spans="4:25" x14ac:dyDescent="0.2">
      <c r="D23" t="s">
        <v>2119</v>
      </c>
    </row>
    <row r="24" spans="4:25" x14ac:dyDescent="0.2">
      <c r="D24" t="s">
        <v>2120</v>
      </c>
    </row>
    <row r="25" spans="4:25" x14ac:dyDescent="0.2">
      <c r="D25" t="s">
        <v>2121</v>
      </c>
    </row>
    <row r="26" spans="4:25" x14ac:dyDescent="0.2">
      <c r="D26" t="s">
        <v>2122</v>
      </c>
    </row>
    <row r="27" spans="4:25" x14ac:dyDescent="0.2">
      <c r="D27" t="s">
        <v>2123</v>
      </c>
    </row>
    <row r="28" spans="4:25" x14ac:dyDescent="0.2">
      <c r="D28" t="s">
        <v>2124</v>
      </c>
    </row>
    <row r="29" spans="4:25" x14ac:dyDescent="0.2">
      <c r="D29" t="s">
        <v>2125</v>
      </c>
    </row>
    <row r="30" spans="4:25" x14ac:dyDescent="0.2">
      <c r="D30" t="s">
        <v>2126</v>
      </c>
    </row>
    <row r="31" spans="4:25" x14ac:dyDescent="0.2">
      <c r="D31" t="s">
        <v>2127</v>
      </c>
    </row>
    <row r="32" spans="4:25" x14ac:dyDescent="0.2">
      <c r="D32" t="s">
        <v>2128</v>
      </c>
    </row>
    <row r="33" spans="4:4" x14ac:dyDescent="0.2">
      <c r="D33" t="s">
        <v>2129</v>
      </c>
    </row>
    <row r="34" spans="4:4" x14ac:dyDescent="0.2">
      <c r="D34" t="s">
        <v>2130</v>
      </c>
    </row>
    <row r="35" spans="4:4" x14ac:dyDescent="0.2">
      <c r="D35" t="s">
        <v>2131</v>
      </c>
    </row>
    <row r="36" spans="4:4" x14ac:dyDescent="0.2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93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384" width="8.77734375" style="22"/>
  </cols>
  <sheetData>
    <row r="1" spans="1:15" s="21" customFormat="1" x14ac:dyDescent="0.2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2917</v>
      </c>
      <c r="J2" s="44"/>
      <c r="K2" s="22" t="s">
        <v>2426</v>
      </c>
    </row>
    <row r="3" spans="1:15" x14ac:dyDescent="0.2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2942</v>
      </c>
      <c r="O3" s="22" t="s">
        <v>2456</v>
      </c>
    </row>
    <row r="4" spans="1:15" x14ac:dyDescent="0.2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2221</v>
      </c>
      <c r="J4" s="44"/>
      <c r="K4" s="22" t="s">
        <v>2427</v>
      </c>
      <c r="L4" s="22" t="s">
        <v>2434</v>
      </c>
      <c r="M4" s="22" t="s">
        <v>2930</v>
      </c>
      <c r="N4" s="22" t="s">
        <v>2943</v>
      </c>
      <c r="O4" s="22" t="s">
        <v>2457</v>
      </c>
    </row>
    <row r="5" spans="1:15" x14ac:dyDescent="0.2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2222</v>
      </c>
      <c r="J5" s="44"/>
      <c r="K5" s="22" t="s">
        <v>2428</v>
      </c>
      <c r="L5" s="22" t="s">
        <v>2435</v>
      </c>
      <c r="M5" s="22" t="s">
        <v>2933</v>
      </c>
      <c r="N5" s="22" t="s">
        <v>2944</v>
      </c>
      <c r="O5" s="22" t="s">
        <v>2458</v>
      </c>
    </row>
    <row r="6" spans="1:15" x14ac:dyDescent="0.2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2223</v>
      </c>
      <c r="J6" s="44"/>
      <c r="K6" s="22" t="s">
        <v>2429</v>
      </c>
      <c r="L6" s="22" t="s">
        <v>2436</v>
      </c>
      <c r="M6" s="22" t="s">
        <v>3049</v>
      </c>
      <c r="N6" s="22" t="s">
        <v>2945</v>
      </c>
      <c r="O6" s="22" t="s">
        <v>2459</v>
      </c>
    </row>
    <row r="7" spans="1:15" x14ac:dyDescent="0.2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2946</v>
      </c>
      <c r="O7" s="22" t="s">
        <v>2460</v>
      </c>
    </row>
    <row r="8" spans="1:15" x14ac:dyDescent="0.2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2931</v>
      </c>
      <c r="N8" s="22" t="s">
        <v>2947</v>
      </c>
      <c r="O8" s="22" t="s">
        <v>2461</v>
      </c>
    </row>
    <row r="9" spans="1:15" x14ac:dyDescent="0.2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2928</v>
      </c>
      <c r="N9" s="22" t="s">
        <v>2948</v>
      </c>
      <c r="O9" s="22" t="s">
        <v>2462</v>
      </c>
    </row>
    <row r="10" spans="1:15" x14ac:dyDescent="0.2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2949</v>
      </c>
      <c r="O10" s="22" t="s">
        <v>2463</v>
      </c>
    </row>
    <row r="11" spans="1:15" x14ac:dyDescent="0.2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2927</v>
      </c>
      <c r="N11" s="22" t="s">
        <v>2950</v>
      </c>
      <c r="O11" s="22" t="s">
        <v>2464</v>
      </c>
    </row>
    <row r="12" spans="1:15" x14ac:dyDescent="0.2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3050</v>
      </c>
      <c r="N12" s="22" t="s">
        <v>2940</v>
      </c>
      <c r="O12" s="22" t="s">
        <v>2465</v>
      </c>
    </row>
    <row r="13" spans="1:15" x14ac:dyDescent="0.2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2929</v>
      </c>
      <c r="N13" s="22" t="s">
        <v>2951</v>
      </c>
      <c r="O13" s="22" t="s">
        <v>2466</v>
      </c>
    </row>
    <row r="14" spans="1:15" x14ac:dyDescent="0.2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22" t="s">
        <v>2952</v>
      </c>
      <c r="O14" s="22" t="s">
        <v>2467</v>
      </c>
    </row>
    <row r="15" spans="1:15" x14ac:dyDescent="0.2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2932</v>
      </c>
      <c r="N15" s="22" t="s">
        <v>2953</v>
      </c>
      <c r="O15" s="22" t="s">
        <v>2468</v>
      </c>
    </row>
    <row r="16" spans="1:15" x14ac:dyDescent="0.2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2934</v>
      </c>
      <c r="N16" s="22" t="s">
        <v>2954</v>
      </c>
      <c r="O16" s="22" t="s">
        <v>2469</v>
      </c>
    </row>
    <row r="17" spans="1:15" x14ac:dyDescent="0.2">
      <c r="A17" s="22" t="s">
        <v>2314</v>
      </c>
      <c r="F17" s="22" t="s">
        <v>2181</v>
      </c>
      <c r="I17" s="22" t="s">
        <v>2234</v>
      </c>
      <c r="J17" s="44"/>
      <c r="L17" s="22" t="s">
        <v>2918</v>
      </c>
      <c r="M17" s="22" t="s">
        <v>3051</v>
      </c>
      <c r="N17" s="22" t="s">
        <v>2938</v>
      </c>
      <c r="O17" s="22" t="s">
        <v>2470</v>
      </c>
    </row>
    <row r="18" spans="1:15" x14ac:dyDescent="0.2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3052</v>
      </c>
      <c r="N18" s="22" t="s">
        <v>2423</v>
      </c>
      <c r="O18" s="22" t="s">
        <v>2471</v>
      </c>
    </row>
    <row r="19" spans="1:15" x14ac:dyDescent="0.2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22" t="s">
        <v>2955</v>
      </c>
      <c r="O19" s="22" t="s">
        <v>2472</v>
      </c>
    </row>
    <row r="20" spans="1:15" x14ac:dyDescent="0.2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3241</v>
      </c>
      <c r="O20" s="22" t="s">
        <v>2473</v>
      </c>
    </row>
    <row r="21" spans="1:15" x14ac:dyDescent="0.2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2956</v>
      </c>
      <c r="O21" s="22" t="s">
        <v>2474</v>
      </c>
    </row>
    <row r="22" spans="1:15" x14ac:dyDescent="0.2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2957</v>
      </c>
      <c r="O22" s="22" t="s">
        <v>2475</v>
      </c>
    </row>
    <row r="23" spans="1:15" x14ac:dyDescent="0.2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2958</v>
      </c>
      <c r="O23" s="22" t="s">
        <v>2476</v>
      </c>
    </row>
    <row r="24" spans="1:15" x14ac:dyDescent="0.2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2959</v>
      </c>
      <c r="O24" s="22" t="s">
        <v>2477</v>
      </c>
    </row>
    <row r="25" spans="1:15" x14ac:dyDescent="0.2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2960</v>
      </c>
      <c r="O25" s="22" t="s">
        <v>2478</v>
      </c>
    </row>
    <row r="26" spans="1:15" x14ac:dyDescent="0.2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2961</v>
      </c>
      <c r="O26" s="22" t="s">
        <v>2479</v>
      </c>
    </row>
    <row r="27" spans="1:15" x14ac:dyDescent="0.2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3236</v>
      </c>
      <c r="O27" s="22" t="s">
        <v>2480</v>
      </c>
    </row>
    <row r="28" spans="1:15" x14ac:dyDescent="0.2">
      <c r="A28" s="22" t="s">
        <v>2325</v>
      </c>
      <c r="F28" s="22" t="s">
        <v>2192</v>
      </c>
      <c r="I28" s="22" t="s">
        <v>2245</v>
      </c>
      <c r="J28" s="44"/>
      <c r="N28" s="22" t="s">
        <v>2962</v>
      </c>
      <c r="O28" s="22" t="s">
        <v>2481</v>
      </c>
    </row>
    <row r="29" spans="1:15" x14ac:dyDescent="0.2">
      <c r="A29" s="22" t="s">
        <v>2326</v>
      </c>
      <c r="F29" s="22" t="s">
        <v>2193</v>
      </c>
      <c r="I29" s="22" t="s">
        <v>2246</v>
      </c>
      <c r="J29" s="44"/>
      <c r="N29" s="22" t="s">
        <v>2963</v>
      </c>
      <c r="O29" s="22" t="s">
        <v>2482</v>
      </c>
    </row>
    <row r="30" spans="1:15" x14ac:dyDescent="0.2">
      <c r="A30" s="22" t="s">
        <v>2354</v>
      </c>
      <c r="F30" s="22" t="s">
        <v>2194</v>
      </c>
      <c r="I30" s="22" t="s">
        <v>2247</v>
      </c>
      <c r="J30" s="44"/>
      <c r="N30" s="22" t="s">
        <v>2964</v>
      </c>
      <c r="O30" s="22" t="s">
        <v>2483</v>
      </c>
    </row>
    <row r="31" spans="1:15" x14ac:dyDescent="0.2">
      <c r="A31" s="22" t="s">
        <v>2327</v>
      </c>
      <c r="F31" s="22" t="s">
        <v>2195</v>
      </c>
      <c r="I31" s="22" t="s">
        <v>2248</v>
      </c>
      <c r="J31" s="44"/>
      <c r="N31" s="22" t="s">
        <v>2965</v>
      </c>
      <c r="O31" s="22" t="s">
        <v>2484</v>
      </c>
    </row>
    <row r="32" spans="1:15" x14ac:dyDescent="0.2">
      <c r="A32" s="22" t="s">
        <v>2328</v>
      </c>
      <c r="F32" s="22" t="s">
        <v>2196</v>
      </c>
      <c r="I32" s="22" t="s">
        <v>2249</v>
      </c>
      <c r="J32" s="44"/>
      <c r="N32" s="22" t="s">
        <v>2966</v>
      </c>
      <c r="O32" s="22" t="s">
        <v>2485</v>
      </c>
    </row>
    <row r="33" spans="1:15" x14ac:dyDescent="0.2">
      <c r="A33" s="22" t="s">
        <v>2329</v>
      </c>
      <c r="F33" s="22" t="s">
        <v>2197</v>
      </c>
      <c r="I33" s="22" t="s">
        <v>2250</v>
      </c>
      <c r="J33" s="44"/>
      <c r="N33" s="22" t="s">
        <v>2967</v>
      </c>
      <c r="O33" s="22" t="s">
        <v>2486</v>
      </c>
    </row>
    <row r="34" spans="1:15" x14ac:dyDescent="0.2">
      <c r="A34" s="22" t="s">
        <v>2330</v>
      </c>
      <c r="F34" s="22" t="s">
        <v>2198</v>
      </c>
      <c r="I34" s="22" t="s">
        <v>2251</v>
      </c>
      <c r="J34" s="44"/>
      <c r="N34" s="22" t="s">
        <v>2968</v>
      </c>
      <c r="O34" s="22" t="s">
        <v>2487</v>
      </c>
    </row>
    <row r="35" spans="1:15" x14ac:dyDescent="0.2">
      <c r="A35" s="22" t="s">
        <v>2331</v>
      </c>
      <c r="F35" s="22" t="s">
        <v>2199</v>
      </c>
      <c r="I35" s="22" t="s">
        <v>2252</v>
      </c>
      <c r="J35" s="44"/>
      <c r="N35" s="22" t="s">
        <v>2969</v>
      </c>
      <c r="O35" s="22" t="s">
        <v>2488</v>
      </c>
    </row>
    <row r="36" spans="1:15" x14ac:dyDescent="0.2">
      <c r="A36" s="22" t="s">
        <v>2332</v>
      </c>
      <c r="F36" s="22" t="s">
        <v>2200</v>
      </c>
      <c r="I36" s="22" t="s">
        <v>2253</v>
      </c>
      <c r="J36" s="44"/>
      <c r="N36" s="22" t="s">
        <v>2970</v>
      </c>
      <c r="O36" s="22" t="s">
        <v>2489</v>
      </c>
    </row>
    <row r="37" spans="1:15" x14ac:dyDescent="0.2">
      <c r="A37" s="22" t="s">
        <v>2333</v>
      </c>
      <c r="F37" s="22" t="s">
        <v>2201</v>
      </c>
      <c r="I37" s="22" t="s">
        <v>2254</v>
      </c>
      <c r="J37" s="44"/>
      <c r="N37" s="22" t="s">
        <v>2971</v>
      </c>
      <c r="O37" s="22" t="s">
        <v>2490</v>
      </c>
    </row>
    <row r="38" spans="1:15" x14ac:dyDescent="0.2">
      <c r="A38" s="22" t="s">
        <v>2334</v>
      </c>
      <c r="F38" s="22" t="s">
        <v>2202</v>
      </c>
      <c r="I38" s="22" t="s">
        <v>2255</v>
      </c>
      <c r="J38" s="44"/>
      <c r="N38" s="22" t="s">
        <v>2972</v>
      </c>
      <c r="O38" s="22" t="s">
        <v>2491</v>
      </c>
    </row>
    <row r="39" spans="1:15" x14ac:dyDescent="0.2">
      <c r="A39" s="22" t="s">
        <v>2335</v>
      </c>
      <c r="F39" s="22" t="s">
        <v>2203</v>
      </c>
      <c r="I39" s="22" t="s">
        <v>2256</v>
      </c>
      <c r="J39" s="44"/>
      <c r="N39" s="22" t="s">
        <v>2973</v>
      </c>
      <c r="O39" s="22" t="s">
        <v>2492</v>
      </c>
    </row>
    <row r="40" spans="1:15" x14ac:dyDescent="0.2">
      <c r="A40" s="22" t="s">
        <v>2336</v>
      </c>
      <c r="F40" s="22" t="s">
        <v>2204</v>
      </c>
      <c r="I40" s="22" t="s">
        <v>2257</v>
      </c>
      <c r="J40" s="44"/>
      <c r="N40" s="22" t="s">
        <v>2974</v>
      </c>
      <c r="O40" s="22" t="s">
        <v>2493</v>
      </c>
    </row>
    <row r="41" spans="1:15" x14ac:dyDescent="0.2">
      <c r="A41" s="22" t="s">
        <v>2337</v>
      </c>
      <c r="F41" s="22" t="s">
        <v>2205</v>
      </c>
      <c r="I41" s="22" t="s">
        <v>2258</v>
      </c>
      <c r="J41" s="44"/>
      <c r="N41" s="22" t="s">
        <v>2975</v>
      </c>
      <c r="O41" s="22" t="s">
        <v>2494</v>
      </c>
    </row>
    <row r="42" spans="1:15" x14ac:dyDescent="0.2">
      <c r="A42" s="22" t="s">
        <v>2338</v>
      </c>
      <c r="F42" s="22" t="s">
        <v>2206</v>
      </c>
      <c r="I42" s="22" t="s">
        <v>2259</v>
      </c>
      <c r="J42" s="44"/>
      <c r="N42" s="22" t="s">
        <v>2976</v>
      </c>
      <c r="O42" s="22" t="s">
        <v>2495</v>
      </c>
    </row>
    <row r="43" spans="1:15" x14ac:dyDescent="0.2">
      <c r="A43" s="22" t="s">
        <v>2339</v>
      </c>
      <c r="F43" s="22" t="s">
        <v>2207</v>
      </c>
      <c r="I43" s="22" t="s">
        <v>2260</v>
      </c>
      <c r="J43" s="44"/>
      <c r="N43" s="22" t="s">
        <v>2977</v>
      </c>
      <c r="O43" s="22" t="s">
        <v>2496</v>
      </c>
    </row>
    <row r="44" spans="1:15" x14ac:dyDescent="0.2">
      <c r="A44" s="22" t="s">
        <v>2340</v>
      </c>
      <c r="F44" s="22" t="s">
        <v>2208</v>
      </c>
      <c r="I44" s="22" t="s">
        <v>2261</v>
      </c>
      <c r="J44" s="44"/>
      <c r="N44" s="22" t="s">
        <v>2978</v>
      </c>
      <c r="O44" s="22" t="s">
        <v>2497</v>
      </c>
    </row>
    <row r="45" spans="1:15" x14ac:dyDescent="0.2">
      <c r="A45" s="22" t="s">
        <v>2341</v>
      </c>
      <c r="F45" s="22" t="s">
        <v>2209</v>
      </c>
      <c r="I45" s="22" t="s">
        <v>2262</v>
      </c>
      <c r="J45" s="44"/>
      <c r="N45" s="22" t="s">
        <v>2979</v>
      </c>
      <c r="O45" s="22" t="s">
        <v>2498</v>
      </c>
    </row>
    <row r="46" spans="1:15" x14ac:dyDescent="0.2">
      <c r="A46" s="22" t="s">
        <v>2342</v>
      </c>
      <c r="F46" s="22" t="s">
        <v>2210</v>
      </c>
      <c r="I46" s="22" t="s">
        <v>2263</v>
      </c>
      <c r="J46" s="44"/>
      <c r="N46" s="22" t="s">
        <v>2980</v>
      </c>
      <c r="O46" s="22" t="s">
        <v>2499</v>
      </c>
    </row>
    <row r="47" spans="1:15" x14ac:dyDescent="0.2">
      <c r="A47" s="22" t="s">
        <v>2343</v>
      </c>
      <c r="F47" s="22" t="s">
        <v>2211</v>
      </c>
      <c r="I47" s="22" t="s">
        <v>2264</v>
      </c>
      <c r="J47" s="44"/>
      <c r="N47" s="22" t="s">
        <v>2981</v>
      </c>
      <c r="O47" s="22" t="s">
        <v>2500</v>
      </c>
    </row>
    <row r="48" spans="1:15" x14ac:dyDescent="0.2">
      <c r="A48" s="22" t="s">
        <v>2344</v>
      </c>
      <c r="F48" s="22" t="s">
        <v>2212</v>
      </c>
      <c r="I48" s="22" t="s">
        <v>2265</v>
      </c>
      <c r="J48" s="44"/>
      <c r="N48" s="22" t="s">
        <v>2936</v>
      </c>
      <c r="O48" s="22" t="s">
        <v>2501</v>
      </c>
    </row>
    <row r="49" spans="1:15" x14ac:dyDescent="0.2">
      <c r="A49" s="22" t="s">
        <v>2345</v>
      </c>
      <c r="F49" s="22" t="s">
        <v>2213</v>
      </c>
      <c r="I49" s="22" t="s">
        <v>2266</v>
      </c>
      <c r="J49" s="44"/>
      <c r="N49" s="22" t="s">
        <v>2982</v>
      </c>
      <c r="O49" s="22" t="s">
        <v>2502</v>
      </c>
    </row>
    <row r="50" spans="1:15" x14ac:dyDescent="0.2">
      <c r="A50" s="22" t="s">
        <v>2346</v>
      </c>
      <c r="F50" s="22" t="s">
        <v>2214</v>
      </c>
      <c r="I50" s="22" t="s">
        <v>2267</v>
      </c>
      <c r="J50" s="44"/>
      <c r="N50" s="22" t="s">
        <v>2983</v>
      </c>
      <c r="O50" s="22" t="s">
        <v>2503</v>
      </c>
    </row>
    <row r="51" spans="1:15" x14ac:dyDescent="0.2">
      <c r="A51" s="22" t="s">
        <v>2347</v>
      </c>
      <c r="F51" s="22" t="s">
        <v>2215</v>
      </c>
      <c r="I51" s="22" t="s">
        <v>2268</v>
      </c>
      <c r="J51" s="44"/>
      <c r="N51" s="22" t="s">
        <v>2984</v>
      </c>
      <c r="O51" s="22" t="s">
        <v>2504</v>
      </c>
    </row>
    <row r="52" spans="1:15" x14ac:dyDescent="0.2">
      <c r="A52" s="22" t="s">
        <v>2348</v>
      </c>
      <c r="I52" s="22" t="s">
        <v>2269</v>
      </c>
      <c r="J52" s="44"/>
      <c r="N52" s="22" t="s">
        <v>2985</v>
      </c>
      <c r="O52" s="22" t="s">
        <v>3034</v>
      </c>
    </row>
    <row r="53" spans="1:15" x14ac:dyDescent="0.2">
      <c r="A53" s="22" t="s">
        <v>2349</v>
      </c>
      <c r="I53" s="22" t="s">
        <v>2270</v>
      </c>
      <c r="J53" s="44"/>
      <c r="N53" s="22" t="s">
        <v>2986</v>
      </c>
      <c r="O53" s="22" t="s">
        <v>3034</v>
      </c>
    </row>
    <row r="54" spans="1:15" x14ac:dyDescent="0.2">
      <c r="A54" s="22" t="s">
        <v>2350</v>
      </c>
      <c r="N54" s="22" t="s">
        <v>2987</v>
      </c>
      <c r="O54" s="22" t="s">
        <v>2505</v>
      </c>
    </row>
    <row r="55" spans="1:15" x14ac:dyDescent="0.2">
      <c r="A55" s="22" t="s">
        <v>2351</v>
      </c>
      <c r="N55" s="22" t="s">
        <v>2988</v>
      </c>
      <c r="O55" s="22" t="s">
        <v>2506</v>
      </c>
    </row>
    <row r="56" spans="1:15" x14ac:dyDescent="0.2">
      <c r="A56" s="22" t="s">
        <v>2352</v>
      </c>
      <c r="N56" s="22" t="s">
        <v>2989</v>
      </c>
      <c r="O56" s="22" t="s">
        <v>2507</v>
      </c>
    </row>
    <row r="57" spans="1:15" x14ac:dyDescent="0.2">
      <c r="A57" s="22" t="s">
        <v>2353</v>
      </c>
      <c r="N57" s="22" t="s">
        <v>2990</v>
      </c>
      <c r="O57" s="22" t="s">
        <v>2508</v>
      </c>
    </row>
    <row r="58" spans="1:15" x14ac:dyDescent="0.2">
      <c r="N58" s="22" t="s">
        <v>2991</v>
      </c>
      <c r="O58" s="22" t="s">
        <v>2509</v>
      </c>
    </row>
    <row r="59" spans="1:15" x14ac:dyDescent="0.2">
      <c r="N59" s="22" t="s">
        <v>2992</v>
      </c>
      <c r="O59" s="22" t="s">
        <v>2510</v>
      </c>
    </row>
    <row r="60" spans="1:15" x14ac:dyDescent="0.2">
      <c r="N60" s="22" t="s">
        <v>2993</v>
      </c>
      <c r="O60" s="22" t="s">
        <v>2511</v>
      </c>
    </row>
    <row r="61" spans="1:15" x14ac:dyDescent="0.2">
      <c r="N61" s="22" t="s">
        <v>2994</v>
      </c>
      <c r="O61" s="22" t="s">
        <v>2512</v>
      </c>
    </row>
    <row r="62" spans="1:15" x14ac:dyDescent="0.2">
      <c r="N62" s="22" t="s">
        <v>2995</v>
      </c>
      <c r="O62" s="22" t="s">
        <v>2513</v>
      </c>
    </row>
    <row r="63" spans="1:15" x14ac:dyDescent="0.2">
      <c r="N63" s="22" t="s">
        <v>2941</v>
      </c>
      <c r="O63" s="22" t="s">
        <v>2514</v>
      </c>
    </row>
    <row r="64" spans="1:15" x14ac:dyDescent="0.2">
      <c r="N64" s="22" t="s">
        <v>2996</v>
      </c>
      <c r="O64" s="22" t="s">
        <v>2515</v>
      </c>
    </row>
    <row r="65" spans="14:15" x14ac:dyDescent="0.2">
      <c r="N65" s="22" t="s">
        <v>2997</v>
      </c>
      <c r="O65" s="22" t="s">
        <v>2516</v>
      </c>
    </row>
    <row r="66" spans="14:15" x14ac:dyDescent="0.2">
      <c r="N66" s="22" t="s">
        <v>2939</v>
      </c>
      <c r="O66" s="22" t="s">
        <v>2517</v>
      </c>
    </row>
    <row r="67" spans="14:15" x14ac:dyDescent="0.2">
      <c r="N67" s="22" t="s">
        <v>2998</v>
      </c>
      <c r="O67" s="22" t="s">
        <v>2518</v>
      </c>
    </row>
    <row r="68" spans="14:15" x14ac:dyDescent="0.2">
      <c r="N68" s="22" t="s">
        <v>2999</v>
      </c>
      <c r="O68" s="22" t="s">
        <v>3035</v>
      </c>
    </row>
    <row r="69" spans="14:15" x14ac:dyDescent="0.2">
      <c r="N69" s="22" t="s">
        <v>3000</v>
      </c>
      <c r="O69" s="22" t="s">
        <v>2519</v>
      </c>
    </row>
    <row r="70" spans="14:15" x14ac:dyDescent="0.2">
      <c r="N70" s="22" t="s">
        <v>3001</v>
      </c>
      <c r="O70" s="22" t="s">
        <v>2520</v>
      </c>
    </row>
    <row r="71" spans="14:15" x14ac:dyDescent="0.2">
      <c r="N71" s="22" t="s">
        <v>3002</v>
      </c>
      <c r="O71" s="22" t="s">
        <v>2521</v>
      </c>
    </row>
    <row r="72" spans="14:15" x14ac:dyDescent="0.2">
      <c r="N72" s="22" t="s">
        <v>3003</v>
      </c>
      <c r="O72" s="22" t="s">
        <v>2522</v>
      </c>
    </row>
    <row r="73" spans="14:15" x14ac:dyDescent="0.2">
      <c r="N73" s="22" t="s">
        <v>3004</v>
      </c>
      <c r="O73" s="22" t="s">
        <v>2523</v>
      </c>
    </row>
    <row r="74" spans="14:15" x14ac:dyDescent="0.2">
      <c r="N74" s="22" t="s">
        <v>3005</v>
      </c>
      <c r="O74" s="22" t="s">
        <v>2524</v>
      </c>
    </row>
    <row r="75" spans="14:15" x14ac:dyDescent="0.2">
      <c r="N75" s="22" t="s">
        <v>2935</v>
      </c>
      <c r="O75" s="22" t="s">
        <v>2525</v>
      </c>
    </row>
    <row r="76" spans="14:15" x14ac:dyDescent="0.2">
      <c r="N76" s="22" t="s">
        <v>3006</v>
      </c>
      <c r="O76" s="22" t="s">
        <v>2526</v>
      </c>
    </row>
    <row r="77" spans="14:15" x14ac:dyDescent="0.2">
      <c r="N77" s="22" t="s">
        <v>3007</v>
      </c>
      <c r="O77" s="22" t="s">
        <v>2527</v>
      </c>
    </row>
    <row r="78" spans="14:15" x14ac:dyDescent="0.2">
      <c r="N78" s="22" t="s">
        <v>3008</v>
      </c>
      <c r="O78" s="22" t="s">
        <v>2528</v>
      </c>
    </row>
    <row r="79" spans="14:15" x14ac:dyDescent="0.2">
      <c r="N79" s="22" t="s">
        <v>3009</v>
      </c>
      <c r="O79" s="22" t="s">
        <v>2529</v>
      </c>
    </row>
    <row r="80" spans="14:15" x14ac:dyDescent="0.2">
      <c r="N80" s="22" t="s">
        <v>3010</v>
      </c>
      <c r="O80" s="22" t="s">
        <v>2530</v>
      </c>
    </row>
    <row r="81" spans="14:15" x14ac:dyDescent="0.2">
      <c r="N81" s="22" t="s">
        <v>3011</v>
      </c>
      <c r="O81" s="22" t="s">
        <v>2531</v>
      </c>
    </row>
    <row r="82" spans="14:15" x14ac:dyDescent="0.2">
      <c r="N82" s="22" t="s">
        <v>2421</v>
      </c>
      <c r="O82" s="22" t="s">
        <v>3036</v>
      </c>
    </row>
    <row r="83" spans="14:15" x14ac:dyDescent="0.2">
      <c r="N83" s="22" t="s">
        <v>3012</v>
      </c>
      <c r="O83" s="22" t="s">
        <v>2532</v>
      </c>
    </row>
    <row r="84" spans="14:15" x14ac:dyDescent="0.2">
      <c r="N84" s="22" t="s">
        <v>2919</v>
      </c>
      <c r="O84" s="22" t="s">
        <v>2533</v>
      </c>
    </row>
    <row r="85" spans="14:15" x14ac:dyDescent="0.2">
      <c r="N85" s="22" t="s">
        <v>3013</v>
      </c>
      <c r="O85" s="22" t="s">
        <v>2534</v>
      </c>
    </row>
    <row r="86" spans="14:15" x14ac:dyDescent="0.2">
      <c r="N86" s="22" t="s">
        <v>3014</v>
      </c>
      <c r="O86" s="22" t="s">
        <v>2535</v>
      </c>
    </row>
    <row r="87" spans="14:15" x14ac:dyDescent="0.2">
      <c r="N87" s="22" t="s">
        <v>3015</v>
      </c>
      <c r="O87" s="22" t="s">
        <v>2536</v>
      </c>
    </row>
    <row r="88" spans="14:15" x14ac:dyDescent="0.2">
      <c r="N88" s="22" t="s">
        <v>3016</v>
      </c>
      <c r="O88" s="22" t="s">
        <v>2537</v>
      </c>
    </row>
    <row r="89" spans="14:15" x14ac:dyDescent="0.2">
      <c r="N89" s="22" t="s">
        <v>3017</v>
      </c>
      <c r="O89" s="22" t="s">
        <v>2538</v>
      </c>
    </row>
    <row r="90" spans="14:15" x14ac:dyDescent="0.2">
      <c r="N90" s="22" t="s">
        <v>3018</v>
      </c>
      <c r="O90" s="22" t="s">
        <v>2539</v>
      </c>
    </row>
    <row r="91" spans="14:15" x14ac:dyDescent="0.2">
      <c r="N91" s="22" t="s">
        <v>3019</v>
      </c>
      <c r="O91" s="22" t="s">
        <v>2540</v>
      </c>
    </row>
    <row r="92" spans="14:15" x14ac:dyDescent="0.2">
      <c r="N92" s="22" t="s">
        <v>3020</v>
      </c>
      <c r="O92" s="22" t="s">
        <v>2541</v>
      </c>
    </row>
    <row r="93" spans="14:15" x14ac:dyDescent="0.2">
      <c r="N93" s="22" t="s">
        <v>3021</v>
      </c>
      <c r="O93" s="22" t="s">
        <v>2542</v>
      </c>
    </row>
    <row r="94" spans="14:15" x14ac:dyDescent="0.2">
      <c r="N94" s="22" t="s">
        <v>3245</v>
      </c>
      <c r="O94" s="22" t="s">
        <v>2543</v>
      </c>
    </row>
    <row r="95" spans="14:15" x14ac:dyDescent="0.2">
      <c r="N95" s="22" t="s">
        <v>3022</v>
      </c>
      <c r="O95" s="22" t="s">
        <v>2544</v>
      </c>
    </row>
    <row r="96" spans="14:15" x14ac:dyDescent="0.2">
      <c r="N96" s="22" t="s">
        <v>3023</v>
      </c>
      <c r="O96" s="22" t="s">
        <v>2545</v>
      </c>
    </row>
    <row r="97" spans="14:15" x14ac:dyDescent="0.2">
      <c r="N97" s="22" t="s">
        <v>3024</v>
      </c>
      <c r="O97" s="22" t="s">
        <v>2546</v>
      </c>
    </row>
    <row r="98" spans="14:15" x14ac:dyDescent="0.2">
      <c r="N98" s="22" t="s">
        <v>3025</v>
      </c>
      <c r="O98" s="22" t="s">
        <v>2547</v>
      </c>
    </row>
    <row r="99" spans="14:15" x14ac:dyDescent="0.2">
      <c r="N99" s="22" t="s">
        <v>3026</v>
      </c>
      <c r="O99" s="22" t="s">
        <v>2548</v>
      </c>
    </row>
    <row r="100" spans="14:15" x14ac:dyDescent="0.2">
      <c r="N100" s="22" t="s">
        <v>3027</v>
      </c>
      <c r="O100" s="22" t="s">
        <v>2549</v>
      </c>
    </row>
    <row r="101" spans="14:15" x14ac:dyDescent="0.2">
      <c r="N101" s="22" t="s">
        <v>3028</v>
      </c>
      <c r="O101" s="22" t="s">
        <v>2550</v>
      </c>
    </row>
    <row r="102" spans="14:15" x14ac:dyDescent="0.2">
      <c r="N102" s="22" t="s">
        <v>3029</v>
      </c>
      <c r="O102" s="22" t="s">
        <v>2551</v>
      </c>
    </row>
    <row r="103" spans="14:15" x14ac:dyDescent="0.2">
      <c r="N103" s="22" t="s">
        <v>3030</v>
      </c>
      <c r="O103" s="22" t="s">
        <v>2552</v>
      </c>
    </row>
    <row r="104" spans="14:15" x14ac:dyDescent="0.2">
      <c r="N104" s="22" t="s">
        <v>3031</v>
      </c>
      <c r="O104" s="22" t="s">
        <v>2553</v>
      </c>
    </row>
    <row r="105" spans="14:15" x14ac:dyDescent="0.2">
      <c r="N105" s="22" t="s">
        <v>2937</v>
      </c>
      <c r="O105" s="22" t="s">
        <v>2554</v>
      </c>
    </row>
    <row r="106" spans="14:15" x14ac:dyDescent="0.2">
      <c r="N106" s="22" t="s">
        <v>3032</v>
      </c>
      <c r="O106" s="22" t="s">
        <v>2555</v>
      </c>
    </row>
    <row r="107" spans="14:15" x14ac:dyDescent="0.2">
      <c r="N107" s="22" t="s">
        <v>3033</v>
      </c>
      <c r="O107" s="22" t="s">
        <v>2556</v>
      </c>
    </row>
    <row r="108" spans="14:15" x14ac:dyDescent="0.2">
      <c r="N108" s="22" t="s">
        <v>2916</v>
      </c>
      <c r="O108" s="22" t="s">
        <v>2557</v>
      </c>
    </row>
    <row r="109" spans="14:15" x14ac:dyDescent="0.2">
      <c r="O109" s="22" t="s">
        <v>2558</v>
      </c>
    </row>
    <row r="110" spans="14:15" x14ac:dyDescent="0.2">
      <c r="O110" s="22" t="s">
        <v>2559</v>
      </c>
    </row>
    <row r="111" spans="14:15" x14ac:dyDescent="0.2">
      <c r="O111" s="22" t="s">
        <v>2560</v>
      </c>
    </row>
    <row r="112" spans="14:15" x14ac:dyDescent="0.2">
      <c r="O112" s="22" t="s">
        <v>2561</v>
      </c>
    </row>
    <row r="113" spans="15:15" x14ac:dyDescent="0.2">
      <c r="O113" s="22" t="s">
        <v>2562</v>
      </c>
    </row>
    <row r="114" spans="15:15" x14ac:dyDescent="0.2">
      <c r="O114" s="22" t="s">
        <v>2563</v>
      </c>
    </row>
    <row r="115" spans="15:15" x14ac:dyDescent="0.2">
      <c r="O115" s="22" t="s">
        <v>2564</v>
      </c>
    </row>
    <row r="116" spans="15:15" x14ac:dyDescent="0.2">
      <c r="O116" s="22" t="s">
        <v>2565</v>
      </c>
    </row>
    <row r="117" spans="15:15" x14ac:dyDescent="0.2">
      <c r="O117" s="22" t="s">
        <v>2566</v>
      </c>
    </row>
    <row r="118" spans="15:15" x14ac:dyDescent="0.2">
      <c r="O118" s="22" t="s">
        <v>2567</v>
      </c>
    </row>
    <row r="119" spans="15:15" x14ac:dyDescent="0.2">
      <c r="O119" s="22" t="s">
        <v>2568</v>
      </c>
    </row>
    <row r="120" spans="15:15" x14ac:dyDescent="0.2">
      <c r="O120" s="22" t="s">
        <v>2569</v>
      </c>
    </row>
    <row r="121" spans="15:15" x14ac:dyDescent="0.2">
      <c r="O121" s="22" t="s">
        <v>2570</v>
      </c>
    </row>
    <row r="122" spans="15:15" x14ac:dyDescent="0.2">
      <c r="O122" s="22" t="s">
        <v>2571</v>
      </c>
    </row>
    <row r="123" spans="15:15" x14ac:dyDescent="0.2">
      <c r="O123" s="22" t="s">
        <v>2572</v>
      </c>
    </row>
    <row r="124" spans="15:15" x14ac:dyDescent="0.2">
      <c r="O124" s="22" t="s">
        <v>2573</v>
      </c>
    </row>
    <row r="125" spans="15:15" x14ac:dyDescent="0.2">
      <c r="O125" s="22" t="s">
        <v>2574</v>
      </c>
    </row>
    <row r="126" spans="15:15" x14ac:dyDescent="0.2">
      <c r="O126" s="22" t="s">
        <v>2575</v>
      </c>
    </row>
    <row r="127" spans="15:15" x14ac:dyDescent="0.2">
      <c r="O127" s="22" t="s">
        <v>2576</v>
      </c>
    </row>
    <row r="128" spans="15:15" x14ac:dyDescent="0.2">
      <c r="O128" s="22" t="s">
        <v>2577</v>
      </c>
    </row>
    <row r="129" spans="15:15" x14ac:dyDescent="0.2">
      <c r="O129" s="22" t="s">
        <v>2578</v>
      </c>
    </row>
    <row r="130" spans="15:15" x14ac:dyDescent="0.2">
      <c r="O130" s="22" t="s">
        <v>2579</v>
      </c>
    </row>
    <row r="131" spans="15:15" x14ac:dyDescent="0.2">
      <c r="O131" s="22" t="s">
        <v>2580</v>
      </c>
    </row>
    <row r="132" spans="15:15" x14ac:dyDescent="0.2">
      <c r="O132" s="22" t="s">
        <v>2581</v>
      </c>
    </row>
    <row r="133" spans="15:15" x14ac:dyDescent="0.2">
      <c r="O133" s="22" t="s">
        <v>2582</v>
      </c>
    </row>
    <row r="134" spans="15:15" x14ac:dyDescent="0.2">
      <c r="O134" s="22" t="s">
        <v>2583</v>
      </c>
    </row>
    <row r="135" spans="15:15" x14ac:dyDescent="0.2">
      <c r="O135" s="22" t="s">
        <v>2584</v>
      </c>
    </row>
    <row r="136" spans="15:15" x14ac:dyDescent="0.2">
      <c r="O136" s="22" t="s">
        <v>2585</v>
      </c>
    </row>
    <row r="137" spans="15:15" x14ac:dyDescent="0.2">
      <c r="O137" s="22" t="s">
        <v>2586</v>
      </c>
    </row>
    <row r="138" spans="15:15" x14ac:dyDescent="0.2">
      <c r="O138" s="22" t="s">
        <v>2587</v>
      </c>
    </row>
    <row r="139" spans="15:15" x14ac:dyDescent="0.2">
      <c r="O139" s="22" t="s">
        <v>2588</v>
      </c>
    </row>
    <row r="140" spans="15:15" x14ac:dyDescent="0.2">
      <c r="O140" s="22" t="s">
        <v>2589</v>
      </c>
    </row>
    <row r="141" spans="15:15" x14ac:dyDescent="0.2">
      <c r="O141" s="22" t="s">
        <v>2590</v>
      </c>
    </row>
    <row r="142" spans="15:15" x14ac:dyDescent="0.2">
      <c r="O142" s="22" t="s">
        <v>2591</v>
      </c>
    </row>
    <row r="143" spans="15:15" x14ac:dyDescent="0.2">
      <c r="O143" s="22" t="s">
        <v>2592</v>
      </c>
    </row>
    <row r="144" spans="15:15" x14ac:dyDescent="0.2">
      <c r="O144" s="22" t="s">
        <v>2593</v>
      </c>
    </row>
    <row r="145" spans="15:15" x14ac:dyDescent="0.2">
      <c r="O145" s="22" t="s">
        <v>2594</v>
      </c>
    </row>
    <row r="146" spans="15:15" x14ac:dyDescent="0.2">
      <c r="O146" s="22" t="s">
        <v>2595</v>
      </c>
    </row>
    <row r="147" spans="15:15" x14ac:dyDescent="0.2">
      <c r="O147" s="22" t="s">
        <v>2596</v>
      </c>
    </row>
    <row r="148" spans="15:15" x14ac:dyDescent="0.2">
      <c r="O148" s="22" t="s">
        <v>2597</v>
      </c>
    </row>
    <row r="149" spans="15:15" x14ac:dyDescent="0.2">
      <c r="O149" s="22" t="s">
        <v>2598</v>
      </c>
    </row>
    <row r="150" spans="15:15" x14ac:dyDescent="0.2">
      <c r="O150" s="22" t="s">
        <v>2599</v>
      </c>
    </row>
    <row r="151" spans="15:15" x14ac:dyDescent="0.2">
      <c r="O151" s="22" t="s">
        <v>2600</v>
      </c>
    </row>
    <row r="152" spans="15:15" x14ac:dyDescent="0.2">
      <c r="O152" s="22" t="s">
        <v>2601</v>
      </c>
    </row>
    <row r="153" spans="15:15" x14ac:dyDescent="0.2">
      <c r="O153" s="22" t="s">
        <v>2602</v>
      </c>
    </row>
    <row r="154" spans="15:15" x14ac:dyDescent="0.2">
      <c r="O154" s="22" t="s">
        <v>2603</v>
      </c>
    </row>
    <row r="155" spans="15:15" x14ac:dyDescent="0.2">
      <c r="O155" s="22" t="s">
        <v>2604</v>
      </c>
    </row>
    <row r="156" spans="15:15" x14ac:dyDescent="0.2">
      <c r="O156" s="22" t="s">
        <v>2605</v>
      </c>
    </row>
    <row r="157" spans="15:15" x14ac:dyDescent="0.2">
      <c r="O157" s="22" t="s">
        <v>2606</v>
      </c>
    </row>
    <row r="158" spans="15:15" x14ac:dyDescent="0.2">
      <c r="O158" s="22" t="s">
        <v>2606</v>
      </c>
    </row>
    <row r="159" spans="15:15" x14ac:dyDescent="0.2">
      <c r="O159" s="22" t="s">
        <v>2607</v>
      </c>
    </row>
    <row r="160" spans="15:15" x14ac:dyDescent="0.2">
      <c r="O160" s="22" t="s">
        <v>2608</v>
      </c>
    </row>
    <row r="161" spans="15:15" x14ac:dyDescent="0.2">
      <c r="O161" s="22" t="s">
        <v>2609</v>
      </c>
    </row>
    <row r="162" spans="15:15" x14ac:dyDescent="0.2">
      <c r="O162" s="22" t="s">
        <v>2610</v>
      </c>
    </row>
    <row r="163" spans="15:15" x14ac:dyDescent="0.2">
      <c r="O163" s="22" t="s">
        <v>2611</v>
      </c>
    </row>
    <row r="164" spans="15:15" x14ac:dyDescent="0.2">
      <c r="O164" s="22" t="s">
        <v>2612</v>
      </c>
    </row>
    <row r="165" spans="15:15" x14ac:dyDescent="0.2">
      <c r="O165" s="22" t="s">
        <v>2613</v>
      </c>
    </row>
    <row r="166" spans="15:15" x14ac:dyDescent="0.2">
      <c r="O166" s="22" t="s">
        <v>2614</v>
      </c>
    </row>
    <row r="167" spans="15:15" x14ac:dyDescent="0.2">
      <c r="O167" s="22" t="s">
        <v>2615</v>
      </c>
    </row>
    <row r="168" spans="15:15" x14ac:dyDescent="0.2">
      <c r="O168" s="22" t="s">
        <v>2616</v>
      </c>
    </row>
    <row r="169" spans="15:15" x14ac:dyDescent="0.2">
      <c r="O169" s="22" t="s">
        <v>2617</v>
      </c>
    </row>
    <row r="170" spans="15:15" x14ac:dyDescent="0.2">
      <c r="O170" s="22" t="s">
        <v>2618</v>
      </c>
    </row>
    <row r="171" spans="15:15" x14ac:dyDescent="0.2">
      <c r="O171" s="22" t="s">
        <v>2619</v>
      </c>
    </row>
    <row r="172" spans="15:15" x14ac:dyDescent="0.2">
      <c r="O172" s="22" t="s">
        <v>2620</v>
      </c>
    </row>
    <row r="173" spans="15:15" x14ac:dyDescent="0.2">
      <c r="O173" s="22" t="s">
        <v>2621</v>
      </c>
    </row>
    <row r="174" spans="15:15" x14ac:dyDescent="0.2">
      <c r="O174" s="22" t="s">
        <v>2622</v>
      </c>
    </row>
    <row r="175" spans="15:15" x14ac:dyDescent="0.2">
      <c r="O175" s="22" t="s">
        <v>2623</v>
      </c>
    </row>
    <row r="176" spans="15:15" x14ac:dyDescent="0.2">
      <c r="O176" s="22" t="s">
        <v>2624</v>
      </c>
    </row>
    <row r="177" spans="15:15" x14ac:dyDescent="0.2">
      <c r="O177" s="22" t="s">
        <v>2624</v>
      </c>
    </row>
    <row r="178" spans="15:15" x14ac:dyDescent="0.2">
      <c r="O178" s="22" t="s">
        <v>2625</v>
      </c>
    </row>
    <row r="179" spans="15:15" x14ac:dyDescent="0.2">
      <c r="O179" s="22" t="s">
        <v>2626</v>
      </c>
    </row>
    <row r="180" spans="15:15" x14ac:dyDescent="0.2">
      <c r="O180" s="22" t="s">
        <v>2627</v>
      </c>
    </row>
    <row r="181" spans="15:15" x14ac:dyDescent="0.2">
      <c r="O181" s="22" t="s">
        <v>2628</v>
      </c>
    </row>
    <row r="182" spans="15:15" x14ac:dyDescent="0.2">
      <c r="O182" s="22" t="s">
        <v>2629</v>
      </c>
    </row>
    <row r="183" spans="15:15" x14ac:dyDescent="0.2">
      <c r="O183" s="22" t="s">
        <v>2630</v>
      </c>
    </row>
    <row r="184" spans="15:15" x14ac:dyDescent="0.2">
      <c r="O184" s="22" t="s">
        <v>2631</v>
      </c>
    </row>
    <row r="185" spans="15:15" x14ac:dyDescent="0.2">
      <c r="O185" s="22" t="s">
        <v>2632</v>
      </c>
    </row>
    <row r="186" spans="15:15" x14ac:dyDescent="0.2">
      <c r="O186" s="22" t="s">
        <v>2633</v>
      </c>
    </row>
    <row r="187" spans="15:15" x14ac:dyDescent="0.2">
      <c r="O187" s="22" t="s">
        <v>2634</v>
      </c>
    </row>
    <row r="188" spans="15:15" x14ac:dyDescent="0.2">
      <c r="O188" s="22" t="s">
        <v>2635</v>
      </c>
    </row>
    <row r="189" spans="15:15" x14ac:dyDescent="0.2">
      <c r="O189" s="22" t="s">
        <v>2636</v>
      </c>
    </row>
    <row r="190" spans="15:15" x14ac:dyDescent="0.2">
      <c r="O190" s="22" t="s">
        <v>2636</v>
      </c>
    </row>
    <row r="191" spans="15:15" x14ac:dyDescent="0.2">
      <c r="O191" s="22" t="s">
        <v>2637</v>
      </c>
    </row>
    <row r="192" spans="15:15" x14ac:dyDescent="0.2">
      <c r="O192" s="22" t="s">
        <v>2638</v>
      </c>
    </row>
    <row r="193" spans="15:15" x14ac:dyDescent="0.2">
      <c r="O193" s="22" t="s">
        <v>2639</v>
      </c>
    </row>
    <row r="194" spans="15:15" x14ac:dyDescent="0.2">
      <c r="O194" s="22" t="s">
        <v>2640</v>
      </c>
    </row>
    <row r="195" spans="15:15" x14ac:dyDescent="0.2">
      <c r="O195" s="22" t="s">
        <v>2641</v>
      </c>
    </row>
    <row r="196" spans="15:15" x14ac:dyDescent="0.2">
      <c r="O196" s="22" t="s">
        <v>2642</v>
      </c>
    </row>
    <row r="197" spans="15:15" x14ac:dyDescent="0.2">
      <c r="O197" s="22" t="s">
        <v>2643</v>
      </c>
    </row>
    <row r="198" spans="15:15" x14ac:dyDescent="0.2">
      <c r="O198" s="22" t="s">
        <v>2644</v>
      </c>
    </row>
    <row r="199" spans="15:15" x14ac:dyDescent="0.2">
      <c r="O199" s="22" t="s">
        <v>2645</v>
      </c>
    </row>
    <row r="200" spans="15:15" x14ac:dyDescent="0.2">
      <c r="O200" s="22" t="s">
        <v>2646</v>
      </c>
    </row>
    <row r="201" spans="15:15" x14ac:dyDescent="0.2">
      <c r="O201" s="22" t="s">
        <v>2647</v>
      </c>
    </row>
    <row r="202" spans="15:15" x14ac:dyDescent="0.2">
      <c r="O202" s="22" t="s">
        <v>2648</v>
      </c>
    </row>
    <row r="203" spans="15:15" x14ac:dyDescent="0.2">
      <c r="O203" s="22" t="s">
        <v>2649</v>
      </c>
    </row>
    <row r="204" spans="15:15" x14ac:dyDescent="0.2">
      <c r="O204" s="22" t="s">
        <v>2650</v>
      </c>
    </row>
    <row r="205" spans="15:15" x14ac:dyDescent="0.2">
      <c r="O205" s="22" t="s">
        <v>2651</v>
      </c>
    </row>
    <row r="206" spans="15:15" x14ac:dyDescent="0.2">
      <c r="O206" s="22" t="s">
        <v>2652</v>
      </c>
    </row>
    <row r="207" spans="15:15" x14ac:dyDescent="0.2">
      <c r="O207" s="22" t="s">
        <v>2653</v>
      </c>
    </row>
    <row r="208" spans="15:15" x14ac:dyDescent="0.2">
      <c r="O208" s="22" t="s">
        <v>2654</v>
      </c>
    </row>
    <row r="209" spans="15:15" x14ac:dyDescent="0.2">
      <c r="O209" s="22" t="s">
        <v>2655</v>
      </c>
    </row>
    <row r="210" spans="15:15" x14ac:dyDescent="0.2">
      <c r="O210" s="22" t="s">
        <v>2656</v>
      </c>
    </row>
    <row r="211" spans="15:15" x14ac:dyDescent="0.2">
      <c r="O211" s="22" t="s">
        <v>2657</v>
      </c>
    </row>
    <row r="212" spans="15:15" x14ac:dyDescent="0.2">
      <c r="O212" s="22" t="s">
        <v>2658</v>
      </c>
    </row>
    <row r="213" spans="15:15" x14ac:dyDescent="0.2">
      <c r="O213" s="22" t="s">
        <v>2659</v>
      </c>
    </row>
    <row r="214" spans="15:15" x14ac:dyDescent="0.2">
      <c r="O214" s="22" t="s">
        <v>2660</v>
      </c>
    </row>
    <row r="215" spans="15:15" x14ac:dyDescent="0.2">
      <c r="O215" s="22" t="s">
        <v>2661</v>
      </c>
    </row>
    <row r="216" spans="15:15" x14ac:dyDescent="0.2">
      <c r="O216" s="22" t="s">
        <v>2662</v>
      </c>
    </row>
    <row r="217" spans="15:15" x14ac:dyDescent="0.2">
      <c r="O217" s="22" t="s">
        <v>2662</v>
      </c>
    </row>
    <row r="218" spans="15:15" x14ac:dyDescent="0.2">
      <c r="O218" s="22" t="s">
        <v>2663</v>
      </c>
    </row>
    <row r="219" spans="15:15" x14ac:dyDescent="0.2">
      <c r="O219" s="22" t="s">
        <v>2664</v>
      </c>
    </row>
    <row r="220" spans="15:15" x14ac:dyDescent="0.2">
      <c r="O220" s="22" t="s">
        <v>2665</v>
      </c>
    </row>
    <row r="221" spans="15:15" x14ac:dyDescent="0.2">
      <c r="O221" s="22" t="s">
        <v>2666</v>
      </c>
    </row>
    <row r="222" spans="15:15" x14ac:dyDescent="0.2">
      <c r="O222" s="22" t="s">
        <v>2667</v>
      </c>
    </row>
    <row r="223" spans="15:15" x14ac:dyDescent="0.2">
      <c r="O223" s="22" t="s">
        <v>2668</v>
      </c>
    </row>
    <row r="224" spans="15:15" x14ac:dyDescent="0.2">
      <c r="O224" s="22" t="s">
        <v>2669</v>
      </c>
    </row>
    <row r="225" spans="15:15" x14ac:dyDescent="0.2">
      <c r="O225" s="22" t="s">
        <v>2670</v>
      </c>
    </row>
    <row r="226" spans="15:15" x14ac:dyDescent="0.2">
      <c r="O226" s="22" t="s">
        <v>2671</v>
      </c>
    </row>
    <row r="227" spans="15:15" x14ac:dyDescent="0.2">
      <c r="O227" s="22" t="s">
        <v>2672</v>
      </c>
    </row>
    <row r="228" spans="15:15" x14ac:dyDescent="0.2">
      <c r="O228" s="22" t="s">
        <v>2673</v>
      </c>
    </row>
    <row r="229" spans="15:15" x14ac:dyDescent="0.2">
      <c r="O229" s="22" t="s">
        <v>2674</v>
      </c>
    </row>
    <row r="230" spans="15:15" x14ac:dyDescent="0.2">
      <c r="O230" s="22" t="s">
        <v>2674</v>
      </c>
    </row>
    <row r="231" spans="15:15" x14ac:dyDescent="0.2">
      <c r="O231" s="22" t="s">
        <v>2675</v>
      </c>
    </row>
    <row r="232" spans="15:15" x14ac:dyDescent="0.2">
      <c r="O232" s="22" t="s">
        <v>2676</v>
      </c>
    </row>
    <row r="233" spans="15:15" x14ac:dyDescent="0.2">
      <c r="O233" s="22" t="s">
        <v>2677</v>
      </c>
    </row>
    <row r="234" spans="15:15" x14ac:dyDescent="0.2">
      <c r="O234" s="22" t="s">
        <v>2678</v>
      </c>
    </row>
    <row r="235" spans="15:15" x14ac:dyDescent="0.2">
      <c r="O235" s="22" t="s">
        <v>2679</v>
      </c>
    </row>
    <row r="236" spans="15:15" x14ac:dyDescent="0.2">
      <c r="O236" s="22" t="s">
        <v>2680</v>
      </c>
    </row>
    <row r="237" spans="15:15" x14ac:dyDescent="0.2">
      <c r="O237" s="22" t="s">
        <v>2681</v>
      </c>
    </row>
    <row r="238" spans="15:15" x14ac:dyDescent="0.2">
      <c r="O238" s="22" t="s">
        <v>2682</v>
      </c>
    </row>
    <row r="239" spans="15:15" x14ac:dyDescent="0.2">
      <c r="O239" s="22" t="s">
        <v>2683</v>
      </c>
    </row>
    <row r="240" spans="15:15" x14ac:dyDescent="0.2">
      <c r="O240" s="22" t="s">
        <v>2684</v>
      </c>
    </row>
    <row r="241" spans="15:15" x14ac:dyDescent="0.2">
      <c r="O241" s="22" t="s">
        <v>2685</v>
      </c>
    </row>
    <row r="242" spans="15:15" x14ac:dyDescent="0.2">
      <c r="O242" s="22" t="s">
        <v>2685</v>
      </c>
    </row>
    <row r="243" spans="15:15" x14ac:dyDescent="0.2">
      <c r="O243" s="22" t="s">
        <v>2686</v>
      </c>
    </row>
    <row r="244" spans="15:15" x14ac:dyDescent="0.2">
      <c r="O244" s="22" t="s">
        <v>2687</v>
      </c>
    </row>
    <row r="245" spans="15:15" x14ac:dyDescent="0.2">
      <c r="O245" s="22" t="s">
        <v>2688</v>
      </c>
    </row>
    <row r="246" spans="15:15" x14ac:dyDescent="0.2">
      <c r="O246" s="22" t="s">
        <v>2689</v>
      </c>
    </row>
    <row r="247" spans="15:15" x14ac:dyDescent="0.2">
      <c r="O247" s="22" t="s">
        <v>2690</v>
      </c>
    </row>
    <row r="248" spans="15:15" x14ac:dyDescent="0.2">
      <c r="O248" s="22" t="s">
        <v>2691</v>
      </c>
    </row>
    <row r="249" spans="15:15" x14ac:dyDescent="0.2">
      <c r="O249" s="22" t="s">
        <v>2692</v>
      </c>
    </row>
    <row r="250" spans="15:15" x14ac:dyDescent="0.2">
      <c r="O250" s="22" t="s">
        <v>2693</v>
      </c>
    </row>
    <row r="251" spans="15:15" x14ac:dyDescent="0.2">
      <c r="O251" s="22" t="s">
        <v>2694</v>
      </c>
    </row>
    <row r="252" spans="15:15" x14ac:dyDescent="0.2">
      <c r="O252" s="22" t="s">
        <v>2695</v>
      </c>
    </row>
    <row r="253" spans="15:15" x14ac:dyDescent="0.2">
      <c r="O253" s="22" t="s">
        <v>2696</v>
      </c>
    </row>
    <row r="254" spans="15:15" x14ac:dyDescent="0.2">
      <c r="O254" s="22" t="s">
        <v>2697</v>
      </c>
    </row>
    <row r="255" spans="15:15" x14ac:dyDescent="0.2">
      <c r="O255" s="22" t="s">
        <v>2698</v>
      </c>
    </row>
    <row r="256" spans="15:15" x14ac:dyDescent="0.2">
      <c r="O256" s="22" t="s">
        <v>2699</v>
      </c>
    </row>
    <row r="257" spans="15:15" x14ac:dyDescent="0.2">
      <c r="O257" s="22" t="s">
        <v>2700</v>
      </c>
    </row>
    <row r="258" spans="15:15" x14ac:dyDescent="0.2">
      <c r="O258" s="22" t="s">
        <v>3053</v>
      </c>
    </row>
    <row r="259" spans="15:15" x14ac:dyDescent="0.2">
      <c r="O259" s="22" t="s">
        <v>3037</v>
      </c>
    </row>
    <row r="260" spans="15:15" x14ac:dyDescent="0.2">
      <c r="O260" s="22" t="s">
        <v>3038</v>
      </c>
    </row>
    <row r="261" spans="15:15" x14ac:dyDescent="0.2">
      <c r="O261" s="22" t="s">
        <v>3039</v>
      </c>
    </row>
    <row r="262" spans="15:15" x14ac:dyDescent="0.2">
      <c r="O262" s="22" t="s">
        <v>3040</v>
      </c>
    </row>
    <row r="263" spans="15:15" x14ac:dyDescent="0.2">
      <c r="O263" s="22" t="s">
        <v>3041</v>
      </c>
    </row>
    <row r="264" spans="15:15" x14ac:dyDescent="0.2">
      <c r="O264" s="22" t="s">
        <v>3042</v>
      </c>
    </row>
    <row r="265" spans="15:15" x14ac:dyDescent="0.2">
      <c r="O265" s="22" t="s">
        <v>3043</v>
      </c>
    </row>
    <row r="266" spans="15:15" x14ac:dyDescent="0.2">
      <c r="O266" s="22" t="s">
        <v>3044</v>
      </c>
    </row>
    <row r="267" spans="15:15" x14ac:dyDescent="0.2">
      <c r="O267" s="22" t="s">
        <v>3045</v>
      </c>
    </row>
    <row r="268" spans="15:15" x14ac:dyDescent="0.2">
      <c r="O268" s="22" t="s">
        <v>2701</v>
      </c>
    </row>
    <row r="269" spans="15:15" x14ac:dyDescent="0.2">
      <c r="O269" s="22" t="s">
        <v>2702</v>
      </c>
    </row>
    <row r="270" spans="15:15" x14ac:dyDescent="0.2">
      <c r="O270" s="22" t="s">
        <v>2703</v>
      </c>
    </row>
    <row r="271" spans="15:15" x14ac:dyDescent="0.2">
      <c r="O271" s="22" t="s">
        <v>2704</v>
      </c>
    </row>
    <row r="272" spans="15:15" x14ac:dyDescent="0.2">
      <c r="O272" s="22" t="s">
        <v>2705</v>
      </c>
    </row>
    <row r="273" spans="15:15" x14ac:dyDescent="0.2">
      <c r="O273" s="22" t="s">
        <v>2706</v>
      </c>
    </row>
    <row r="274" spans="15:15" x14ac:dyDescent="0.2">
      <c r="O274" s="22" t="s">
        <v>2707</v>
      </c>
    </row>
    <row r="275" spans="15:15" x14ac:dyDescent="0.2">
      <c r="O275" s="22" t="s">
        <v>2708</v>
      </c>
    </row>
    <row r="276" spans="15:15" x14ac:dyDescent="0.2">
      <c r="O276" s="22" t="s">
        <v>2709</v>
      </c>
    </row>
    <row r="277" spans="15:15" x14ac:dyDescent="0.2">
      <c r="O277" s="22" t="s">
        <v>2710</v>
      </c>
    </row>
    <row r="278" spans="15:15" x14ac:dyDescent="0.2">
      <c r="O278" s="22" t="s">
        <v>2711</v>
      </c>
    </row>
    <row r="279" spans="15:15" x14ac:dyDescent="0.2">
      <c r="O279" s="22" t="s">
        <v>2712</v>
      </c>
    </row>
    <row r="280" spans="15:15" x14ac:dyDescent="0.2">
      <c r="O280" s="22" t="s">
        <v>2713</v>
      </c>
    </row>
    <row r="281" spans="15:15" x14ac:dyDescent="0.2">
      <c r="O281" s="22" t="s">
        <v>2714</v>
      </c>
    </row>
    <row r="282" spans="15:15" x14ac:dyDescent="0.2">
      <c r="O282" s="22" t="s">
        <v>2715</v>
      </c>
    </row>
    <row r="283" spans="15:15" x14ac:dyDescent="0.2">
      <c r="O283" s="22" t="s">
        <v>2716</v>
      </c>
    </row>
    <row r="284" spans="15:15" x14ac:dyDescent="0.2">
      <c r="O284" s="22" t="s">
        <v>2717</v>
      </c>
    </row>
    <row r="285" spans="15:15" x14ac:dyDescent="0.2">
      <c r="O285" s="22" t="s">
        <v>2718</v>
      </c>
    </row>
    <row r="286" spans="15:15" x14ac:dyDescent="0.2">
      <c r="O286" s="22" t="s">
        <v>2719</v>
      </c>
    </row>
    <row r="287" spans="15:15" x14ac:dyDescent="0.2">
      <c r="O287" s="22" t="s">
        <v>2720</v>
      </c>
    </row>
    <row r="288" spans="15:15" x14ac:dyDescent="0.2">
      <c r="O288" s="22" t="s">
        <v>2721</v>
      </c>
    </row>
    <row r="289" spans="15:15" x14ac:dyDescent="0.2">
      <c r="O289" s="22" t="s">
        <v>2722</v>
      </c>
    </row>
    <row r="290" spans="15:15" x14ac:dyDescent="0.2">
      <c r="O290" s="22" t="s">
        <v>2723</v>
      </c>
    </row>
    <row r="291" spans="15:15" x14ac:dyDescent="0.2">
      <c r="O291" s="22" t="s">
        <v>2724</v>
      </c>
    </row>
    <row r="292" spans="15:15" x14ac:dyDescent="0.2">
      <c r="O292" s="22" t="s">
        <v>2725</v>
      </c>
    </row>
    <row r="293" spans="15:15" x14ac:dyDescent="0.2">
      <c r="O293" s="22" t="s">
        <v>2726</v>
      </c>
    </row>
    <row r="294" spans="15:15" x14ac:dyDescent="0.2">
      <c r="O294" s="22" t="s">
        <v>2727</v>
      </c>
    </row>
    <row r="295" spans="15:15" x14ac:dyDescent="0.2">
      <c r="O295" s="22" t="s">
        <v>2728</v>
      </c>
    </row>
    <row r="296" spans="15:15" x14ac:dyDescent="0.2">
      <c r="O296" s="22" t="s">
        <v>2729</v>
      </c>
    </row>
    <row r="297" spans="15:15" x14ac:dyDescent="0.2">
      <c r="O297" s="22" t="s">
        <v>2730</v>
      </c>
    </row>
    <row r="298" spans="15:15" x14ac:dyDescent="0.2">
      <c r="O298" s="22" t="s">
        <v>2731</v>
      </c>
    </row>
    <row r="299" spans="15:15" x14ac:dyDescent="0.2">
      <c r="O299" s="22" t="s">
        <v>2732</v>
      </c>
    </row>
    <row r="300" spans="15:15" x14ac:dyDescent="0.2">
      <c r="O300" s="22" t="s">
        <v>2733</v>
      </c>
    </row>
    <row r="301" spans="15:15" x14ac:dyDescent="0.2">
      <c r="O301" s="22" t="s">
        <v>2734</v>
      </c>
    </row>
    <row r="302" spans="15:15" x14ac:dyDescent="0.2">
      <c r="O302" s="22" t="s">
        <v>2735</v>
      </c>
    </row>
    <row r="303" spans="15:15" x14ac:dyDescent="0.2">
      <c r="O303" s="22" t="s">
        <v>2736</v>
      </c>
    </row>
    <row r="304" spans="15:15" x14ac:dyDescent="0.2">
      <c r="O304" s="22" t="s">
        <v>2737</v>
      </c>
    </row>
    <row r="305" spans="15:15" x14ac:dyDescent="0.2">
      <c r="O305" s="22" t="s">
        <v>2738</v>
      </c>
    </row>
    <row r="306" spans="15:15" x14ac:dyDescent="0.2">
      <c r="O306" s="22" t="s">
        <v>2739</v>
      </c>
    </row>
    <row r="307" spans="15:15" x14ac:dyDescent="0.2">
      <c r="O307" s="22" t="s">
        <v>2740</v>
      </c>
    </row>
    <row r="308" spans="15:15" x14ac:dyDescent="0.2">
      <c r="O308" s="22" t="s">
        <v>2741</v>
      </c>
    </row>
    <row r="309" spans="15:15" x14ac:dyDescent="0.2">
      <c r="O309" s="22" t="s">
        <v>2742</v>
      </c>
    </row>
    <row r="310" spans="15:15" x14ac:dyDescent="0.2">
      <c r="O310" s="22" t="s">
        <v>2743</v>
      </c>
    </row>
    <row r="311" spans="15:15" x14ac:dyDescent="0.2">
      <c r="O311" s="22" t="s">
        <v>2744</v>
      </c>
    </row>
    <row r="312" spans="15:15" x14ac:dyDescent="0.2">
      <c r="O312" s="22" t="s">
        <v>2745</v>
      </c>
    </row>
    <row r="313" spans="15:15" x14ac:dyDescent="0.2">
      <c r="O313" s="22" t="s">
        <v>2746</v>
      </c>
    </row>
    <row r="314" spans="15:15" x14ac:dyDescent="0.2">
      <c r="O314" s="22" t="s">
        <v>2747</v>
      </c>
    </row>
    <row r="315" spans="15:15" x14ac:dyDescent="0.2">
      <c r="O315" s="22" t="s">
        <v>2748</v>
      </c>
    </row>
    <row r="316" spans="15:15" x14ac:dyDescent="0.2">
      <c r="O316" s="22" t="s">
        <v>2749</v>
      </c>
    </row>
    <row r="317" spans="15:15" x14ac:dyDescent="0.2">
      <c r="O317" s="22" t="s">
        <v>2750</v>
      </c>
    </row>
    <row r="318" spans="15:15" x14ac:dyDescent="0.2">
      <c r="O318" s="22" t="s">
        <v>2751</v>
      </c>
    </row>
    <row r="319" spans="15:15" x14ac:dyDescent="0.2">
      <c r="O319" s="22" t="s">
        <v>2752</v>
      </c>
    </row>
    <row r="320" spans="15:15" x14ac:dyDescent="0.2">
      <c r="O320" s="22" t="s">
        <v>2753</v>
      </c>
    </row>
    <row r="321" spans="15:15" x14ac:dyDescent="0.2">
      <c r="O321" s="22" t="s">
        <v>2754</v>
      </c>
    </row>
    <row r="322" spans="15:15" x14ac:dyDescent="0.2">
      <c r="O322" s="22" t="s">
        <v>2755</v>
      </c>
    </row>
    <row r="323" spans="15:15" x14ac:dyDescent="0.2">
      <c r="O323" s="22" t="s">
        <v>2756</v>
      </c>
    </row>
    <row r="324" spans="15:15" x14ac:dyDescent="0.2">
      <c r="O324" s="22" t="s">
        <v>2757</v>
      </c>
    </row>
    <row r="325" spans="15:15" x14ac:dyDescent="0.2">
      <c r="O325" s="22" t="s">
        <v>2758</v>
      </c>
    </row>
    <row r="326" spans="15:15" x14ac:dyDescent="0.2">
      <c r="O326" s="22" t="s">
        <v>2759</v>
      </c>
    </row>
    <row r="327" spans="15:15" x14ac:dyDescent="0.2">
      <c r="O327" s="22" t="s">
        <v>2760</v>
      </c>
    </row>
    <row r="328" spans="15:15" x14ac:dyDescent="0.2">
      <c r="O328" s="22" t="s">
        <v>2761</v>
      </c>
    </row>
    <row r="329" spans="15:15" x14ac:dyDescent="0.2">
      <c r="O329" s="22" t="s">
        <v>2762</v>
      </c>
    </row>
    <row r="330" spans="15:15" x14ac:dyDescent="0.2">
      <c r="O330" s="22" t="s">
        <v>2763</v>
      </c>
    </row>
    <row r="331" spans="15:15" x14ac:dyDescent="0.2">
      <c r="O331" s="22" t="s">
        <v>2764</v>
      </c>
    </row>
    <row r="332" spans="15:15" x14ac:dyDescent="0.2">
      <c r="O332" s="22" t="s">
        <v>2765</v>
      </c>
    </row>
    <row r="333" spans="15:15" x14ac:dyDescent="0.2">
      <c r="O333" s="22" t="s">
        <v>2766</v>
      </c>
    </row>
    <row r="334" spans="15:15" x14ac:dyDescent="0.2">
      <c r="O334" s="22" t="s">
        <v>2767</v>
      </c>
    </row>
    <row r="335" spans="15:15" x14ac:dyDescent="0.2">
      <c r="O335" s="22" t="s">
        <v>2768</v>
      </c>
    </row>
    <row r="336" spans="15:15" x14ac:dyDescent="0.2">
      <c r="O336" s="22" t="s">
        <v>2769</v>
      </c>
    </row>
    <row r="337" spans="15:15" x14ac:dyDescent="0.2">
      <c r="O337" s="22" t="s">
        <v>2770</v>
      </c>
    </row>
    <row r="338" spans="15:15" x14ac:dyDescent="0.2">
      <c r="O338" s="22" t="s">
        <v>2771</v>
      </c>
    </row>
    <row r="339" spans="15:15" x14ac:dyDescent="0.2">
      <c r="O339" s="22" t="s">
        <v>2772</v>
      </c>
    </row>
    <row r="340" spans="15:15" x14ac:dyDescent="0.2">
      <c r="O340" s="22" t="s">
        <v>2773</v>
      </c>
    </row>
    <row r="341" spans="15:15" x14ac:dyDescent="0.2">
      <c r="O341" s="22" t="s">
        <v>2774</v>
      </c>
    </row>
    <row r="342" spans="15:15" x14ac:dyDescent="0.2">
      <c r="O342" s="22" t="s">
        <v>2775</v>
      </c>
    </row>
    <row r="343" spans="15:15" x14ac:dyDescent="0.2">
      <c r="O343" s="22" t="s">
        <v>2776</v>
      </c>
    </row>
    <row r="344" spans="15:15" x14ac:dyDescent="0.2">
      <c r="O344" s="22" t="s">
        <v>2777</v>
      </c>
    </row>
    <row r="345" spans="15:15" x14ac:dyDescent="0.2">
      <c r="O345" s="22" t="s">
        <v>2778</v>
      </c>
    </row>
    <row r="346" spans="15:15" x14ac:dyDescent="0.2">
      <c r="O346" s="22" t="s">
        <v>2779</v>
      </c>
    </row>
    <row r="347" spans="15:15" x14ac:dyDescent="0.2">
      <c r="O347" s="22" t="s">
        <v>2780</v>
      </c>
    </row>
    <row r="348" spans="15:15" x14ac:dyDescent="0.2">
      <c r="O348" s="22" t="s">
        <v>2781</v>
      </c>
    </row>
    <row r="349" spans="15:15" x14ac:dyDescent="0.2">
      <c r="O349" s="22" t="s">
        <v>2782</v>
      </c>
    </row>
    <row r="350" spans="15:15" x14ac:dyDescent="0.2">
      <c r="O350" s="22" t="s">
        <v>2783</v>
      </c>
    </row>
    <row r="351" spans="15:15" x14ac:dyDescent="0.2">
      <c r="O351" s="22" t="s">
        <v>2784</v>
      </c>
    </row>
    <row r="352" spans="15:15" x14ac:dyDescent="0.2">
      <c r="O352" s="22" t="s">
        <v>2785</v>
      </c>
    </row>
    <row r="353" spans="15:15" x14ac:dyDescent="0.2">
      <c r="O353" s="22" t="s">
        <v>2786</v>
      </c>
    </row>
    <row r="354" spans="15:15" x14ac:dyDescent="0.2">
      <c r="O354" s="22" t="s">
        <v>2787</v>
      </c>
    </row>
    <row r="355" spans="15:15" x14ac:dyDescent="0.2">
      <c r="O355" s="22" t="s">
        <v>2788</v>
      </c>
    </row>
    <row r="356" spans="15:15" x14ac:dyDescent="0.2">
      <c r="O356" s="22" t="s">
        <v>2789</v>
      </c>
    </row>
    <row r="357" spans="15:15" x14ac:dyDescent="0.2">
      <c r="O357" s="22" t="s">
        <v>3046</v>
      </c>
    </row>
    <row r="358" spans="15:15" x14ac:dyDescent="0.2">
      <c r="O358" s="22" t="s">
        <v>3046</v>
      </c>
    </row>
    <row r="359" spans="15:15" x14ac:dyDescent="0.2">
      <c r="O359" s="22" t="s">
        <v>2790</v>
      </c>
    </row>
    <row r="360" spans="15:15" x14ac:dyDescent="0.2">
      <c r="O360" s="22" t="s">
        <v>2791</v>
      </c>
    </row>
    <row r="361" spans="15:15" x14ac:dyDescent="0.2">
      <c r="O361" s="22" t="s">
        <v>2792</v>
      </c>
    </row>
    <row r="362" spans="15:15" x14ac:dyDescent="0.2">
      <c r="O362" s="22" t="s">
        <v>2793</v>
      </c>
    </row>
    <row r="363" spans="15:15" x14ac:dyDescent="0.2">
      <c r="O363" s="22" t="s">
        <v>2794</v>
      </c>
    </row>
    <row r="364" spans="15:15" x14ac:dyDescent="0.2">
      <c r="O364" s="22" t="s">
        <v>2795</v>
      </c>
    </row>
    <row r="365" spans="15:15" x14ac:dyDescent="0.2">
      <c r="O365" s="22" t="s">
        <v>2796</v>
      </c>
    </row>
    <row r="366" spans="15:15" x14ac:dyDescent="0.2">
      <c r="O366" s="22" t="s">
        <v>2797</v>
      </c>
    </row>
    <row r="367" spans="15:15" x14ac:dyDescent="0.2">
      <c r="O367" s="22" t="s">
        <v>2798</v>
      </c>
    </row>
    <row r="368" spans="15:15" x14ac:dyDescent="0.2">
      <c r="O368" s="22" t="s">
        <v>2799</v>
      </c>
    </row>
    <row r="369" spans="15:15" x14ac:dyDescent="0.2">
      <c r="O369" s="22" t="s">
        <v>2800</v>
      </c>
    </row>
    <row r="370" spans="15:15" x14ac:dyDescent="0.2">
      <c r="O370" s="22" t="s">
        <v>2801</v>
      </c>
    </row>
    <row r="371" spans="15:15" x14ac:dyDescent="0.2">
      <c r="O371" s="22" t="s">
        <v>2802</v>
      </c>
    </row>
    <row r="372" spans="15:15" x14ac:dyDescent="0.2">
      <c r="O372" s="22" t="s">
        <v>2803</v>
      </c>
    </row>
    <row r="373" spans="15:15" x14ac:dyDescent="0.2">
      <c r="O373" s="22" t="s">
        <v>2804</v>
      </c>
    </row>
    <row r="374" spans="15:15" x14ac:dyDescent="0.2">
      <c r="O374" s="22" t="s">
        <v>2805</v>
      </c>
    </row>
    <row r="375" spans="15:15" x14ac:dyDescent="0.2">
      <c r="O375" s="22" t="s">
        <v>2806</v>
      </c>
    </row>
    <row r="376" spans="15:15" x14ac:dyDescent="0.2">
      <c r="O376" s="22" t="s">
        <v>2807</v>
      </c>
    </row>
    <row r="377" spans="15:15" x14ac:dyDescent="0.2">
      <c r="O377" s="22" t="s">
        <v>2808</v>
      </c>
    </row>
    <row r="378" spans="15:15" x14ac:dyDescent="0.2">
      <c r="O378" s="22" t="s">
        <v>2809</v>
      </c>
    </row>
    <row r="379" spans="15:15" x14ac:dyDescent="0.2">
      <c r="O379" s="22" t="s">
        <v>2810</v>
      </c>
    </row>
    <row r="380" spans="15:15" x14ac:dyDescent="0.2">
      <c r="O380" s="22" t="s">
        <v>2811</v>
      </c>
    </row>
    <row r="381" spans="15:15" x14ac:dyDescent="0.2">
      <c r="O381" s="22" t="s">
        <v>2812</v>
      </c>
    </row>
    <row r="382" spans="15:15" x14ac:dyDescent="0.2">
      <c r="O382" s="22" t="s">
        <v>2813</v>
      </c>
    </row>
    <row r="383" spans="15:15" x14ac:dyDescent="0.2">
      <c r="O383" s="22" t="s">
        <v>3047</v>
      </c>
    </row>
    <row r="384" spans="15:15" x14ac:dyDescent="0.2">
      <c r="O384" s="22" t="s">
        <v>3047</v>
      </c>
    </row>
    <row r="385" spans="15:15" x14ac:dyDescent="0.2">
      <c r="O385" s="22" t="s">
        <v>2814</v>
      </c>
    </row>
    <row r="386" spans="15:15" x14ac:dyDescent="0.2">
      <c r="O386" s="22" t="s">
        <v>2815</v>
      </c>
    </row>
    <row r="387" spans="15:15" x14ac:dyDescent="0.2">
      <c r="O387" s="22" t="s">
        <v>2816</v>
      </c>
    </row>
    <row r="388" spans="15:15" x14ac:dyDescent="0.2">
      <c r="O388" s="22" t="s">
        <v>2817</v>
      </c>
    </row>
    <row r="389" spans="15:15" x14ac:dyDescent="0.2">
      <c r="O389" s="22" t="s">
        <v>2818</v>
      </c>
    </row>
    <row r="390" spans="15:15" x14ac:dyDescent="0.2">
      <c r="O390" s="22" t="s">
        <v>2819</v>
      </c>
    </row>
    <row r="391" spans="15:15" x14ac:dyDescent="0.2">
      <c r="O391" s="22" t="s">
        <v>2820</v>
      </c>
    </row>
    <row r="392" spans="15:15" x14ac:dyDescent="0.2">
      <c r="O392" s="22" t="s">
        <v>2821</v>
      </c>
    </row>
    <row r="393" spans="15:15" x14ac:dyDescent="0.2">
      <c r="O393" s="22" t="s">
        <v>2822</v>
      </c>
    </row>
    <row r="394" spans="15:15" x14ac:dyDescent="0.2">
      <c r="O394" s="22" t="s">
        <v>2823</v>
      </c>
    </row>
    <row r="395" spans="15:15" x14ac:dyDescent="0.2">
      <c r="O395" s="22" t="s">
        <v>2824</v>
      </c>
    </row>
    <row r="396" spans="15:15" x14ac:dyDescent="0.2">
      <c r="O396" s="22" t="s">
        <v>2825</v>
      </c>
    </row>
    <row r="397" spans="15:15" x14ac:dyDescent="0.2">
      <c r="O397" s="22" t="s">
        <v>2826</v>
      </c>
    </row>
    <row r="398" spans="15:15" x14ac:dyDescent="0.2">
      <c r="O398" s="22" t="s">
        <v>2827</v>
      </c>
    </row>
    <row r="399" spans="15:15" x14ac:dyDescent="0.2">
      <c r="O399" s="22" t="s">
        <v>2828</v>
      </c>
    </row>
    <row r="400" spans="15:15" x14ac:dyDescent="0.2">
      <c r="O400" s="22" t="s">
        <v>2829</v>
      </c>
    </row>
    <row r="401" spans="15:15" x14ac:dyDescent="0.2">
      <c r="O401" s="22" t="s">
        <v>2830</v>
      </c>
    </row>
    <row r="402" spans="15:15" x14ac:dyDescent="0.2">
      <c r="O402" s="22" t="s">
        <v>3048</v>
      </c>
    </row>
    <row r="403" spans="15:15" x14ac:dyDescent="0.2">
      <c r="O403" s="22" t="s">
        <v>3048</v>
      </c>
    </row>
    <row r="404" spans="15:15" x14ac:dyDescent="0.2">
      <c r="O404" s="22" t="s">
        <v>2831</v>
      </c>
    </row>
    <row r="405" spans="15:15" x14ac:dyDescent="0.2">
      <c r="O405" s="22" t="s">
        <v>2832</v>
      </c>
    </row>
    <row r="406" spans="15:15" x14ac:dyDescent="0.2">
      <c r="O406" s="22" t="s">
        <v>2833</v>
      </c>
    </row>
    <row r="407" spans="15:15" x14ac:dyDescent="0.2">
      <c r="O407" s="22" t="s">
        <v>2834</v>
      </c>
    </row>
    <row r="408" spans="15:15" x14ac:dyDescent="0.2">
      <c r="O408" s="22" t="s">
        <v>2835</v>
      </c>
    </row>
    <row r="409" spans="15:15" x14ac:dyDescent="0.2">
      <c r="O409" s="22" t="s">
        <v>2836</v>
      </c>
    </row>
    <row r="410" spans="15:15" x14ac:dyDescent="0.2">
      <c r="O410" s="22" t="s">
        <v>2837</v>
      </c>
    </row>
    <row r="411" spans="15:15" x14ac:dyDescent="0.2">
      <c r="O411" s="22" t="s">
        <v>2838</v>
      </c>
    </row>
    <row r="412" spans="15:15" x14ac:dyDescent="0.2">
      <c r="O412" s="22" t="s">
        <v>2839</v>
      </c>
    </row>
    <row r="413" spans="15:15" x14ac:dyDescent="0.2">
      <c r="O413" s="22" t="s">
        <v>2840</v>
      </c>
    </row>
    <row r="414" spans="15:15" x14ac:dyDescent="0.2">
      <c r="O414" s="22" t="s">
        <v>2841</v>
      </c>
    </row>
    <row r="415" spans="15:15" x14ac:dyDescent="0.2">
      <c r="O415" s="22" t="s">
        <v>2842</v>
      </c>
    </row>
    <row r="416" spans="15:15" x14ac:dyDescent="0.2">
      <c r="O416" s="22" t="s">
        <v>2921</v>
      </c>
    </row>
    <row r="417" spans="15:15" x14ac:dyDescent="0.2">
      <c r="O417" s="22" t="s">
        <v>2843</v>
      </c>
    </row>
    <row r="418" spans="15:15" x14ac:dyDescent="0.2">
      <c r="O418" s="22" t="s">
        <v>2844</v>
      </c>
    </row>
    <row r="419" spans="15:15" x14ac:dyDescent="0.2">
      <c r="O419" s="22" t="s">
        <v>2845</v>
      </c>
    </row>
    <row r="420" spans="15:15" x14ac:dyDescent="0.2">
      <c r="O420" s="22" t="s">
        <v>2846</v>
      </c>
    </row>
    <row r="421" spans="15:15" x14ac:dyDescent="0.2">
      <c r="O421" s="22" t="s">
        <v>2847</v>
      </c>
    </row>
    <row r="422" spans="15:15" x14ac:dyDescent="0.2">
      <c r="O422" s="22" t="s">
        <v>2848</v>
      </c>
    </row>
    <row r="423" spans="15:15" x14ac:dyDescent="0.2">
      <c r="O423" s="22" t="s">
        <v>2849</v>
      </c>
    </row>
    <row r="424" spans="15:15" x14ac:dyDescent="0.2">
      <c r="O424" s="22" t="s">
        <v>2850</v>
      </c>
    </row>
    <row r="425" spans="15:15" x14ac:dyDescent="0.2">
      <c r="O425" s="22" t="s">
        <v>2851</v>
      </c>
    </row>
    <row r="426" spans="15:15" x14ac:dyDescent="0.2">
      <c r="O426" s="22" t="s">
        <v>2922</v>
      </c>
    </row>
    <row r="427" spans="15:15" x14ac:dyDescent="0.2">
      <c r="O427" s="22" t="s">
        <v>2424</v>
      </c>
    </row>
    <row r="428" spans="15:15" x14ac:dyDescent="0.2">
      <c r="O428" s="22" t="s">
        <v>2852</v>
      </c>
    </row>
    <row r="429" spans="15:15" x14ac:dyDescent="0.2">
      <c r="O429" s="22" t="s">
        <v>2853</v>
      </c>
    </row>
    <row r="430" spans="15:15" x14ac:dyDescent="0.2">
      <c r="O430" s="22" t="s">
        <v>2854</v>
      </c>
    </row>
    <row r="431" spans="15:15" x14ac:dyDescent="0.2">
      <c r="O431" s="22" t="s">
        <v>2855</v>
      </c>
    </row>
    <row r="432" spans="15:15" x14ac:dyDescent="0.2">
      <c r="O432" s="22" t="s">
        <v>2856</v>
      </c>
    </row>
    <row r="433" spans="15:15" x14ac:dyDescent="0.2">
      <c r="O433" s="22" t="s">
        <v>2857</v>
      </c>
    </row>
    <row r="434" spans="15:15" x14ac:dyDescent="0.2">
      <c r="O434" s="22" t="s">
        <v>2858</v>
      </c>
    </row>
    <row r="435" spans="15:15" x14ac:dyDescent="0.2">
      <c r="O435" s="22" t="s">
        <v>2859</v>
      </c>
    </row>
    <row r="436" spans="15:15" x14ac:dyDescent="0.2">
      <c r="O436" s="22" t="s">
        <v>2860</v>
      </c>
    </row>
    <row r="437" spans="15:15" x14ac:dyDescent="0.2">
      <c r="O437" s="22" t="s">
        <v>2861</v>
      </c>
    </row>
    <row r="438" spans="15:15" x14ac:dyDescent="0.2">
      <c r="O438" s="22" t="s">
        <v>2862</v>
      </c>
    </row>
    <row r="439" spans="15:15" x14ac:dyDescent="0.2">
      <c r="O439" s="22" t="s">
        <v>2923</v>
      </c>
    </row>
    <row r="440" spans="15:15" x14ac:dyDescent="0.2">
      <c r="O440" s="22" t="s">
        <v>2863</v>
      </c>
    </row>
    <row r="441" spans="15:15" x14ac:dyDescent="0.2">
      <c r="O441" s="22" t="s">
        <v>2924</v>
      </c>
    </row>
    <row r="442" spans="15:15" x14ac:dyDescent="0.2">
      <c r="O442" s="22" t="s">
        <v>2925</v>
      </c>
    </row>
    <row r="443" spans="15:15" x14ac:dyDescent="0.2">
      <c r="O443" s="22" t="s">
        <v>2864</v>
      </c>
    </row>
    <row r="444" spans="15:15" x14ac:dyDescent="0.2">
      <c r="O444" s="22" t="s">
        <v>2865</v>
      </c>
    </row>
    <row r="445" spans="15:15" x14ac:dyDescent="0.2">
      <c r="O445" s="22" t="s">
        <v>2866</v>
      </c>
    </row>
    <row r="446" spans="15:15" x14ac:dyDescent="0.2">
      <c r="O446" s="22" t="s">
        <v>2867</v>
      </c>
    </row>
    <row r="447" spans="15:15" x14ac:dyDescent="0.2">
      <c r="O447" s="22" t="s">
        <v>2868</v>
      </c>
    </row>
    <row r="448" spans="15:15" x14ac:dyDescent="0.2">
      <c r="O448" s="22" t="s">
        <v>2869</v>
      </c>
    </row>
    <row r="449" spans="15:15" x14ac:dyDescent="0.2">
      <c r="O449" s="22" t="s">
        <v>2870</v>
      </c>
    </row>
    <row r="450" spans="15:15" x14ac:dyDescent="0.2">
      <c r="O450" s="22" t="s">
        <v>2871</v>
      </c>
    </row>
    <row r="451" spans="15:15" x14ac:dyDescent="0.2">
      <c r="O451" s="22" t="s">
        <v>2872</v>
      </c>
    </row>
    <row r="452" spans="15:15" x14ac:dyDescent="0.2">
      <c r="O452" s="22" t="s">
        <v>2422</v>
      </c>
    </row>
    <row r="453" spans="15:15" x14ac:dyDescent="0.2">
      <c r="O453" s="22" t="s">
        <v>2873</v>
      </c>
    </row>
    <row r="454" spans="15:15" x14ac:dyDescent="0.2">
      <c r="O454" s="22" t="s">
        <v>2874</v>
      </c>
    </row>
    <row r="455" spans="15:15" x14ac:dyDescent="0.2">
      <c r="O455" s="22" t="s">
        <v>2875</v>
      </c>
    </row>
    <row r="456" spans="15:15" x14ac:dyDescent="0.2">
      <c r="O456" s="22" t="s">
        <v>2876</v>
      </c>
    </row>
    <row r="457" spans="15:15" x14ac:dyDescent="0.2">
      <c r="O457" s="22" t="s">
        <v>2877</v>
      </c>
    </row>
    <row r="458" spans="15:15" x14ac:dyDescent="0.2">
      <c r="O458" s="22" t="s">
        <v>2878</v>
      </c>
    </row>
    <row r="459" spans="15:15" x14ac:dyDescent="0.2">
      <c r="O459" s="22" t="s">
        <v>2879</v>
      </c>
    </row>
    <row r="460" spans="15:15" x14ac:dyDescent="0.2">
      <c r="O460" s="22" t="s">
        <v>2880</v>
      </c>
    </row>
    <row r="461" spans="15:15" x14ac:dyDescent="0.2">
      <c r="O461" s="22" t="s">
        <v>2920</v>
      </c>
    </row>
    <row r="462" spans="15:15" x14ac:dyDescent="0.2">
      <c r="O462" s="22" t="s">
        <v>2881</v>
      </c>
    </row>
    <row r="463" spans="15:15" x14ac:dyDescent="0.2">
      <c r="O463" s="22" t="s">
        <v>2882</v>
      </c>
    </row>
    <row r="464" spans="15:15" x14ac:dyDescent="0.2">
      <c r="O464" s="22" t="s">
        <v>2883</v>
      </c>
    </row>
    <row r="465" spans="15:15" x14ac:dyDescent="0.2">
      <c r="O465" s="22" t="s">
        <v>2884</v>
      </c>
    </row>
    <row r="466" spans="15:15" x14ac:dyDescent="0.2">
      <c r="O466" s="22" t="s">
        <v>2885</v>
      </c>
    </row>
    <row r="467" spans="15:15" x14ac:dyDescent="0.2">
      <c r="O467" s="22" t="s">
        <v>2886</v>
      </c>
    </row>
    <row r="468" spans="15:15" x14ac:dyDescent="0.2">
      <c r="O468" s="22" t="s">
        <v>2887</v>
      </c>
    </row>
    <row r="469" spans="15:15" x14ac:dyDescent="0.2">
      <c r="O469" s="22" t="s">
        <v>2926</v>
      </c>
    </row>
    <row r="470" spans="15:15" x14ac:dyDescent="0.2">
      <c r="O470" s="22" t="s">
        <v>2888</v>
      </c>
    </row>
    <row r="471" spans="15:15" x14ac:dyDescent="0.2">
      <c r="O471" s="22" t="s">
        <v>2889</v>
      </c>
    </row>
    <row r="472" spans="15:15" x14ac:dyDescent="0.2">
      <c r="O472" s="22" t="s">
        <v>2890</v>
      </c>
    </row>
    <row r="473" spans="15:15" x14ac:dyDescent="0.2">
      <c r="O473" s="22" t="s">
        <v>2891</v>
      </c>
    </row>
    <row r="474" spans="15:15" x14ac:dyDescent="0.2">
      <c r="O474" s="22" t="s">
        <v>2892</v>
      </c>
    </row>
    <row r="475" spans="15:15" x14ac:dyDescent="0.2">
      <c r="O475" s="22" t="s">
        <v>2893</v>
      </c>
    </row>
    <row r="476" spans="15:15" x14ac:dyDescent="0.2">
      <c r="O476" s="22" t="s">
        <v>2894</v>
      </c>
    </row>
    <row r="477" spans="15:15" x14ac:dyDescent="0.2">
      <c r="O477" s="22" t="s">
        <v>2895</v>
      </c>
    </row>
    <row r="478" spans="15:15" x14ac:dyDescent="0.2">
      <c r="O478" s="22" t="s">
        <v>2896</v>
      </c>
    </row>
    <row r="479" spans="15:15" x14ac:dyDescent="0.2">
      <c r="O479" s="22" t="s">
        <v>2897</v>
      </c>
    </row>
    <row r="480" spans="15:15" x14ac:dyDescent="0.2">
      <c r="O480" s="22" t="s">
        <v>2898</v>
      </c>
    </row>
    <row r="481" spans="15:15" x14ac:dyDescent="0.2">
      <c r="O481" s="22" t="s">
        <v>2899</v>
      </c>
    </row>
    <row r="482" spans="15:15" x14ac:dyDescent="0.2">
      <c r="O482" s="22" t="s">
        <v>2900</v>
      </c>
    </row>
    <row r="483" spans="15:15" x14ac:dyDescent="0.2">
      <c r="O483" s="22" t="s">
        <v>2901</v>
      </c>
    </row>
    <row r="484" spans="15:15" x14ac:dyDescent="0.2">
      <c r="O484" s="22" t="s">
        <v>2902</v>
      </c>
    </row>
    <row r="485" spans="15:15" x14ac:dyDescent="0.2">
      <c r="O485" s="22" t="s">
        <v>2903</v>
      </c>
    </row>
    <row r="486" spans="15:15" x14ac:dyDescent="0.2">
      <c r="O486" s="22" t="s">
        <v>2904</v>
      </c>
    </row>
    <row r="487" spans="15:15" x14ac:dyDescent="0.2">
      <c r="O487" s="22" t="s">
        <v>2905</v>
      </c>
    </row>
    <row r="488" spans="15:15" x14ac:dyDescent="0.2">
      <c r="O488" s="22" t="s">
        <v>2906</v>
      </c>
    </row>
    <row r="489" spans="15:15" x14ac:dyDescent="0.2">
      <c r="O489" s="22" t="s">
        <v>2907</v>
      </c>
    </row>
    <row r="490" spans="15:15" x14ac:dyDescent="0.2">
      <c r="O490" s="22" t="s">
        <v>2908</v>
      </c>
    </row>
    <row r="491" spans="15:15" x14ac:dyDescent="0.2">
      <c r="O491" s="22" t="s">
        <v>2909</v>
      </c>
    </row>
    <row r="492" spans="15:15" x14ac:dyDescent="0.2">
      <c r="O492" s="22" t="s">
        <v>2910</v>
      </c>
    </row>
    <row r="493" spans="15:15" x14ac:dyDescent="0.2">
      <c r="O493" s="22" t="s">
        <v>2911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</vt:i4>
      </vt:variant>
    </vt:vector>
  </HeadingPairs>
  <TitlesOfParts>
    <vt:vector size="12" baseType="lpstr">
      <vt:lpstr>메인</vt:lpstr>
      <vt:lpstr>인덴트관리</vt:lpstr>
      <vt:lpstr>PO관리</vt:lpstr>
      <vt:lpstr>dupl_po</vt:lpstr>
      <vt:lpstr>code</vt:lpstr>
      <vt:lpstr>validation</vt:lpstr>
      <vt:lpstr>매출채권</vt:lpstr>
      <vt:lpstr>부서명</vt:lpstr>
      <vt:lpstr>시즌년도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2021-10-26T10:36:29Z</dcterms:modified>
</cp:coreProperties>
</file>