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8AFD4E24-3B60-424A-982C-C2F009328004}" xr6:coauthVersionLast="47" xr6:coauthVersionMax="47" xr10:uidLastSave="{00000000-0000-0000-0000-000000000000}"/>
  <bookViews>
    <workbookView xWindow="-120" yWindow="-120" windowWidth="29040" windowHeight="15840" activeTab="7" xr2:uid="{1495E52A-5A5E-4982-8CD0-691CDD8AE2D9}"/>
  </bookViews>
  <sheets>
    <sheet name="인덴트관리" sheetId="4" r:id="rId1"/>
    <sheet name="인덴트_임시" sheetId="12" state="hidden" r:id="rId2"/>
    <sheet name="PO관리" sheetId="8" r:id="rId3"/>
    <sheet name="체크리스트" sheetId="14" r:id="rId4"/>
    <sheet name="지출계획" sheetId="10" state="hidden" r:id="rId5"/>
    <sheet name="매출채권" sheetId="11" state="hidden" r:id="rId6"/>
    <sheet name="발주서" sheetId="15" r:id="rId7"/>
    <sheet name="Tracking" sheetId="16" r:id="rId8"/>
    <sheet name="validation" sheetId="2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" i="15" l="1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<sst xmlns="http://schemas.openxmlformats.org/spreadsheetml/2006/main" count="2138" uniqueCount="1559">
  <si>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</si>
  <si>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</si>
  <si>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</si>
  <si>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</si>
  <si>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</si>
  <si>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</si>
  <si>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</si>
  <si>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</si>
  <si>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</si>
  <si>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</si>
  <si>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</si>
  <si>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</si>
  <si>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</si>
  <si>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</si>
  <si>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</si>
  <si>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</si>
  <si>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</si>
  <si>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</si>
  <si>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</si>
  <si>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</si>
  <si>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</si>
  <si>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</si>
  <si>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</si>
  <si>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</si>
  <si>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</si>
  <si>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STATUS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</si>
  <si>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</si>
  <si>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</si>
  <si>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</si>
  <si>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</si>
  <si>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</si>
  <si>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</si>
  <si>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</si>
  <si>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</si>
  <si>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</si>
  <si>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</si>
  <si>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</si>
  <si>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</si>
  <si>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</si>
  <si>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</si>
  <si>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</si>
  <si>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</si>
  <si>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</si>
  <si>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</si>
  <si>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</si>
  <si>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</si>
  <si>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</si>
  <si>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</si>
  <si>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</si>
  <si>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</si>
  <si>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</si>
  <si>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</si>
  <si>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</si>
  <si>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</si>
  <si>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</si>
  <si>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</si>
  <si>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</si>
  <si>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</si>
  <si>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</si>
  <si>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</si>
  <si>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</si>
  <si>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</si>
  <si>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</si>
  <si>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</si>
  <si>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</si>
  <si>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</si>
  <si>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</si>
  <si>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</si>
  <si>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</si>
  <si>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</si>
  <si>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</si>
  <si>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</si>
  <si>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</si>
  <si>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</si>
  <si>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</si>
  <si>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</si>
  <si>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</si>
  <si>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</si>
  <si>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</si>
  <si>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</si>
  <si>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</si>
  <si>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</si>
  <si>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</si>
  <si>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</si>
  <si>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</si>
  <si>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</si>
  <si>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</si>
  <si>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</si>
  <si>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</si>
  <si>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</si>
  <si>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</si>
  <si>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</si>
  <si>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</si>
  <si>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</si>
  <si>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</si>
  <si>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</si>
  <si>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</si>
  <si>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</si>
  <si>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</si>
  <si>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</si>
  <si>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</si>
  <si>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</si>
  <si>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</si>
  <si>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</si>
  <si>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</si>
  <si>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</si>
  <si>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</si>
  <si>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</si>
  <si>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</si>
  <si>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</si>
  <si>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</si>
  <si>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</si>
  <si>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</si>
  <si>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</si>
  <si>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</si>
  <si>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</si>
  <si>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</si>
  <si>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</si>
  <si>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</si>
  <si>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</si>
  <si>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</si>
  <si>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</si>
  <si>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</si>
  <si>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</si>
  <si>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</si>
  <si>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</si>
  <si>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</si>
  <si>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</si>
  <si>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</si>
  <si>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</si>
  <si>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</si>
  <si>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</si>
  <si>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</si>
  <si>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</si>
  <si>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</si>
  <si>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</si>
  <si>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</si>
  <si>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</si>
  <si>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</si>
  <si>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</si>
  <si>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</si>
  <si>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</si>
  <si>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</si>
  <si>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</si>
  <si>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</si>
  <si>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</si>
  <si>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</si>
  <si>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</si>
  <si>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</si>
  <si>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</si>
  <si>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</si>
  <si>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</si>
  <si>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</si>
  <si>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</si>
  <si>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</si>
  <si>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</si>
  <si>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</si>
  <si>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</si>
  <si>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</si>
  <si>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</si>
  <si>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</si>
  <si>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</si>
  <si>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</si>
  <si>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</si>
  <si>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</si>
  <si>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</si>
  <si>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</si>
  <si>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</si>
  <si>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</si>
  <si>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</si>
  <si>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</si>
  <si>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</si>
  <si>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</si>
  <si>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</si>
  <si>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</si>
  <si>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</si>
  <si>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</si>
  <si>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</si>
  <si>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</si>
  <si>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</si>
  <si>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</si>
  <si>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</si>
  <si>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</si>
  <si>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</si>
  <si>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</si>
  <si>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</si>
  <si>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</si>
  <si>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</si>
  <si>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</si>
  <si>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</si>
  <si>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</si>
  <si>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</si>
  <si>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</si>
  <si>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</si>
  <si>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</si>
  <si>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</si>
  <si>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</si>
  <si>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</si>
  <si>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</si>
  <si>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</si>
  <si>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</si>
  <si>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</si>
  <si>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</si>
  <si>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</si>
  <si>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</si>
  <si>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</si>
  <si>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</si>
  <si>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5팀</t>
  </si>
  <si>
    <t>Style/PO#</t>
    <phoneticPr fontId="1" type="noConversion"/>
  </si>
  <si>
    <t>* PO Type</t>
    <phoneticPr fontId="1" type="noConversion"/>
  </si>
  <si>
    <t>Buyer PO</t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</si>
  <si>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</si>
  <si>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</si>
  <si>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</si>
  <si>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</si>
  <si>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</si>
  <si>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</si>
  <si>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</si>
  <si>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</si>
  <si>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</si>
  <si>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</si>
  <si>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</si>
  <si>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</si>
  <si>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</si>
  <si>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</si>
  <si>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</si>
  <si>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</si>
  <si>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</si>
  <si>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</si>
  <si>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</si>
  <si>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</si>
  <si>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Hung Yen Co., Ltd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</si>
  <si>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</si>
  <si>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</si>
  <si>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</si>
  <si>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</si>
  <si>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</si>
  <si>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</si>
  <si>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</si>
  <si>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</si>
  <si>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</si>
  <si>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</si>
  <si>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</si>
  <si>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</si>
  <si>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</si>
  <si>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</si>
  <si>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</si>
  <si>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</si>
  <si>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</si>
  <si>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</si>
  <si>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</si>
  <si>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</si>
  <si>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</si>
  <si>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</si>
  <si>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</si>
  <si>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</si>
  <si>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</si>
  <si>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</si>
  <si>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</si>
  <si>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</si>
  <si>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</si>
  <si>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</si>
  <si>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</si>
  <si>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</si>
  <si>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</si>
  <si>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</si>
  <si>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</si>
  <si>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</si>
  <si>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</si>
  <si>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</si>
  <si>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</si>
  <si>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</si>
  <si>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</si>
  <si>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</si>
  <si>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</si>
  <si>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</si>
  <si>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</si>
  <si>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</si>
  <si>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</si>
  <si>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</si>
  <si>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</si>
  <si>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</si>
  <si>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</si>
  <si>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</si>
  <si>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</si>
  <si>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</si>
  <si>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</si>
  <si>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</si>
  <si>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</si>
  <si>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</si>
  <si>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</si>
  <si>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</si>
  <si>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</si>
  <si>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</si>
  <si>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</si>
  <si>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</si>
  <si>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</si>
  <si>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</si>
  <si>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</si>
  <si>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</si>
  <si>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</si>
  <si>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</si>
  <si>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</si>
  <si>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</si>
  <si>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</si>
  <si>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</si>
  <si>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</si>
  <si>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</si>
  <si>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</si>
  <si>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</si>
  <si>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</si>
  <si>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</si>
  <si>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</si>
  <si>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</si>
  <si>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</si>
  <si>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</si>
  <si>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</si>
  <si>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</si>
  <si>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</si>
  <si>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</si>
  <si>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</si>
  <si>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</si>
  <si>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</si>
  <si>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</si>
  <si>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</si>
  <si>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</si>
  <si>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</si>
  <si>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</si>
  <si>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</si>
  <si>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</si>
  <si>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</si>
  <si>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</si>
  <si>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</si>
  <si>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</si>
  <si>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</si>
  <si>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</si>
  <si>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</si>
  <si>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</si>
  <si>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</si>
  <si>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</si>
  <si>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</si>
  <si>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</si>
  <si>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</si>
  <si>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</si>
  <si>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</si>
  <si>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</si>
  <si>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</si>
  <si>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</si>
  <si>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</si>
  <si>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</si>
  <si>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</si>
  <si>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</si>
  <si>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</si>
  <si>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</si>
  <si>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</si>
  <si>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</si>
  <si>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</si>
  <si>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</si>
  <si>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</si>
  <si>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</si>
  <si>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</si>
  <si>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</si>
  <si>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</si>
  <si>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</si>
  <si>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</si>
  <si>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</si>
  <si>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</si>
  <si>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</si>
  <si>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</si>
  <si>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</si>
  <si>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</si>
  <si>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</si>
  <si>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</si>
  <si>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</si>
  <si>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</si>
  <si>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</si>
  <si>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</si>
  <si>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</si>
  <si>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</si>
  <si>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</si>
  <si>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</si>
  <si>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</si>
  <si>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</si>
  <si>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</si>
  <si>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</si>
  <si>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</si>
  <si>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</si>
  <si>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</si>
  <si>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</si>
  <si>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</si>
  <si>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</si>
  <si>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</si>
  <si>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</si>
  <si>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</si>
  <si>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</si>
  <si>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</si>
  <si>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</si>
  <si>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</si>
  <si>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</si>
  <si>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</si>
  <si>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</si>
  <si>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</si>
  <si>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</si>
  <si>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</si>
  <si>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</si>
  <si>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</si>
  <si>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</si>
  <si>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</si>
  <si>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</si>
  <si>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</si>
  <si>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</si>
  <si>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</si>
  <si>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</si>
  <si>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</si>
  <si>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</si>
  <si>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</si>
  <si>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</si>
  <si>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</si>
  <si>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</si>
  <si>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</si>
  <si>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</si>
  <si>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</si>
  <si>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</si>
  <si>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</si>
  <si>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</si>
  <si>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</si>
  <si>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</si>
  <si>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</si>
  <si>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</si>
  <si>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</si>
  <si>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</si>
  <si>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</si>
  <si>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</si>
  <si>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</si>
  <si>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</si>
  <si>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</si>
  <si>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</si>
  <si>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</si>
  <si>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</si>
  <si>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</si>
  <si>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</si>
  <si>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</si>
  <si>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</si>
  <si>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</si>
  <si>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</si>
  <si>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</si>
  <si>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</si>
  <si>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</si>
  <si>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</si>
  <si>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</si>
  <si>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</si>
  <si>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</si>
  <si>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</si>
  <si>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</si>
  <si>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</si>
  <si>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</si>
  <si>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</si>
  <si>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</si>
  <si>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</si>
  <si>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</si>
  <si>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</si>
  <si>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</si>
  <si>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</si>
  <si>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</si>
  <si>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</si>
  <si>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</si>
  <si>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</si>
  <si>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</si>
  <si>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</si>
  <si>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</si>
  <si>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</si>
  <si>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</si>
  <si>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</si>
  <si>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</si>
  <si>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</si>
  <si>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</si>
  <si>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</si>
  <si>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</si>
  <si>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</si>
  <si>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</si>
  <si>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</si>
  <si>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</si>
  <si>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</si>
  <si>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</si>
  <si>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</si>
  <si>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</si>
  <si>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</si>
  <si>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</si>
  <si>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</si>
  <si>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</si>
  <si>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</si>
  <si>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</si>
  <si>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</si>
  <si>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</si>
  <si>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</si>
  <si>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</si>
  <si>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</si>
  <si>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</si>
  <si>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</si>
  <si>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</si>
  <si>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</si>
  <si>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</si>
  <si>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</si>
  <si>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</si>
  <si>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</si>
  <si>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</si>
  <si>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</si>
  <si>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</si>
  <si>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</si>
  <si>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</si>
  <si>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</si>
  <si>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</si>
  <si>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</si>
  <si>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</si>
  <si>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</si>
  <si>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</si>
  <si>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</si>
  <si>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</si>
  <si>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</si>
  <si>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</si>
  <si>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</si>
  <si>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</si>
  <si>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</si>
  <si>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</si>
  <si>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</si>
  <si>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</si>
  <si>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</si>
  <si>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</si>
  <si>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</si>
  <si>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</si>
  <si>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</si>
  <si>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</si>
  <si>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</si>
  <si>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</si>
  <si>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</si>
  <si>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</si>
  <si>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</si>
  <si>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</si>
  <si>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</si>
  <si>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</si>
  <si>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</si>
  <si>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</si>
  <si>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</si>
  <si>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</si>
  <si>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</si>
  <si>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</si>
  <si>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</si>
  <si>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</si>
  <si>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</si>
  <si>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</si>
  <si>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</si>
  <si>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</si>
  <si>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</si>
  <si>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</si>
  <si>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</si>
  <si>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</si>
  <si>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</si>
  <si>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</si>
  <si>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</si>
  <si>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</si>
  <si>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</si>
  <si>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</si>
  <si>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</si>
  <si>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</si>
  <si>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Sage Pomegranate FLORAL PRINT AM2133_042APv1c</t>
  </si>
  <si>
    <t>Sage Pomegranate FLORAL PRINT AM2133_042APv1c4</t>
  </si>
  <si>
    <t>Sandshell</t>
  </si>
  <si>
    <t>seersucker</t>
  </si>
  <si>
    <t>Shadow Pantone 17-6206 TCX SHADOW</t>
  </si>
  <si>
    <t>SHARP GREEN</t>
  </si>
  <si>
    <t>Shell AM2233_023APv1c</t>
  </si>
  <si>
    <t xml:space="preserve">SIDE PANEL CB - Deep sea navy CB </t>
  </si>
  <si>
    <t>sky cap  w mktg</t>
  </si>
  <si>
    <t>sky captain</t>
  </si>
  <si>
    <t>SKY CAPTAIN 19-3922 TCX</t>
  </si>
  <si>
    <t>Sky Captain Pantone19-3922 TCX SKY CAPTAIN</t>
  </si>
  <si>
    <t>SKY CAPTAIN PIPING PANTONE 19-3922 TCX SKY CA</t>
  </si>
  <si>
    <t>SKY CAPTAIN PIPING PANTONE 19-3922 TCX SKY CAPTAIN</t>
  </si>
  <si>
    <t>SKY CAPTAIN PIPING Pantone 19-3922 TCX Sky Cp</t>
  </si>
  <si>
    <t>SKY CAPTAIN PIPING Pantone 19-3922 TCX Sky Cpatain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</si>
  <si>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</si>
  <si>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</si>
  <si>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</si>
  <si>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</si>
  <si>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</si>
  <si>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</si>
  <si>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</si>
  <si>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</si>
  <si>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</si>
  <si>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</si>
  <si>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</si>
  <si>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</si>
  <si>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</si>
  <si>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</si>
  <si>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</si>
  <si>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</si>
  <si>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</si>
  <si>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</si>
  <si>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</si>
  <si>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</si>
  <si>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</si>
  <si>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</si>
  <si>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</si>
  <si>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</si>
  <si>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</si>
  <si>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</si>
  <si>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</si>
  <si>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</si>
  <si>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</si>
  <si>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</si>
  <si>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</si>
  <si>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</si>
  <si>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</si>
  <si>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</si>
  <si>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</si>
  <si>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</si>
  <si>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</si>
  <si>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</si>
  <si>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</si>
  <si>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</si>
  <si>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</si>
  <si>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</si>
  <si>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</si>
  <si>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</si>
  <si>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</si>
  <si>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</si>
  <si>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</si>
  <si>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</si>
  <si>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</si>
  <si>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</si>
  <si>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</si>
  <si>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</si>
  <si>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</si>
  <si>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</si>
  <si>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</si>
  <si>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</si>
  <si>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</si>
  <si>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</si>
  <si>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</si>
  <si>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</si>
  <si>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</si>
  <si>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</si>
  <si>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</si>
  <si>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</si>
  <si>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</si>
  <si>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</si>
  <si>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</si>
  <si>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</si>
  <si>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</si>
  <si>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</si>
  <si>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</si>
  <si>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</si>
  <si>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</si>
  <si>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</si>
  <si>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</si>
  <si>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</si>
  <si>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</si>
  <si>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</si>
  <si>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</si>
  <si>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</si>
  <si>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</si>
  <si>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</si>
  <si>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</si>
  <si>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</si>
  <si>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</si>
  <si>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</si>
  <si>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</si>
  <si>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</si>
  <si>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</si>
  <si>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</si>
  <si>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</si>
  <si>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</si>
  <si>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</si>
  <si>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</si>
  <si>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</si>
  <si>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</si>
  <si>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</si>
  <si>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</si>
  <si>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</si>
  <si>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</si>
  <si>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</si>
  <si>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</si>
  <si>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</si>
  <si>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</si>
  <si>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</si>
  <si>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</si>
  <si>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</si>
  <si>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</si>
  <si>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</si>
  <si>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</si>
  <si>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</si>
  <si>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</si>
  <si>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</si>
  <si>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</si>
  <si>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</si>
  <si>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</si>
  <si>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</si>
  <si>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</si>
  <si>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</si>
  <si>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</si>
  <si>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</si>
  <si>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</si>
  <si>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</si>
  <si>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</si>
  <si>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</si>
  <si>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</si>
  <si>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</si>
  <si>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</si>
  <si>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</si>
  <si>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</si>
  <si>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</si>
  <si>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</si>
  <si>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</si>
  <si>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</si>
  <si>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</si>
  <si>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</si>
  <si>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</si>
  <si>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</si>
  <si>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</si>
  <si>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</si>
  <si>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</si>
  <si>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</si>
  <si>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</si>
  <si>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</si>
  <si>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</si>
  <si>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</si>
  <si>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</si>
  <si>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</si>
  <si>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</si>
  <si>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</si>
  <si>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</si>
  <si>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</si>
  <si>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</si>
  <si>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</si>
  <si>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</si>
  <si>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</si>
  <si>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</si>
  <si>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</si>
  <si>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</si>
  <si>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</si>
  <si>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</si>
  <si>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</si>
  <si>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</si>
  <si>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</si>
  <si>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</si>
  <si>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</si>
  <si>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</si>
  <si>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</si>
  <si>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</si>
  <si>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</si>
  <si>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</si>
  <si>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</si>
  <si>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</si>
  <si>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</si>
  <si>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</si>
  <si>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</si>
  <si>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</si>
  <si>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</si>
  <si>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</si>
  <si>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</si>
  <si>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</si>
  <si>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</si>
  <si>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</si>
  <si>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</si>
  <si>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</si>
  <si>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</si>
  <si>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</si>
  <si>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</si>
  <si>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</si>
  <si>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</si>
  <si>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</si>
  <si>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</si>
  <si>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</si>
  <si>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</si>
  <si>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</si>
  <si>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</si>
  <si>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</si>
  <si>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</si>
  <si>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</si>
  <si>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</si>
  <si>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</si>
  <si>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</si>
  <si>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</si>
  <si>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</si>
  <si>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</si>
  <si>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</si>
  <si>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</si>
  <si>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</si>
  <si>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</si>
  <si>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</si>
  <si>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</si>
  <si>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</si>
  <si>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</si>
  <si>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</si>
  <si>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</si>
  <si>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</si>
  <si>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</si>
  <si>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</si>
  <si>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</si>
  <si>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</si>
  <si>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</si>
  <si>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</si>
  <si>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</si>
  <si>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</si>
  <si>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</si>
  <si>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</si>
  <si>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</si>
  <si>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</si>
  <si>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</si>
  <si>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</si>
  <si>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</si>
  <si>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</si>
  <si>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</si>
  <si>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</si>
  <si>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</si>
  <si>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</si>
  <si>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</si>
  <si>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</si>
  <si>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</si>
  <si>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</si>
  <si>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</si>
  <si>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</si>
  <si>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</si>
  <si>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</si>
  <si>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</si>
  <si>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</si>
  <si>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</si>
  <si>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</si>
  <si>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</si>
  <si>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</si>
  <si>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</si>
  <si>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</si>
  <si>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</si>
  <si>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</si>
  <si>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</si>
  <si>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</si>
  <si>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</si>
  <si>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</si>
  <si>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</si>
  <si>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</si>
  <si>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</si>
  <si>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</si>
  <si>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</si>
  <si>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</si>
  <si>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</si>
  <si>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</si>
  <si>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</si>
  <si>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</si>
  <si>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</si>
  <si>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</si>
  <si>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</si>
  <si>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</si>
  <si>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</si>
  <si>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</si>
  <si>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</si>
  <si>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</si>
  <si>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</si>
  <si>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</si>
  <si>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</si>
  <si>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</si>
  <si>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</si>
  <si>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</si>
  <si>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</si>
  <si>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</si>
  <si>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</si>
  <si>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</si>
  <si>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</si>
  <si>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</si>
  <si>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</si>
  <si>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</si>
  <si>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</si>
  <si>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</si>
  <si>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</si>
  <si>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</si>
  <si>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</si>
  <si>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</si>
  <si>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</si>
  <si>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</si>
  <si>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</si>
  <si>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</si>
  <si>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</si>
  <si>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</si>
  <si>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</si>
  <si>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</si>
  <si>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</si>
  <si>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</si>
  <si>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</si>
  <si>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</si>
  <si>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</si>
  <si>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</si>
  <si>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</si>
  <si>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</si>
  <si>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</si>
  <si>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</si>
  <si>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</si>
  <si>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</si>
  <si>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</si>
  <si>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</si>
  <si>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</si>
  <si>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</si>
  <si>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</si>
  <si>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</si>
  <si>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</si>
  <si>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</si>
  <si>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</si>
  <si>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</si>
  <si>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</si>
  <si>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</si>
  <si>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</si>
  <si>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</si>
  <si>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</si>
  <si>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</si>
  <si>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</si>
  <si>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</si>
  <si>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</si>
  <si>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</si>
  <si>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</si>
  <si>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</si>
  <si>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</si>
  <si>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</si>
  <si>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</si>
  <si>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</si>
  <si>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</si>
  <si>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</si>
  <si>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</si>
  <si>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</si>
  <si>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</si>
  <si>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</si>
  <si>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</si>
  <si>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</si>
  <si>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</si>
  <si>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</si>
  <si>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</si>
  <si>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</si>
  <si>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</si>
  <si>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</si>
  <si>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</si>
  <si>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</si>
  <si>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</si>
  <si>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</si>
  <si>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</si>
  <si>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</si>
  <si>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</si>
  <si>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</si>
  <si>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</si>
  <si>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</si>
  <si>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</si>
  <si>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</si>
  <si>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</si>
  <si>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</si>
  <si>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</si>
  <si>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</si>
  <si>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</si>
  <si>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</si>
  <si>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</si>
  <si>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</si>
  <si>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</si>
  <si>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</si>
  <si>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</si>
  <si>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</si>
  <si>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</si>
  <si>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</si>
  <si>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</si>
  <si>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</si>
  <si>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</si>
  <si>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</si>
  <si>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</si>
  <si>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</si>
  <si>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</si>
  <si>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</si>
  <si>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</si>
  <si>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</si>
  <si>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</si>
  <si>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</si>
  <si>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</si>
  <si>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</si>
  <si>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</si>
  <si>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</si>
  <si>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</si>
  <si>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</si>
  <si>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</si>
  <si>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</si>
  <si>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</si>
  <si>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</si>
  <si>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</si>
  <si>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</si>
  <si>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</si>
  <si>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</si>
  <si>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</si>
  <si>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</si>
  <si>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</si>
  <si>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</si>
  <si>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</si>
  <si>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</si>
  <si>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</si>
  <si>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</si>
  <si>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</si>
  <si>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</si>
  <si>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</si>
  <si>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</si>
  <si>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</si>
  <si>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</si>
  <si>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</si>
  <si>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</si>
  <si>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</si>
  <si>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</si>
  <si>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</si>
  <si>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</si>
  <si>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</si>
  <si>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</si>
  <si>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</si>
  <si>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</si>
  <si>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</si>
  <si>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</si>
  <si>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</si>
  <si>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</si>
  <si>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</si>
  <si>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</si>
  <si>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</si>
  <si>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</si>
  <si>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</si>
  <si>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</si>
  <si>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</si>
  <si>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</si>
  <si>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</si>
  <si>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</si>
  <si>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</si>
  <si>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</si>
  <si>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</si>
  <si>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</si>
  <si>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</si>
  <si>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</si>
  <si>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</si>
  <si>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</si>
  <si>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</si>
  <si>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</si>
  <si>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</si>
  <si>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</si>
  <si>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</si>
  <si>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</si>
  <si>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</si>
  <si>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</si>
  <si>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</si>
  <si>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</si>
  <si>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</si>
  <si>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</si>
  <si>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</si>
  <si>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</si>
  <si>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</si>
  <si>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</si>
  <si>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</si>
  <si>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</si>
  <si>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</si>
  <si>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</si>
  <si>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</si>
  <si>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</si>
  <si>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</si>
  <si>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</si>
  <si>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</si>
  <si>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</si>
  <si>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</si>
  <si>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</si>
  <si>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</si>
  <si>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</si>
  <si>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</si>
  <si>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</si>
  <si>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</si>
  <si>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</si>
  <si>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</si>
  <si>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</si>
  <si>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</si>
  <si>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</si>
  <si>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</si>
  <si>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</si>
  <si>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</si>
  <si>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</si>
  <si>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</si>
  <si>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</si>
  <si>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</si>
  <si>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</si>
  <si>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</si>
  <si>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</si>
  <si>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</si>
  <si>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</si>
  <si>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</si>
  <si>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</si>
  <si>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</si>
  <si>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</si>
  <si>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</si>
  <si>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</si>
  <si>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</si>
  <si>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</si>
  <si>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</si>
  <si>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</si>
  <si>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</si>
  <si>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</si>
  <si>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</si>
  <si>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</si>
  <si>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</si>
  <si>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</si>
  <si>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</si>
  <si>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</si>
  <si>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</si>
  <si>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</si>
  <si>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</si>
  <si>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</si>
  <si>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</si>
  <si>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</si>
  <si>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</si>
  <si>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</si>
  <si>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</si>
  <si>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</si>
  <si>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</si>
  <si>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</si>
  <si>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</si>
  <si>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</si>
  <si>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</si>
  <si>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</si>
  <si>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</si>
  <si>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</si>
  <si>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</si>
  <si>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Maurices</t>
  </si>
  <si>
    <t>DHGK-2143</t>
  </si>
  <si>
    <t>ESGM22742KM</t>
  </si>
  <si>
    <t>DHGK-2144</t>
  </si>
  <si>
    <t>ESGM22717KMW</t>
  </si>
  <si>
    <t>DHGK-2145</t>
  </si>
  <si>
    <t>ESGM22714KM</t>
  </si>
  <si>
    <t>DHGK-2146</t>
  </si>
  <si>
    <t>ESGM21731KM</t>
  </si>
  <si>
    <t>DHGK-2147</t>
  </si>
  <si>
    <t>ESGM22748J</t>
  </si>
  <si>
    <t>DHGK-2148</t>
  </si>
  <si>
    <t>ESGM22755KM</t>
  </si>
  <si>
    <t>DHGK-2149</t>
  </si>
  <si>
    <t>ESGM21708J</t>
  </si>
  <si>
    <t>DHGK-2150</t>
  </si>
  <si>
    <t>ESGM22768KM</t>
  </si>
  <si>
    <t>DHGK-2151</t>
  </si>
  <si>
    <t>ESGM22800KM</t>
  </si>
  <si>
    <t>DHGK-2152</t>
  </si>
  <si>
    <t>ESGM22832</t>
  </si>
  <si>
    <t>DHGK-2153</t>
  </si>
  <si>
    <t>ESGM21804KM</t>
  </si>
  <si>
    <t>DHGK-2154</t>
  </si>
  <si>
    <t>ESGM22839KM</t>
  </si>
  <si>
    <t>DHGK-2155</t>
  </si>
  <si>
    <t>ACB22804KM</t>
  </si>
  <si>
    <t>DHGK-2156</t>
  </si>
  <si>
    <t>ESGM22100KM</t>
  </si>
  <si>
    <t>DHGK-2157</t>
  </si>
  <si>
    <t>ESGM22109KM</t>
  </si>
  <si>
    <t>DHGK-2158</t>
  </si>
  <si>
    <t>APB22994J</t>
  </si>
  <si>
    <t>Activate</t>
  </si>
  <si>
    <t>XS</t>
  </si>
  <si>
    <t>MAGENTA</t>
  </si>
  <si>
    <t>SAPPHIRE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</si>
  <si>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</si>
  <si>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</si>
  <si>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</si>
  <si>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</si>
  <si>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</si>
  <si>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</si>
  <si>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</si>
  <si>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</si>
  <si>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</si>
  <si>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</si>
  <si>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</si>
  <si>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1 of Total 1 Page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</si>
  <si>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</si>
  <si>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</si>
  <si>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</si>
  <si>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</si>
  <si>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</si>
  <si>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</si>
  <si>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</si>
  <si>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</si>
  <si>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</si>
  <si>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</si>
  <si>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</si>
  <si>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</si>
  <si>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</si>
  <si>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</si>
  <si>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</si>
  <si>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</si>
  <si>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</si>
  <si>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Trim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</si>
  <si>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</si>
  <si>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</si>
  <si>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</si>
  <si>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</si>
  <si>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</si>
  <si>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</si>
  <si>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</si>
  <si>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</si>
  <si>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</si>
  <si>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</si>
  <si>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</si>
  <si>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</si>
  <si>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</si>
  <si>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</si>
  <si>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</si>
  <si>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</si>
  <si>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</si>
  <si>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</si>
  <si>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</si>
  <si>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</si>
  <si>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</si>
  <si>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</si>
  <si>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</si>
  <si>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</si>
  <si>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</si>
  <si>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</si>
  <si>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</si>
  <si>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</si>
  <si>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</si>
  <si>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</si>
  <si>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</si>
  <si>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</si>
  <si>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</si>
  <si>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</si>
  <si>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</si>
  <si>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</si>
  <si>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</si>
  <si>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</si>
  <si>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</si>
  <si>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</si>
  <si>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</si>
  <si>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</si>
  <si>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</si>
  <si>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</si>
  <si>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</si>
  <si>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</si>
  <si>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</si>
  <si>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</si>
  <si>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</si>
  <si>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</si>
  <si>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</si>
  <si>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</si>
  <si>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</si>
  <si>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</si>
  <si>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</si>
  <si>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</si>
  <si>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</si>
  <si>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</si>
  <si>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</si>
  <si>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</si>
  <si>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</si>
  <si>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</si>
  <si>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</si>
  <si>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</si>
  <si>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</si>
  <si>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</si>
  <si>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</si>
  <si>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</si>
  <si>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</si>
  <si>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</si>
  <si>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</si>
  <si>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</si>
  <si>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</si>
  <si>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</si>
  <si>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</si>
  <si>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</si>
  <si>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</si>
  <si>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</si>
  <si>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</si>
  <si>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</si>
  <si>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</si>
  <si>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</si>
  <si>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</si>
  <si>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</si>
  <si>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</si>
  <si>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</si>
  <si>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</si>
  <si>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</si>
  <si>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</si>
  <si>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</si>
  <si>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</si>
  <si>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</si>
  <si>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</si>
  <si>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</si>
  <si>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</si>
  <si>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</si>
  <si>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</si>
  <si>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</si>
  <si>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</si>
  <si>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</si>
  <si>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</si>
  <si>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</si>
  <si>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</si>
  <si>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</si>
  <si>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</si>
  <si>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</si>
  <si>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</si>
  <si>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</si>
  <si>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</si>
  <si>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</si>
  <si>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</si>
  <si>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</si>
  <si>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</si>
  <si>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</si>
  <si>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</si>
  <si>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</si>
  <si>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</si>
  <si>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</si>
  <si>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</si>
  <si>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</si>
  <si>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</si>
  <si>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</si>
  <si>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</si>
  <si>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</si>
  <si>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</si>
  <si>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</si>
  <si>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</si>
  <si>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</si>
  <si>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</si>
  <si>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</si>
  <si>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</si>
  <si>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</si>
  <si>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</si>
  <si>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</si>
  <si>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</si>
  <si>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</si>
  <si>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</si>
  <si>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</si>
  <si>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</si>
  <si>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</si>
  <si>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</si>
  <si>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</si>
  <si>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</si>
  <si>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</si>
  <si>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</si>
  <si>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</si>
  <si>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</si>
  <si>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</si>
  <si>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</si>
  <si>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</si>
  <si>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</si>
  <si>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</si>
  <si>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</si>
  <si>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</si>
  <si>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</si>
  <si>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</si>
  <si>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</si>
  <si>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</si>
  <si>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</si>
  <si>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</si>
  <si>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</si>
  <si>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</si>
  <si>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</si>
  <si>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</si>
  <si>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</si>
  <si>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</si>
  <si>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</si>
  <si>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</si>
  <si>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</si>
  <si>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</si>
  <si>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</si>
  <si>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</si>
  <si>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</si>
  <si>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</si>
  <si>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</si>
  <si>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</si>
  <si>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</si>
  <si>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</si>
  <si>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</si>
  <si>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</si>
  <si>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</si>
  <si>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</si>
  <si>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</si>
  <si>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</si>
  <si>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</si>
  <si>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</si>
  <si>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</si>
  <si>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</si>
  <si>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</si>
  <si>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</si>
  <si>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</si>
  <si>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</si>
  <si>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</si>
  <si>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</si>
  <si>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</si>
  <si>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</si>
  <si>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</si>
  <si>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</si>
  <si>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</si>
  <si>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</si>
  <si>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</si>
  <si>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</si>
  <si>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</si>
  <si>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</si>
  <si>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</si>
  <si>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</si>
  <si>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</si>
  <si>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</si>
  <si>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</si>
  <si>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</si>
  <si>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</si>
  <si>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</si>
  <si>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</si>
  <si>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</si>
  <si>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</si>
  <si>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</si>
  <si>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</si>
  <si>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</si>
  <si>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</si>
  <si>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</si>
  <si>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</si>
  <si>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</si>
  <si>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</si>
  <si>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</si>
  <si>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</si>
  <si>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</si>
  <si>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</si>
  <si>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</si>
  <si>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</si>
  <si>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</si>
  <si>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</si>
  <si>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</si>
  <si>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</si>
  <si>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</si>
  <si>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</si>
  <si>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</si>
  <si>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</si>
  <si>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</si>
  <si>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</si>
  <si>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</si>
  <si>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</si>
  <si>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</si>
  <si>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</si>
  <si>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</si>
  <si>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</si>
  <si>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</si>
  <si>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</si>
  <si>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</si>
  <si>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</si>
  <si>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</si>
  <si>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</si>
  <si>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</si>
  <si>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</si>
  <si>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</si>
  <si>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</si>
  <si>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</si>
  <si>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</si>
  <si>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</si>
  <si>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</si>
  <si>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</si>
  <si>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</si>
  <si>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</si>
  <si>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</si>
  <si>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</si>
  <si>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</si>
  <si>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</si>
  <si>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</si>
  <si>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</si>
  <si>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</si>
  <si>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</si>
  <si>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</si>
  <si>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</si>
  <si>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</si>
  <si>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</si>
  <si>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</si>
  <si>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</si>
  <si>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</si>
  <si>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</si>
  <si>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</si>
  <si>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</si>
  <si>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</si>
  <si>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</si>
  <si>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</si>
  <si>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</si>
  <si>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</si>
  <si>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</si>
  <si>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</si>
  <si>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</si>
  <si>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 1/2" (38mm)"</t>
    <phoneticPr fontId="1" type="noConversion"/>
  </si>
  <si>
    <t>1" (25mm)"</t>
    <phoneticPr fontId="1" type="noConversion"/>
  </si>
  <si>
    <t>1/2 (12mm)</t>
    <phoneticPr fontId="1" type="noConversion"/>
  </si>
  <si>
    <t>1/2" (13MM)"</t>
    <phoneticPr fontId="1" type="noConversion"/>
  </si>
  <si>
    <t>1/4" X 0.15MM"</t>
    <phoneticPr fontId="1" type="noConversion"/>
  </si>
  <si>
    <t>1/4""</t>
    <phoneticPr fontId="1" type="noConversion"/>
  </si>
  <si>
    <t>100D/2-5000MT</t>
    <phoneticPr fontId="1" type="noConversion"/>
  </si>
  <si>
    <t>140D, 140g/m2</t>
    <phoneticPr fontId="1" type="noConversion"/>
  </si>
  <si>
    <t>175g/m2, 59" (150cm)"</t>
    <phoneticPr fontId="1" type="noConversion"/>
  </si>
  <si>
    <t>195g/m2, 59""</t>
    <phoneticPr fontId="1" type="noConversion"/>
  </si>
  <si>
    <t>1X</t>
    <phoneticPr fontId="1" type="noConversion"/>
  </si>
  <si>
    <t>230 g/m2, 58""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</si>
  <si>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</si>
  <si>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</si>
  <si>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</si>
  <si>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3""</t>
    <phoneticPr fontId="1" type="noConversion"/>
  </si>
  <si>
    <t>3/4"</t>
    <phoneticPr fontId="1" type="noConversion"/>
  </si>
  <si>
    <t>3/4" (19mm)"</t>
    <phoneticPr fontId="1" type="noConversion"/>
  </si>
  <si>
    <t>3/8" (10MM)"</t>
    <phoneticPr fontId="1" type="noConversion"/>
  </si>
  <si>
    <t>3/8" (9.5mm)"</t>
    <phoneticPr fontId="1" type="noConversion"/>
  </si>
  <si>
    <t>3/8""</t>
    <phoneticPr fontId="1" type="noConversion"/>
  </si>
  <si>
    <t>3mm, 58/60""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</si>
  <si>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</si>
  <si>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</si>
  <si>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</si>
  <si>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</si>
  <si>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</si>
  <si>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</si>
  <si>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</si>
  <si>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</si>
  <si>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</si>
  <si>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</si>
  <si>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</si>
  <si>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</si>
  <si>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</si>
  <si>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</si>
  <si>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</si>
  <si>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</si>
  <si>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</si>
  <si>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</si>
  <si>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</si>
  <si>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1 of Total 3 Pages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</si>
  <si>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</si>
  <si>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</si>
  <si>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</si>
  <si>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</si>
  <si>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</si>
  <si>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</si>
  <si>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</si>
  <si>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1 of Total 2 Pages</t>
    <phoneticPr fontId="1" type="noConversion"/>
  </si>
  <si>
    <t>최종발주 수량</t>
    <phoneticPr fontId="1" type="noConversion"/>
  </si>
  <si>
    <t>Tracking LABEL</t>
  </si>
  <si>
    <t>American beach tag</t>
  </si>
  <si>
    <t>2nd tag</t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</si>
  <si>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</si>
  <si>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</si>
  <si>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</si>
  <si>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</si>
  <si>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</si>
  <si>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</si>
  <si>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</si>
  <si>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</si>
  <si>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TEST1</t>
  </si>
  <si>
    <t>TEST2</t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</si>
  <si>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</si>
  <si>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</si>
  <si>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</si>
  <si>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</si>
  <si>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</si>
  <si>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</si>
  <si>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</si>
  <si>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</si>
  <si>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Freight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</si>
  <si>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</si>
  <si>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</si>
  <si>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</si>
  <si>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</si>
  <si>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</t>
    <phoneticPr fontId="1" type="noConversion"/>
  </si>
  <si>
    <t>Sea</t>
  </si>
  <si>
    <t>TEST1-2</t>
  </si>
  <si>
    <t>BL2</t>
  </si>
  <si>
    <t>Air</t>
  </si>
  <si>
    <t>BL1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</si>
</sst>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16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25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0" fontId="3" fillId="3" borderId="0" xfId="2" applyNumberFormat="1" applyFont="1" applyFill="1" applyBorder="1" applyAlignment="1">
      <alignment horizontal="right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3" fillId="0" borderId="0" xfId="2" applyNumberFormat="1" applyFont="1" applyAlignment="1">
      <alignment horizontal="right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3" fillId="3" borderId="10" xfId="2" applyNumberFormat="1" applyFont="1" applyFill="1" applyBorder="1" applyAlignment="1">
      <alignment horizontal="right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7" fontId="6" fillId="3" borderId="1" xfId="2" applyNumberFormat="1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178" fontId="3" fillId="3" borderId="13" xfId="2" applyNumberFormat="1" applyFont="1" applyFill="1" applyBorder="1" applyAlignment="1">
      <alignment horizontal="center" vertical="center" shrinkToFit="1"/>
    </xf>
    <xf numFmtId="0" fontId="15" fillId="2" borderId="0" xfId="1" applyFont="1" applyFill="1" applyBorder="1" applyAlignment="1">
      <alignment horizontal="left" vertical="center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14" fontId="3" fillId="3" borderId="13" xfId="2" applyNumberFormat="1" applyFont="1" applyFill="1" applyBorder="1" applyAlignment="1">
      <alignment horizontal="left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134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image" Target="../media/image17.svg"/><Relationship Id="rId26" Type="http://schemas.openxmlformats.org/officeDocument/2006/relationships/hyperlink" Target="#&#52404;&#53356;&#47532;&#49828;&#53944;!A1"/><Relationship Id="rId39" Type="http://schemas.openxmlformats.org/officeDocument/2006/relationships/hyperlink" Target="#Tracking!A1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hyperlink" Target="#&#51064;&#45940;&#53944;&#44288;&#47532;!A1"/><Relationship Id="rId20" Type="http://schemas.openxmlformats.org/officeDocument/2006/relationships/image" Target="../media/image19.svg"/><Relationship Id="rId29" Type="http://schemas.openxmlformats.org/officeDocument/2006/relationships/image" Target="../media/image26.png"/><Relationship Id="rId41" Type="http://schemas.openxmlformats.org/officeDocument/2006/relationships/image" Target="../media/image3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pn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pn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hyperlink" Target="#PO&#44288;&#47532;!A1"/><Relationship Id="rId28" Type="http://schemas.openxmlformats.org/officeDocument/2006/relationships/image" Target="../media/image25.svg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4.pn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30.png"/><Relationship Id="rId38" Type="http://schemas.openxmlformats.org/officeDocument/2006/relationships/image" Target="../media/image34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png"/><Relationship Id="rId18" Type="http://schemas.openxmlformats.org/officeDocument/2006/relationships/image" Target="../media/image10.svg"/><Relationship Id="rId26" Type="http://schemas.openxmlformats.org/officeDocument/2006/relationships/image" Target="../media/image13.svg"/><Relationship Id="rId39" Type="http://schemas.openxmlformats.org/officeDocument/2006/relationships/image" Target="../media/image35.png"/><Relationship Id="rId21" Type="http://schemas.openxmlformats.org/officeDocument/2006/relationships/image" Target="../media/image24.png"/><Relationship Id="rId34" Type="http://schemas.openxmlformats.org/officeDocument/2006/relationships/hyperlink" Target="#&#48156;&#51452;&#49436;!A1"/><Relationship Id="rId7" Type="http://schemas.openxmlformats.org/officeDocument/2006/relationships/image" Target="../media/image21.svg"/><Relationship Id="rId12" Type="http://schemas.openxmlformats.org/officeDocument/2006/relationships/image" Target="../media/image4.svg"/><Relationship Id="rId17" Type="http://schemas.openxmlformats.org/officeDocument/2006/relationships/image" Target="../media/image9.png"/><Relationship Id="rId25" Type="http://schemas.openxmlformats.org/officeDocument/2006/relationships/image" Target="../media/image11.png"/><Relationship Id="rId33" Type="http://schemas.openxmlformats.org/officeDocument/2006/relationships/image" Target="../media/image31.svg"/><Relationship Id="rId38" Type="http://schemas.openxmlformats.org/officeDocument/2006/relationships/hyperlink" Target="#Tracking!A1"/><Relationship Id="rId2" Type="http://schemas.openxmlformats.org/officeDocument/2006/relationships/image" Target="../media/image16.png"/><Relationship Id="rId16" Type="http://schemas.openxmlformats.org/officeDocument/2006/relationships/image" Target="../media/image8.svg"/><Relationship Id="rId20" Type="http://schemas.openxmlformats.org/officeDocument/2006/relationships/image" Target="../media/image15.svg"/><Relationship Id="rId29" Type="http://schemas.openxmlformats.org/officeDocument/2006/relationships/image" Target="../media/image27.svg"/><Relationship Id="rId1" Type="http://schemas.openxmlformats.org/officeDocument/2006/relationships/hyperlink" Target="#&#51064;&#45940;&#53944;&#44288;&#47532;!A1"/><Relationship Id="rId6" Type="http://schemas.openxmlformats.org/officeDocument/2006/relationships/image" Target="../media/image20.png"/><Relationship Id="rId11" Type="http://schemas.openxmlformats.org/officeDocument/2006/relationships/image" Target="../media/image3.png"/><Relationship Id="rId24" Type="http://schemas.openxmlformats.org/officeDocument/2006/relationships/image" Target="../media/image38.svg"/><Relationship Id="rId32" Type="http://schemas.openxmlformats.org/officeDocument/2006/relationships/image" Target="../media/image30.png"/><Relationship Id="rId37" Type="http://schemas.openxmlformats.org/officeDocument/2006/relationships/image" Target="../media/image34.png"/><Relationship Id="rId40" Type="http://schemas.openxmlformats.org/officeDocument/2006/relationships/image" Target="../media/image36.svg"/><Relationship Id="rId5" Type="http://schemas.openxmlformats.org/officeDocument/2006/relationships/image" Target="../media/image19.svg"/><Relationship Id="rId15" Type="http://schemas.openxmlformats.org/officeDocument/2006/relationships/image" Target="../media/image7.png"/><Relationship Id="rId23" Type="http://schemas.openxmlformats.org/officeDocument/2006/relationships/image" Target="../media/image37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23.svg"/><Relationship Id="rId19" Type="http://schemas.openxmlformats.org/officeDocument/2006/relationships/image" Target="../media/image14.png"/><Relationship Id="rId31" Type="http://schemas.openxmlformats.org/officeDocument/2006/relationships/image" Target="../media/image29.svg"/><Relationship Id="rId4" Type="http://schemas.openxmlformats.org/officeDocument/2006/relationships/image" Target="../media/image18.png"/><Relationship Id="rId9" Type="http://schemas.openxmlformats.org/officeDocument/2006/relationships/image" Target="../media/image22.png"/><Relationship Id="rId14" Type="http://schemas.openxmlformats.org/officeDocument/2006/relationships/image" Target="../media/image6.svg"/><Relationship Id="rId22" Type="http://schemas.openxmlformats.org/officeDocument/2006/relationships/image" Target="../media/image25.sv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8" Type="http://schemas.openxmlformats.org/officeDocument/2006/relationships/hyperlink" Target="#PO&#44288;&#47532;!A1"/><Relationship Id="rId3" Type="http://schemas.openxmlformats.org/officeDocument/2006/relationships/image" Target="../media/image17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png"/><Relationship Id="rId18" Type="http://schemas.openxmlformats.org/officeDocument/2006/relationships/image" Target="../media/image10.svg"/><Relationship Id="rId26" Type="http://schemas.openxmlformats.org/officeDocument/2006/relationships/image" Target="../media/image28.png"/><Relationship Id="rId39" Type="http://schemas.openxmlformats.org/officeDocument/2006/relationships/image" Target="../media/image35.png"/><Relationship Id="rId21" Type="http://schemas.openxmlformats.org/officeDocument/2006/relationships/image" Target="../media/image37.png"/><Relationship Id="rId34" Type="http://schemas.openxmlformats.org/officeDocument/2006/relationships/hyperlink" Target="#&#48156;&#51452;&#49436;!A1"/><Relationship Id="rId7" Type="http://schemas.openxmlformats.org/officeDocument/2006/relationships/image" Target="../media/image21.svg"/><Relationship Id="rId12" Type="http://schemas.openxmlformats.org/officeDocument/2006/relationships/image" Target="../media/image4.svg"/><Relationship Id="rId17" Type="http://schemas.openxmlformats.org/officeDocument/2006/relationships/image" Target="../media/image9.png"/><Relationship Id="rId25" Type="http://schemas.openxmlformats.org/officeDocument/2006/relationships/image" Target="../media/image27.svg"/><Relationship Id="rId33" Type="http://schemas.openxmlformats.org/officeDocument/2006/relationships/image" Target="../media/image40.svg"/><Relationship Id="rId38" Type="http://schemas.openxmlformats.org/officeDocument/2006/relationships/hyperlink" Target="#Tracking!A1"/><Relationship Id="rId2" Type="http://schemas.openxmlformats.org/officeDocument/2006/relationships/image" Target="../media/image16.png"/><Relationship Id="rId16" Type="http://schemas.openxmlformats.org/officeDocument/2006/relationships/image" Target="../media/image8.svg"/><Relationship Id="rId20" Type="http://schemas.openxmlformats.org/officeDocument/2006/relationships/image" Target="../media/image15.svg"/><Relationship Id="rId29" Type="http://schemas.openxmlformats.org/officeDocument/2006/relationships/image" Target="../media/image31.svg"/><Relationship Id="rId1" Type="http://schemas.openxmlformats.org/officeDocument/2006/relationships/hyperlink" Target="#&#51064;&#45940;&#53944;&#44288;&#47532;!A1"/><Relationship Id="rId6" Type="http://schemas.openxmlformats.org/officeDocument/2006/relationships/image" Target="../media/image20.png"/><Relationship Id="rId11" Type="http://schemas.openxmlformats.org/officeDocument/2006/relationships/image" Target="../media/image3.png"/><Relationship Id="rId24" Type="http://schemas.openxmlformats.org/officeDocument/2006/relationships/image" Target="../media/image26.png"/><Relationship Id="rId32" Type="http://schemas.openxmlformats.org/officeDocument/2006/relationships/image" Target="../media/image39.png"/><Relationship Id="rId37" Type="http://schemas.openxmlformats.org/officeDocument/2006/relationships/image" Target="../media/image34.png"/><Relationship Id="rId40" Type="http://schemas.openxmlformats.org/officeDocument/2006/relationships/image" Target="../media/image36.svg"/><Relationship Id="rId5" Type="http://schemas.openxmlformats.org/officeDocument/2006/relationships/image" Target="../media/image19.svg"/><Relationship Id="rId15" Type="http://schemas.openxmlformats.org/officeDocument/2006/relationships/image" Target="../media/image7.png"/><Relationship Id="rId23" Type="http://schemas.openxmlformats.org/officeDocument/2006/relationships/hyperlink" Target="#&#52404;&#53356;&#47532;&#49828;&#53944;!A1"/><Relationship Id="rId28" Type="http://schemas.openxmlformats.org/officeDocument/2006/relationships/image" Target="../media/image30.png"/><Relationship Id="rId36" Type="http://schemas.openxmlformats.org/officeDocument/2006/relationships/image" Target="../media/image33.svg"/><Relationship Id="rId10" Type="http://schemas.openxmlformats.org/officeDocument/2006/relationships/image" Target="../media/image23.svg"/><Relationship Id="rId19" Type="http://schemas.openxmlformats.org/officeDocument/2006/relationships/image" Target="../media/image14.png"/><Relationship Id="rId31" Type="http://schemas.openxmlformats.org/officeDocument/2006/relationships/image" Target="../media/image13.svg"/><Relationship Id="rId4" Type="http://schemas.openxmlformats.org/officeDocument/2006/relationships/image" Target="../media/image18.png"/><Relationship Id="rId9" Type="http://schemas.openxmlformats.org/officeDocument/2006/relationships/image" Target="../media/image22.png"/><Relationship Id="rId14" Type="http://schemas.openxmlformats.org/officeDocument/2006/relationships/image" Target="../media/image6.svg"/><Relationship Id="rId22" Type="http://schemas.openxmlformats.org/officeDocument/2006/relationships/image" Target="../media/image38.svg"/><Relationship Id="rId27" Type="http://schemas.openxmlformats.org/officeDocument/2006/relationships/image" Target="../media/image29.svg"/><Relationship Id="rId30" Type="http://schemas.openxmlformats.org/officeDocument/2006/relationships/image" Target="../media/image11.png"/><Relationship Id="rId35" Type="http://schemas.openxmlformats.org/officeDocument/2006/relationships/image" Target="../media/image32.png"/><Relationship Id="rId8" Type="http://schemas.openxmlformats.org/officeDocument/2006/relationships/hyperlink" Target="#PO&#44288;&#47532;!A1"/><Relationship Id="rId3" Type="http://schemas.openxmlformats.org/officeDocument/2006/relationships/image" Target="../media/image17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.png"/><Relationship Id="rId18" Type="http://schemas.openxmlformats.org/officeDocument/2006/relationships/image" Target="../media/image25.svg"/><Relationship Id="rId3" Type="http://schemas.openxmlformats.org/officeDocument/2006/relationships/image" Target="../media/image16.png"/><Relationship Id="rId21" Type="http://schemas.openxmlformats.org/officeDocument/2006/relationships/image" Target="../media/image5.png"/><Relationship Id="rId7" Type="http://schemas.openxmlformats.org/officeDocument/2006/relationships/image" Target="../media/image18.png"/><Relationship Id="rId12" Type="http://schemas.openxmlformats.org/officeDocument/2006/relationships/image" Target="../media/image23.svg"/><Relationship Id="rId17" Type="http://schemas.openxmlformats.org/officeDocument/2006/relationships/image" Target="../media/image24.png"/><Relationship Id="rId2" Type="http://schemas.openxmlformats.org/officeDocument/2006/relationships/image" Target="../media/image27.svg"/><Relationship Id="rId16" Type="http://schemas.openxmlformats.org/officeDocument/2006/relationships/image" Target="../media/image42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2.png"/><Relationship Id="rId5" Type="http://schemas.openxmlformats.org/officeDocument/2006/relationships/image" Target="../media/image28.png"/><Relationship Id="rId15" Type="http://schemas.openxmlformats.org/officeDocument/2006/relationships/image" Target="../media/image41.png"/><Relationship Id="rId10" Type="http://schemas.openxmlformats.org/officeDocument/2006/relationships/image" Target="../media/image21.svg"/><Relationship Id="rId19" Type="http://schemas.openxmlformats.org/officeDocument/2006/relationships/image" Target="../media/image3.png"/><Relationship Id="rId4" Type="http://schemas.openxmlformats.org/officeDocument/2006/relationships/image" Target="../media/image17.svg"/><Relationship Id="rId9" Type="http://schemas.openxmlformats.org/officeDocument/2006/relationships/image" Target="../media/image20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.png"/><Relationship Id="rId18" Type="http://schemas.openxmlformats.org/officeDocument/2006/relationships/image" Target="../media/image25.svg"/><Relationship Id="rId3" Type="http://schemas.openxmlformats.org/officeDocument/2006/relationships/image" Target="../media/image16.png"/><Relationship Id="rId21" Type="http://schemas.openxmlformats.org/officeDocument/2006/relationships/image" Target="../media/image5.png"/><Relationship Id="rId7" Type="http://schemas.openxmlformats.org/officeDocument/2006/relationships/image" Target="../media/image18.png"/><Relationship Id="rId12" Type="http://schemas.openxmlformats.org/officeDocument/2006/relationships/image" Target="../media/image23.svg"/><Relationship Id="rId17" Type="http://schemas.openxmlformats.org/officeDocument/2006/relationships/image" Target="../media/image24.png"/><Relationship Id="rId2" Type="http://schemas.openxmlformats.org/officeDocument/2006/relationships/image" Target="../media/image27.svg"/><Relationship Id="rId16" Type="http://schemas.openxmlformats.org/officeDocument/2006/relationships/image" Target="../media/image42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2.png"/><Relationship Id="rId5" Type="http://schemas.openxmlformats.org/officeDocument/2006/relationships/image" Target="../media/image28.png"/><Relationship Id="rId15" Type="http://schemas.openxmlformats.org/officeDocument/2006/relationships/image" Target="../media/image41.png"/><Relationship Id="rId10" Type="http://schemas.openxmlformats.org/officeDocument/2006/relationships/image" Target="../media/image21.svg"/><Relationship Id="rId19" Type="http://schemas.openxmlformats.org/officeDocument/2006/relationships/image" Target="../media/image3.png"/><Relationship Id="rId4" Type="http://schemas.openxmlformats.org/officeDocument/2006/relationships/image" Target="../media/image17.svg"/><Relationship Id="rId9" Type="http://schemas.openxmlformats.org/officeDocument/2006/relationships/image" Target="../media/image20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image" Target="../media/image15.svg"/><Relationship Id="rId26" Type="http://schemas.openxmlformats.org/officeDocument/2006/relationships/image" Target="../media/image33.svg"/><Relationship Id="rId21" Type="http://schemas.openxmlformats.org/officeDocument/2006/relationships/image" Target="../media/image28.png"/><Relationship Id="rId34" Type="http://schemas.openxmlformats.org/officeDocument/2006/relationships/image" Target="../media/image44.svg"/><Relationship Id="rId7" Type="http://schemas.openxmlformats.org/officeDocument/2006/relationships/image" Target="../media/image22.png"/><Relationship Id="rId12" Type="http://schemas.openxmlformats.org/officeDocument/2006/relationships/image" Target="../media/image6.svg"/><Relationship Id="rId17" Type="http://schemas.openxmlformats.org/officeDocument/2006/relationships/image" Target="../media/image14.png"/><Relationship Id="rId25" Type="http://schemas.openxmlformats.org/officeDocument/2006/relationships/image" Target="../media/image32.png"/><Relationship Id="rId33" Type="http://schemas.openxmlformats.org/officeDocument/2006/relationships/image" Target="../media/image43.png"/><Relationship Id="rId38" Type="http://schemas.openxmlformats.org/officeDocument/2006/relationships/image" Target="../media/image36.svg"/><Relationship Id="rId2" Type="http://schemas.openxmlformats.org/officeDocument/2006/relationships/image" Target="../media/image17.svg"/><Relationship Id="rId16" Type="http://schemas.openxmlformats.org/officeDocument/2006/relationships/image" Target="../media/image10.svg"/><Relationship Id="rId20" Type="http://schemas.openxmlformats.org/officeDocument/2006/relationships/image" Target="../media/image27.svg"/><Relationship Id="rId29" Type="http://schemas.openxmlformats.org/officeDocument/2006/relationships/image" Target="../media/image1.pn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5.png"/><Relationship Id="rId24" Type="http://schemas.openxmlformats.org/officeDocument/2006/relationships/image" Target="../media/image31.svg"/><Relationship Id="rId32" Type="http://schemas.openxmlformats.org/officeDocument/2006/relationships/image" Target="../media/image13.svg"/><Relationship Id="rId37" Type="http://schemas.openxmlformats.org/officeDocument/2006/relationships/image" Target="../media/image35.png"/><Relationship Id="rId5" Type="http://schemas.openxmlformats.org/officeDocument/2006/relationships/image" Target="../media/image20.png"/><Relationship Id="rId15" Type="http://schemas.openxmlformats.org/officeDocument/2006/relationships/image" Target="../media/image9.png"/><Relationship Id="rId23" Type="http://schemas.openxmlformats.org/officeDocument/2006/relationships/image" Target="../media/image30.png"/><Relationship Id="rId28" Type="http://schemas.openxmlformats.org/officeDocument/2006/relationships/image" Target="../media/image38.svg"/><Relationship Id="rId36" Type="http://schemas.openxmlformats.org/officeDocument/2006/relationships/hyperlink" Target="#Tracking!A1"/><Relationship Id="rId10" Type="http://schemas.openxmlformats.org/officeDocument/2006/relationships/image" Target="../media/image4.svg"/><Relationship Id="rId19" Type="http://schemas.openxmlformats.org/officeDocument/2006/relationships/image" Target="../media/image26.png"/><Relationship Id="rId31" Type="http://schemas.openxmlformats.org/officeDocument/2006/relationships/image" Target="../media/image11.png"/><Relationship Id="rId4" Type="http://schemas.openxmlformats.org/officeDocument/2006/relationships/image" Target="../media/image19.svg"/><Relationship Id="rId9" Type="http://schemas.openxmlformats.org/officeDocument/2006/relationships/image" Target="../media/image3.png"/><Relationship Id="rId14" Type="http://schemas.openxmlformats.org/officeDocument/2006/relationships/image" Target="../media/image8.svg"/><Relationship Id="rId22" Type="http://schemas.openxmlformats.org/officeDocument/2006/relationships/image" Target="../media/image29.svg"/><Relationship Id="rId27" Type="http://schemas.openxmlformats.org/officeDocument/2006/relationships/image" Target="../media/image37.png"/><Relationship Id="rId30" Type="http://schemas.openxmlformats.org/officeDocument/2006/relationships/image" Target="../media/image2.svg"/><Relationship Id="rId35" Type="http://schemas.openxmlformats.org/officeDocument/2006/relationships/image" Target="../media/image34.png"/><Relationship Id="rId8" Type="http://schemas.openxmlformats.org/officeDocument/2006/relationships/image" Target="../media/image23.svg"/><Relationship Id="rId3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image" Target="../media/image15.svg"/><Relationship Id="rId26" Type="http://schemas.openxmlformats.org/officeDocument/2006/relationships/image" Target="../media/image33.svg"/><Relationship Id="rId3" Type="http://schemas.openxmlformats.org/officeDocument/2006/relationships/image" Target="../media/image46.png"/><Relationship Id="rId21" Type="http://schemas.openxmlformats.org/officeDocument/2006/relationships/image" Target="../media/image52.png"/><Relationship Id="rId34" Type="http://schemas.openxmlformats.org/officeDocument/2006/relationships/image" Target="../media/image43.png"/><Relationship Id="rId7" Type="http://schemas.openxmlformats.org/officeDocument/2006/relationships/image" Target="../media/image48.png"/><Relationship Id="rId12" Type="http://schemas.openxmlformats.org/officeDocument/2006/relationships/image" Target="../media/image6.svg"/><Relationship Id="rId17" Type="http://schemas.openxmlformats.org/officeDocument/2006/relationships/image" Target="../media/image14.png"/><Relationship Id="rId25" Type="http://schemas.openxmlformats.org/officeDocument/2006/relationships/image" Target="../media/image34.png"/><Relationship Id="rId33" Type="http://schemas.openxmlformats.org/officeDocument/2006/relationships/image" Target="../media/image2.svg"/><Relationship Id="rId2" Type="http://schemas.openxmlformats.org/officeDocument/2006/relationships/image" Target="../media/image17.svg"/><Relationship Id="rId16" Type="http://schemas.openxmlformats.org/officeDocument/2006/relationships/image" Target="../media/image10.svg"/><Relationship Id="rId20" Type="http://schemas.openxmlformats.org/officeDocument/2006/relationships/image" Target="../media/image27.svg"/><Relationship Id="rId29" Type="http://schemas.openxmlformats.org/officeDocument/2006/relationships/hyperlink" Target="#Tracking!A1"/><Relationship Id="rId1" Type="http://schemas.openxmlformats.org/officeDocument/2006/relationships/image" Target="../media/image45.png"/><Relationship Id="rId6" Type="http://schemas.openxmlformats.org/officeDocument/2006/relationships/image" Target="../media/image21.svg"/><Relationship Id="rId11" Type="http://schemas.openxmlformats.org/officeDocument/2006/relationships/image" Target="../media/image50.png"/><Relationship Id="rId24" Type="http://schemas.openxmlformats.org/officeDocument/2006/relationships/image" Target="../media/image31.svg"/><Relationship Id="rId32" Type="http://schemas.openxmlformats.org/officeDocument/2006/relationships/image" Target="../media/image55.png"/><Relationship Id="rId5" Type="http://schemas.openxmlformats.org/officeDocument/2006/relationships/image" Target="../media/image47.png"/><Relationship Id="rId15" Type="http://schemas.openxmlformats.org/officeDocument/2006/relationships/image" Target="../media/image9.png"/><Relationship Id="rId23" Type="http://schemas.openxmlformats.org/officeDocument/2006/relationships/image" Target="../media/image53.png"/><Relationship Id="rId28" Type="http://schemas.openxmlformats.org/officeDocument/2006/relationships/image" Target="../media/image13.svg"/><Relationship Id="rId10" Type="http://schemas.openxmlformats.org/officeDocument/2006/relationships/image" Target="../media/image4.svg"/><Relationship Id="rId19" Type="http://schemas.openxmlformats.org/officeDocument/2006/relationships/image" Target="../media/image51.png"/><Relationship Id="rId31" Type="http://schemas.openxmlformats.org/officeDocument/2006/relationships/image" Target="../media/image36.svg"/><Relationship Id="rId4" Type="http://schemas.openxmlformats.org/officeDocument/2006/relationships/image" Target="../media/image19.svg"/><Relationship Id="rId9" Type="http://schemas.openxmlformats.org/officeDocument/2006/relationships/image" Target="../media/image49.png"/><Relationship Id="rId14" Type="http://schemas.openxmlformats.org/officeDocument/2006/relationships/image" Target="../media/image8.svg"/><Relationship Id="rId22" Type="http://schemas.openxmlformats.org/officeDocument/2006/relationships/image" Target="../media/image29.svg"/><Relationship Id="rId27" Type="http://schemas.openxmlformats.org/officeDocument/2006/relationships/image" Target="../media/image54.png"/><Relationship Id="rId30" Type="http://schemas.openxmlformats.org/officeDocument/2006/relationships/image" Target="../media/image35.png"/><Relationship Id="rId35" Type="http://schemas.openxmlformats.org/officeDocument/2006/relationships/image" Target="../media/image44.svg"/><Relationship Id="rId8" Type="http://schemas.openxmlformats.org/officeDocument/2006/relationships/image" Target="../media/image2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7907024-C6A4-4983-9FB4-C0B384342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3F468401-3BD8-4C7E-A0D5-3A2E4D976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31" name="그래픽 30" descr="청사진 윤곽선">
          <a:extLst>
            <a:ext uri="{FF2B5EF4-FFF2-40B4-BE49-F238E27FC236}">
              <a16:creationId xmlns:a16="http://schemas.microsoft.com/office/drawing/2014/main" id="{A330A414-CF92-49C9-BEBA-5CDAEABE4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32" name="그래픽 31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E5930152-7BA0-42AA-B0C9-37EF36B24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6350</xdr:rowOff>
    </xdr:from>
    <xdr:to>
      <xdr:col>0</xdr:col>
      <xdr:colOff>227900</xdr:colOff>
      <xdr:row>6</xdr:row>
      <xdr:rowOff>234250</xdr:rowOff>
    </xdr:to>
    <xdr:pic>
      <xdr:nvPicPr>
        <xdr:cNvPr id="20" name="그래픽 19" descr="청사진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1CD26A6E-71D0-445C-8887-A00FE3DAB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30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3" name="그래픽 22" descr="주소록 윤곽선">
          <a:extLst>
            <a:ext uri="{FF2B5EF4-FFF2-40B4-BE49-F238E27FC236}">
              <a16:creationId xmlns:a16="http://schemas.microsoft.com/office/drawing/2014/main" id="{E260E2F5-7FF4-4572-9697-1DFEFE422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044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4" name="그래픽 23" descr="은행 수표  윤곽선">
          <a:extLst>
            <a:ext uri="{FF2B5EF4-FFF2-40B4-BE49-F238E27FC236}">
              <a16:creationId xmlns:a16="http://schemas.microsoft.com/office/drawing/2014/main" id="{54C17C72-8899-436D-B175-D1C751282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1798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5" name="그래픽 24" descr="클립보드 선택 표시됨 단색으로 채워진">
          <a:extLst>
            <a:ext uri="{FF2B5EF4-FFF2-40B4-BE49-F238E27FC236}">
              <a16:creationId xmlns:a16="http://schemas.microsoft.com/office/drawing/2014/main" id="{B2BC3598-72A4-4036-9778-67870A551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08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7" name="그래픽 26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9AB667E-8462-4A63-A5E4-B1F6849C9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9" name="그래픽 28" descr="체크리스트 윤곽선">
          <a:extLst>
            <a:ext uri="{FF2B5EF4-FFF2-40B4-BE49-F238E27FC236}">
              <a16:creationId xmlns:a16="http://schemas.microsoft.com/office/drawing/2014/main" id="{D5E86C90-0117-48C8-B1CA-A5002F913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33" name="그래픽 32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5A2CB6FC-9A35-4468-99AC-96AD25695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6C3DA2-47B5-4FEB-9979-10D654976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7F839206-311E-493C-A187-EF16B1B78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FB59E500-A54B-425B-B6F3-25725E41D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E23D210-D79A-452A-913E-C63E38F12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po_save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19</xdr:col>
      <xdr:colOff>1416050</xdr:colOff>
      <xdr:row>27</xdr:row>
      <xdr:rowOff>19050</xdr:rowOff>
    </xdr:from>
    <xdr:to>
      <xdr:col>19</xdr:col>
      <xdr:colOff>1631950</xdr:colOff>
      <xdr:row>27</xdr:row>
      <xdr:rowOff>234950</xdr:rowOff>
    </xdr:to>
    <xdr:pic macro="[0]!next_page_po">
      <xdr:nvPicPr>
        <xdr:cNvPr id="37" name="button_2" descr="오른쪽 캐럿 단색으로 채워진">
          <a:extLst>
            <a:ext uri="{FF2B5EF4-FFF2-40B4-BE49-F238E27FC236}">
              <a16:creationId xmlns:a16="http://schemas.microsoft.com/office/drawing/2014/main" id="{2749703E-2A44-48B9-B1E3-2216E18B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5132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19</xdr:col>
      <xdr:colOff>1187450</xdr:colOff>
      <xdr:row>27</xdr:row>
      <xdr:rowOff>19050</xdr:rowOff>
    </xdr:from>
    <xdr:to>
      <xdr:col>19</xdr:col>
      <xdr:colOff>1403350</xdr:colOff>
      <xdr:row>27</xdr:row>
      <xdr:rowOff>234950</xdr:rowOff>
    </xdr:to>
    <xdr:pic macro="[0]!previous_page_po">
      <xdr:nvPicPr>
        <xdr:cNvPr id="38" name="button_2" descr="오른쪽 캐럿 단색으로 채워진">
          <a:extLst>
            <a:ext uri="{FF2B5EF4-FFF2-40B4-BE49-F238E27FC236}">
              <a16:creationId xmlns:a16="http://schemas.microsoft.com/office/drawing/2014/main" id="{2973CE1E-9934-4807-BB43-3994C2D27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 rot="10800000">
          <a:off x="149034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21" name="그래픽 2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C3A605-F8B1-43A9-A3FD-E16985B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3" name="그래픽 22" descr="주소록 윤곽선">
          <a:extLst>
            <a:ext uri="{FF2B5EF4-FFF2-40B4-BE49-F238E27FC236}">
              <a16:creationId xmlns:a16="http://schemas.microsoft.com/office/drawing/2014/main" id="{4C5EDDEB-63C8-46B5-9B1D-10FB48985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4" name="그래픽 23" descr="은행 수표  윤곽선">
          <a:extLst>
            <a:ext uri="{FF2B5EF4-FFF2-40B4-BE49-F238E27FC236}">
              <a16:creationId xmlns:a16="http://schemas.microsoft.com/office/drawing/2014/main" id="{14C5338F-618A-4CC1-BB62-D478E46F5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5" name="그래픽 24" descr="클립보드 선택 표시됨 단색으로 채워진">
          <a:extLst>
            <a:ext uri="{FF2B5EF4-FFF2-40B4-BE49-F238E27FC236}">
              <a16:creationId xmlns:a16="http://schemas.microsoft.com/office/drawing/2014/main" id="{969CA122-DD56-4012-A096-2440C44F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30" name="그래픽 29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BF199E6-D67E-414E-A12D-AC42BBED6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31" name="그래픽 30" descr="체크리스트 윤곽선">
          <a:extLst>
            <a:ext uri="{FF2B5EF4-FFF2-40B4-BE49-F238E27FC236}">
              <a16:creationId xmlns:a16="http://schemas.microsoft.com/office/drawing/2014/main" id="{C05AFCDE-55D5-4D06-98E8-6BCE85CA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32" name="그래픽 31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64C09F9E-6564-4B19-8F20-5F89F6A15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345C50-DEA2-48CE-8488-6AEA9488D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BC39A3FF-2946-422D-BA9D-2BAE3CED5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15346AC1-7452-449B-B8F1-D5D4FBAF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F89DFB0-4093-4271-BA18-7814F7134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9" name="그래픽 18" descr="청사진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B9EDB7A8-1746-4755-87EE-CB61664D6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1" name="그래픽 20" descr="주소록 윤곽선">
          <a:extLst>
            <a:ext uri="{FF2B5EF4-FFF2-40B4-BE49-F238E27FC236}">
              <a16:creationId xmlns:a16="http://schemas.microsoft.com/office/drawing/2014/main" id="{2A51FB35-8D52-4957-8A32-E37D76458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2" name="그래픽 21" descr="은행 수표  윤곽선">
          <a:extLst>
            <a:ext uri="{FF2B5EF4-FFF2-40B4-BE49-F238E27FC236}">
              <a16:creationId xmlns:a16="http://schemas.microsoft.com/office/drawing/2014/main" id="{F27A37E2-38DA-424B-8BE9-C9A33EA2D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3" name="그래픽 22" descr="클립보드 선택 표시됨 단색으로 채워진">
          <a:extLst>
            <a:ext uri="{FF2B5EF4-FFF2-40B4-BE49-F238E27FC236}">
              <a16:creationId xmlns:a16="http://schemas.microsoft.com/office/drawing/2014/main" id="{B2EFEE31-398C-434F-82BF-0C1F6B5AA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971550</xdr:colOff>
      <xdr:row>0</xdr:row>
      <xdr:rowOff>76200</xdr:rowOff>
    </xdr:from>
    <xdr:to>
      <xdr:col>4</xdr:col>
      <xdr:colOff>1302750</xdr:colOff>
      <xdr:row>1</xdr:row>
      <xdr:rowOff>153400</xdr:rowOff>
    </xdr:to>
    <xdr:pic>
      <xdr:nvPicPr>
        <xdr:cNvPr id="4" name="그래픽 3" descr="백팩 단색으로 채워진">
          <a:extLst>
            <a:ext uri="{FF2B5EF4-FFF2-40B4-BE49-F238E27FC236}">
              <a16:creationId xmlns:a16="http://schemas.microsoft.com/office/drawing/2014/main" id="{F0835B8B-23EC-46D5-9203-BBF91BFD1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736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0" name="그래픽 19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8A7874F3-F298-4FCC-9DDA-28529FA0B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4" name="그래픽 23" descr="체크리스트 윤곽선">
          <a:extLst>
            <a:ext uri="{FF2B5EF4-FFF2-40B4-BE49-F238E27FC236}">
              <a16:creationId xmlns:a16="http://schemas.microsoft.com/office/drawing/2014/main" id="{A3FBF35C-4AC5-4939-A696-ED48AE417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27" name="그래픽 26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35E83F34-A596-479D-AC3A-08CD9171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" name="그래픽 1" descr="광고 윤곽선">
          <a:extLst>
            <a:ext uri="{FF2B5EF4-FFF2-40B4-BE49-F238E27FC236}">
              <a16:creationId xmlns:a16="http://schemas.microsoft.com/office/drawing/2014/main" id="{173745F6-5638-416A-BD8C-5D7416421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" name="그래픽 2" descr="가로 막대형 차트 윤곽선">
          <a:extLst>
            <a:ext uri="{FF2B5EF4-FFF2-40B4-BE49-F238E27FC236}">
              <a16:creationId xmlns:a16="http://schemas.microsoft.com/office/drawing/2014/main" id="{C3AAFA60-3186-4674-90A1-B62544C00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4" name="그래픽 3" descr="청사진 윤곽선">
          <a:extLst>
            <a:ext uri="{FF2B5EF4-FFF2-40B4-BE49-F238E27FC236}">
              <a16:creationId xmlns:a16="http://schemas.microsoft.com/office/drawing/2014/main" id="{56B7E0D9-3E41-4D69-96E4-518C7C8DC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5" name="그래픽 4" descr="선반 위의 책 윤곽선">
          <a:extLst>
            <a:ext uri="{FF2B5EF4-FFF2-40B4-BE49-F238E27FC236}">
              <a16:creationId xmlns:a16="http://schemas.microsoft.com/office/drawing/2014/main" id="{CA068184-0DA6-4299-B67A-8B62EDB4B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12446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4" name="그래픽 13" descr="청사진 윤곽선">
          <a:extLst>
            <a:ext uri="{FF2B5EF4-FFF2-40B4-BE49-F238E27FC236}">
              <a16:creationId xmlns:a16="http://schemas.microsoft.com/office/drawing/2014/main" id="{36DD7FDD-F465-4009-AE2C-DFF0FA27D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15" name="그래픽 14" descr="주소록 윤곽선">
          <a:extLst>
            <a:ext uri="{FF2B5EF4-FFF2-40B4-BE49-F238E27FC236}">
              <a16:creationId xmlns:a16="http://schemas.microsoft.com/office/drawing/2014/main" id="{0362E0E7-F1E3-4D2D-AA92-8E68E019A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16" name="그래픽 15" descr="은행 수표  윤곽선">
          <a:extLst>
            <a:ext uri="{FF2B5EF4-FFF2-40B4-BE49-F238E27FC236}">
              <a16:creationId xmlns:a16="http://schemas.microsoft.com/office/drawing/2014/main" id="{0F28DCD5-11FC-49C1-A767-98F61E6F8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17" name="그래픽 16" descr="클립보드 선택 표시됨 단색으로 채워진">
          <a:extLst>
            <a:ext uri="{FF2B5EF4-FFF2-40B4-BE49-F238E27FC236}">
              <a16:creationId xmlns:a16="http://schemas.microsoft.com/office/drawing/2014/main" id="{7AD43C8A-EC80-4115-9298-D4899AF61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2" name="그래픽 21" descr="체크리스트 윤곽선">
          <a:extLst>
            <a:ext uri="{FF2B5EF4-FFF2-40B4-BE49-F238E27FC236}">
              <a16:creationId xmlns:a16="http://schemas.microsoft.com/office/drawing/2014/main" id="{31DE29F0-F059-43BC-887D-A827EB808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19</xdr:col>
      <xdr:colOff>60324</xdr:colOff>
      <xdr:row>27</xdr:row>
      <xdr:rowOff>25270</xdr:rowOff>
    </xdr:from>
    <xdr:to>
      <xdr:col>19</xdr:col>
      <xdr:colOff>276324</xdr:colOff>
      <xdr:row>27</xdr:row>
      <xdr:rowOff>241270</xdr:rowOff>
    </xdr:to>
    <xdr:pic macro="[0]!next_page_order_po">
      <xdr:nvPicPr>
        <xdr:cNvPr id="27" name="button_2" descr="오른쪽 캐럿 단색으로 채워진">
          <a:extLst>
            <a:ext uri="{FF2B5EF4-FFF2-40B4-BE49-F238E27FC236}">
              <a16:creationId xmlns:a16="http://schemas.microsoft.com/office/drawing/2014/main" id="{ED3FB98F-6A13-4B90-9F8C-F4925AAB8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1409064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18</xdr:col>
      <xdr:colOff>631725</xdr:colOff>
      <xdr:row>27</xdr:row>
      <xdr:rowOff>22124</xdr:rowOff>
    </xdr:from>
    <xdr:to>
      <xdr:col>19</xdr:col>
      <xdr:colOff>0</xdr:colOff>
      <xdr:row>27</xdr:row>
      <xdr:rowOff>238124</xdr:rowOff>
    </xdr:to>
    <xdr:pic macro="[0]!previous_page_order_po">
      <xdr:nvPicPr>
        <xdr:cNvPr id="28" name="button_2" descr="오른쪽 캐럿 단색으로 채워진">
          <a:extLst>
            <a:ext uri="{FF2B5EF4-FFF2-40B4-BE49-F238E27FC236}">
              <a16:creationId xmlns:a16="http://schemas.microsoft.com/office/drawing/2014/main" id="{988AC6E8-F239-446D-BBE6-BB11ED1FF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 rot="10800000">
          <a:off x="1337617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241300</xdr:colOff>
      <xdr:row>3</xdr:row>
      <xdr:rowOff>165100</xdr:rowOff>
    </xdr:from>
    <xdr:to>
      <xdr:col>4</xdr:col>
      <xdr:colOff>274050</xdr:colOff>
      <xdr:row>4</xdr:row>
      <xdr:rowOff>242300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1708150" y="9271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4" name="그래픽 23" descr="체크리스트 윤곽선">
          <a:extLst>
            <a:ext uri="{FF2B5EF4-FFF2-40B4-BE49-F238E27FC236}">
              <a16:creationId xmlns:a16="http://schemas.microsoft.com/office/drawing/2014/main" id="{4D81826C-1046-49EF-AFFF-06D65B9B9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29" name="그래픽 28" descr="기준 위치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CAEE759-5C3E-4125-9009-35B1B2CF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" name="그래픽 1" descr="광고 윤곽선">
          <a:extLst>
            <a:ext uri="{FF2B5EF4-FFF2-40B4-BE49-F238E27FC236}">
              <a16:creationId xmlns:a16="http://schemas.microsoft.com/office/drawing/2014/main" id="{865958FD-6CB4-42E8-A15D-6C65AD2C2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119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" name="그래픽 2" descr="가로 막대형 차트 윤곽선">
          <a:extLst>
            <a:ext uri="{FF2B5EF4-FFF2-40B4-BE49-F238E27FC236}">
              <a16:creationId xmlns:a16="http://schemas.microsoft.com/office/drawing/2014/main" id="{58F2ED24-6F58-4679-AA9C-ACA6DAECC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015150"/>
          <a:ext cx="227900" cy="218375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4" name="그래픽 3" descr="청사진 윤곽선">
          <a:extLst>
            <a:ext uri="{FF2B5EF4-FFF2-40B4-BE49-F238E27FC236}">
              <a16:creationId xmlns:a16="http://schemas.microsoft.com/office/drawing/2014/main" id="{F14F6647-4AF3-4E99-B580-FD27F46C2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273100"/>
          <a:ext cx="227900" cy="22155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5" name="그래픽 4" descr="선반 위의 책 윤곽선">
          <a:extLst>
            <a:ext uri="{FF2B5EF4-FFF2-40B4-BE49-F238E27FC236}">
              <a16:creationId xmlns:a16="http://schemas.microsoft.com/office/drawing/2014/main" id="{A2BDF652-776E-4F67-9418-150228F26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75400"/>
          <a:ext cx="227900" cy="22155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12446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797050" y="558800"/>
          <a:ext cx="346075" cy="3238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20925" y="552450"/>
          <a:ext cx="331200" cy="32485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16225" y="558800"/>
          <a:ext cx="331200" cy="3248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2" name="그래픽 11" descr="청사진 윤곽선">
          <a:extLst>
            <a:ext uri="{FF2B5EF4-FFF2-40B4-BE49-F238E27FC236}">
              <a16:creationId xmlns:a16="http://schemas.microsoft.com/office/drawing/2014/main" id="{EAA3CDC3-0AE2-4623-B374-B433E11F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14400"/>
          <a:ext cx="227900" cy="22155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13" name="그래픽 12" descr="주소록 윤곽선">
          <a:extLst>
            <a:ext uri="{FF2B5EF4-FFF2-40B4-BE49-F238E27FC236}">
              <a16:creationId xmlns:a16="http://schemas.microsoft.com/office/drawing/2014/main" id="{687DB6DE-1531-4ABC-88B2-5B9A44578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727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14" name="그래픽 13" descr="은행 수표  윤곽선">
          <a:extLst>
            <a:ext uri="{FF2B5EF4-FFF2-40B4-BE49-F238E27FC236}">
              <a16:creationId xmlns:a16="http://schemas.microsoft.com/office/drawing/2014/main" id="{4935DCE4-3B95-4B2F-984E-A5A526741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487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15" name="그래픽 14" descr="클립보드 선택 표시됨 단색으로 채워진">
          <a:extLst>
            <a:ext uri="{FF2B5EF4-FFF2-40B4-BE49-F238E27FC236}">
              <a16:creationId xmlns:a16="http://schemas.microsoft.com/office/drawing/2014/main" id="{B4B88138-BAAD-4222-902C-543D9D8CA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184650"/>
          <a:ext cx="273050" cy="2667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16" name="그래픽 15" descr="체크리스트 윤곽선">
          <a:extLst>
            <a:ext uri="{FF2B5EF4-FFF2-40B4-BE49-F238E27FC236}">
              <a16:creationId xmlns:a16="http://schemas.microsoft.com/office/drawing/2014/main" id="{8F652811-51A2-45F8-B8C3-D8306BB80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22</xdr:col>
      <xdr:colOff>60324</xdr:colOff>
      <xdr:row>27</xdr:row>
      <xdr:rowOff>25270</xdr:rowOff>
    </xdr:from>
    <xdr:to>
      <xdr:col>22</xdr:col>
      <xdr:colOff>276324</xdr:colOff>
      <xdr:row>27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21</xdr:col>
      <xdr:colOff>498375</xdr:colOff>
      <xdr:row>27</xdr:row>
      <xdr:rowOff>22124</xdr:rowOff>
    </xdr:from>
    <xdr:to>
      <xdr:col>22</xdr:col>
      <xdr:colOff>0</xdr:colOff>
      <xdr:row>27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23" name="그래픽 22" descr="기준 위치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7C123357-CFAE-4E4D-95CC-34CC22F5F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266700</xdr:colOff>
      <xdr:row>3</xdr:row>
      <xdr:rowOff>180975</xdr:rowOff>
    </xdr:from>
    <xdr:to>
      <xdr:col>4</xdr:col>
      <xdr:colOff>299450</xdr:colOff>
      <xdr:row>5</xdr:row>
      <xdr:rowOff>10525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1809750" y="923925"/>
          <a:ext cx="347075" cy="32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11.25" zeroHeight="1" x14ac:dyDescent="0.15"/>
  <cols>
    <col min="1" max="1" width="4.7109375" style="3" customWidth="1"/>
    <col min="2" max="2" width="2.7109375" style="3" customWidth="1"/>
    <col min="3" max="3" width="15.7109375" style="3" customWidth="1"/>
    <col min="4" max="4" width="4.7109375" style="3" customWidth="1"/>
    <col min="5" max="5" width="20.7109375" style="3" customWidth="1"/>
    <col min="6" max="6" width="2.7109375" style="3" customWidth="1"/>
    <col min="7" max="7" width="2.7109375" style="2" customWidth="1"/>
    <col min="8" max="8" width="5.42578125" style="18" hidden="1" customWidth="1"/>
    <col min="9" max="9" width="8.42578125" style="18" bestFit="1" customWidth="1"/>
    <col min="10" max="10" width="12.5703125" style="18" bestFit="1" customWidth="1"/>
    <col min="11" max="11" width="16.7109375" style="18" customWidth="1"/>
    <col min="12" max="12" width="13.28515625" style="18" bestFit="1" customWidth="1"/>
    <col min="13" max="13" width="9.85546875" style="18" bestFit="1" customWidth="1"/>
    <col min="14" max="14" width="7.140625" style="18" bestFit="1" customWidth="1"/>
    <col min="15" max="15" width="9.42578125" style="18" bestFit="1" customWidth="1"/>
    <col min="16" max="16" width="13.85546875" style="18" bestFit="1" customWidth="1"/>
    <col min="17" max="17" width="18.42578125" style="18" bestFit="1" customWidth="1"/>
    <col min="18" max="18" width="13.42578125" style="18" bestFit="1" customWidth="1"/>
    <col min="19" max="19" width="13.140625" style="18" bestFit="1" customWidth="1"/>
    <col min="20" max="20" width="25.28515625" style="18" bestFit="1" customWidth="1"/>
    <col min="21" max="21" width="45.140625" style="18" customWidth="1"/>
    <col min="22" max="22" width="8.85546875" style="2" hidden="1" customWidth="1"/>
    <col min="23" max="51" width="0" style="2" hidden="1" customWidth="1"/>
    <col min="52" max="16384" width="8.85546875" style="2" hidden="1"/>
  </cols>
  <sheetData>
    <row r="1" spans="1:50" ht="20.100000000000001" customHeight="1" thickBot="1" x14ac:dyDescent="0.2">
      <c r="A1" s="108" t="s">
        <v>7</v>
      </c>
      <c r="B1" s="109"/>
      <c r="C1" s="110"/>
      <c r="D1" s="4"/>
      <c r="E1" s="4" t="s">
        <v>11</v>
      </c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00000000000001" customHeight="1" thickBot="1" x14ac:dyDescent="0.2">
      <c r="A2" s="106"/>
      <c r="B2" s="106"/>
      <c r="C2" s="106"/>
      <c r="D2" s="4"/>
      <c r="E2" s="10"/>
      <c r="F2" s="4"/>
      <c r="G2" s="8"/>
      <c r="H2" s="19" t="s">
        <v>12</v>
      </c>
      <c r="I2" s="20" t="s">
        <v>1172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00000000000001" customHeight="1" x14ac:dyDescent="0.15">
      <c r="A3" s="22"/>
      <c r="B3" s="111" t="s">
        <v>1532</v>
      </c>
      <c r="C3" s="111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00000000000001" customHeight="1" x14ac:dyDescent="0.15">
      <c r="A4" s="22"/>
      <c r="B4" s="111" t="s">
        <v>1533</v>
      </c>
      <c r="C4" s="111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00000000000001" customHeight="1" thickBot="1" x14ac:dyDescent="0.2">
      <c r="A5" s="22"/>
      <c r="B5" s="114" t="s">
        <v>1534</v>
      </c>
      <c r="C5" s="114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00000000000001" customHeight="1" thickBot="1" x14ac:dyDescent="0.2">
      <c r="A6" s="22"/>
      <c r="B6" s="114" t="s">
        <v>1535</v>
      </c>
      <c r="C6" s="114"/>
      <c r="D6" s="4"/>
      <c r="E6" s="10" t="s">
        <v>207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00000000000001" customHeight="1" thickBot="1" x14ac:dyDescent="0.2">
      <c r="A7" s="22"/>
      <c r="B7" s="111" t="s">
        <v>1536</v>
      </c>
      <c r="C7" s="111"/>
      <c r="D7" s="4"/>
      <c r="E7" s="4" t="s">
        <v>10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00000000000001" customHeight="1" thickBot="1" x14ac:dyDescent="0.2">
      <c r="A8" s="45"/>
      <c r="B8" s="111" t="s">
        <v>1537</v>
      </c>
      <c r="C8" s="111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00000000000001" customHeight="1" x14ac:dyDescent="0.15">
      <c r="A9" s="93"/>
      <c r="B9" s="111" t="s">
        <v>1540</v>
      </c>
      <c r="C9" s="111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00000000000001" customHeight="1" x14ac:dyDescent="0.15">
      <c r="A10" s="44"/>
      <c r="B10" s="44"/>
      <c r="C10" s="44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00000000000001" customHeight="1" x14ac:dyDescent="0.15">
      <c r="A11" s="44"/>
      <c r="B11" s="44"/>
      <c r="C11" s="44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00000000000001" customHeight="1" x14ac:dyDescent="0.15">
      <c r="A12" s="22"/>
      <c r="B12" s="22"/>
      <c r="C12" s="22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00000000000001" customHeight="1" x14ac:dyDescent="0.15">
      <c r="A13" s="22"/>
      <c r="B13" s="22"/>
      <c r="C13" s="22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00000000000001" customHeight="1" x14ac:dyDescent="0.15">
      <c r="A14" s="1"/>
      <c r="B14" s="1"/>
      <c r="C14" s="1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00000000000001" customHeight="1" x14ac:dyDescent="0.15">
      <c r="A15" s="44"/>
      <c r="B15" s="106" t="s">
        <v>5</v>
      </c>
      <c r="C15" s="106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00000000000001" customHeight="1" x14ac:dyDescent="0.15">
      <c r="A16" s="44"/>
      <c r="B16" s="106" t="s">
        <v>6</v>
      </c>
      <c r="C16" s="106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00000000000001" customHeight="1" x14ac:dyDescent="0.15">
      <c r="A17" s="44"/>
      <c r="B17" s="44"/>
      <c r="C17" s="44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00000000000001" customHeight="1" x14ac:dyDescent="0.15">
      <c r="A18" s="44"/>
      <c r="B18" s="107" t="s">
        <v>1120</v>
      </c>
      <c r="C18" s="107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00000000000001" customHeight="1" x14ac:dyDescent="0.1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00000000000001" customHeight="1" x14ac:dyDescent="0.15">
      <c r="A20" s="1"/>
      <c r="B20" s="1"/>
      <c r="C20" s="1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00000000000001" customHeight="1" x14ac:dyDescent="0.15">
      <c r="A21" s="1"/>
      <c r="B21" s="1"/>
      <c r="C21" s="1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00000000000001" customHeight="1" x14ac:dyDescent="0.15">
      <c r="A22" s="1"/>
      <c r="B22" s="1"/>
      <c r="C22" s="1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00000000000001" customHeight="1" x14ac:dyDescent="0.15">
      <c r="A23" s="1"/>
      <c r="B23" s="1"/>
      <c r="C23" s="1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00000000000001" customHeight="1" x14ac:dyDescent="0.15">
      <c r="A24" s="1"/>
      <c r="B24" s="1"/>
      <c r="C24" s="1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00000000000001" customHeight="1" x14ac:dyDescent="0.15">
      <c r="A25" s="1"/>
      <c r="B25" s="1"/>
      <c r="C25" s="1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00000000000001" customHeight="1" x14ac:dyDescent="0.15">
      <c r="A26" s="1"/>
      <c r="B26" s="1"/>
      <c r="C26" s="1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00000000000001" customHeight="1" x14ac:dyDescent="0.15">
      <c r="A27" s="1"/>
      <c r="B27" s="1"/>
      <c r="C27" s="1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00000000000001" customHeight="1" thickBot="1" x14ac:dyDescent="0.2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1169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15">
      <c r="G29" s="13"/>
      <c r="H29" s="17">
        <v>644</v>
      </c>
      <c r="I29" s="17" t="s">
        <v>233</v>
      </c>
      <c r="J29" s="17" t="s">
        <v>237</v>
      </c>
      <c r="K29" s="17" t="s">
        <v>234</v>
      </c>
      <c r="L29" s="17" t="s">
        <v>238</v>
      </c>
      <c r="M29" s="17" t="s">
        <v>226</v>
      </c>
      <c r="N29" s="17">
        <v>2022</v>
      </c>
      <c r="O29" s="17" t="s">
        <v>227</v>
      </c>
      <c r="P29" s="17" t="s">
        <v>235</v>
      </c>
      <c r="Q29" s="17" t="s">
        <v>229</v>
      </c>
      <c r="R29" s="17" t="s">
        <v>230</v>
      </c>
      <c r="S29" s="17"/>
      <c r="T29" s="17" t="s">
        <v>236</v>
      </c>
      <c r="U29" s="17"/>
    </row>
    <row r="30" spans="1:50" hidden="1" x14ac:dyDescent="0.15">
      <c r="H30" s="18">
        <v>645</v>
      </c>
      <c r="I30" s="18" t="s">
        <v>233</v>
      </c>
      <c r="J30" s="18" t="s">
        <v>239</v>
      </c>
      <c r="K30" s="18" t="s">
        <v>234</v>
      </c>
      <c r="L30" s="18" t="s">
        <v>240</v>
      </c>
      <c r="M30" s="18" t="s">
        <v>226</v>
      </c>
      <c r="N30" s="18">
        <v>2022</v>
      </c>
      <c r="O30" s="18" t="s">
        <v>227</v>
      </c>
      <c r="P30" s="18" t="s">
        <v>235</v>
      </c>
      <c r="Q30" s="18" t="s">
        <v>229</v>
      </c>
      <c r="R30" s="18" t="s">
        <v>230</v>
      </c>
      <c r="T30" s="18" t="s">
        <v>236</v>
      </c>
    </row>
    <row r="31" spans="1:50" hidden="1" x14ac:dyDescent="0.15">
      <c r="H31" s="18">
        <v>646</v>
      </c>
      <c r="I31" s="18" t="s">
        <v>233</v>
      </c>
      <c r="J31" s="18" t="s">
        <v>241</v>
      </c>
      <c r="K31" s="18" t="s">
        <v>234</v>
      </c>
      <c r="L31" s="18" t="s">
        <v>240</v>
      </c>
      <c r="M31" s="18" t="s">
        <v>226</v>
      </c>
      <c r="N31" s="18">
        <v>2022</v>
      </c>
      <c r="O31" s="18" t="s">
        <v>227</v>
      </c>
      <c r="P31" s="18" t="s">
        <v>235</v>
      </c>
      <c r="Q31" s="18" t="s">
        <v>229</v>
      </c>
      <c r="R31" s="18" t="s">
        <v>230</v>
      </c>
      <c r="T31" s="18" t="s">
        <v>236</v>
      </c>
    </row>
    <row r="32" spans="1:50" hidden="1" x14ac:dyDescent="0.15">
      <c r="H32" s="18">
        <v>647</v>
      </c>
      <c r="I32" s="18" t="s">
        <v>233</v>
      </c>
      <c r="J32" s="18" t="s">
        <v>242</v>
      </c>
      <c r="K32" s="18" t="s">
        <v>234</v>
      </c>
      <c r="L32" s="18" t="s">
        <v>243</v>
      </c>
      <c r="M32" s="18" t="s">
        <v>226</v>
      </c>
      <c r="N32" s="18">
        <v>2022</v>
      </c>
      <c r="O32" s="18" t="s">
        <v>227</v>
      </c>
      <c r="P32" s="18" t="s">
        <v>235</v>
      </c>
      <c r="Q32" s="18" t="s">
        <v>229</v>
      </c>
      <c r="R32" s="18" t="s">
        <v>230</v>
      </c>
      <c r="T32" s="18" t="s">
        <v>236</v>
      </c>
    </row>
    <row r="33" spans="8:20" hidden="1" x14ac:dyDescent="0.15">
      <c r="H33" s="18">
        <v>507</v>
      </c>
      <c r="I33" s="18" t="s">
        <v>233</v>
      </c>
      <c r="J33" s="18" t="s">
        <v>244</v>
      </c>
      <c r="K33" s="18" t="s">
        <v>234</v>
      </c>
      <c r="L33" s="18" t="s">
        <v>245</v>
      </c>
      <c r="M33" s="18" t="s">
        <v>226</v>
      </c>
      <c r="N33" s="18">
        <v>2022</v>
      </c>
      <c r="O33" s="18" t="s">
        <v>227</v>
      </c>
      <c r="P33" s="18" t="s">
        <v>228</v>
      </c>
      <c r="Q33" s="18" t="s">
        <v>229</v>
      </c>
      <c r="R33" s="18" t="s">
        <v>230</v>
      </c>
      <c r="S33" s="18" t="s">
        <v>92</v>
      </c>
      <c r="T33" s="18" t="s">
        <v>232</v>
      </c>
    </row>
    <row r="34" spans="8:20" hidden="1" x14ac:dyDescent="0.15">
      <c r="H34" s="18">
        <v>633</v>
      </c>
      <c r="I34" s="18" t="s">
        <v>233</v>
      </c>
      <c r="J34" s="18" t="s">
        <v>246</v>
      </c>
      <c r="K34" s="18" t="s">
        <v>234</v>
      </c>
      <c r="L34" s="18" t="s">
        <v>247</v>
      </c>
      <c r="M34" s="18" t="s">
        <v>226</v>
      </c>
      <c r="N34" s="18">
        <v>2022</v>
      </c>
      <c r="O34" s="18" t="s">
        <v>227</v>
      </c>
      <c r="P34" s="18" t="s">
        <v>228</v>
      </c>
      <c r="Q34" s="18" t="s">
        <v>229</v>
      </c>
      <c r="R34" s="18" t="s">
        <v>230</v>
      </c>
      <c r="T34" s="18" t="s">
        <v>232</v>
      </c>
    </row>
    <row r="35" spans="8:20" hidden="1" x14ac:dyDescent="0.15">
      <c r="H35" s="18">
        <v>634</v>
      </c>
      <c r="I35" s="18" t="s">
        <v>233</v>
      </c>
      <c r="J35" s="18" t="s">
        <v>248</v>
      </c>
      <c r="K35" s="18" t="s">
        <v>234</v>
      </c>
      <c r="L35" s="18" t="s">
        <v>249</v>
      </c>
      <c r="M35" s="18" t="s">
        <v>226</v>
      </c>
      <c r="N35" s="18">
        <v>2022</v>
      </c>
      <c r="O35" s="18" t="s">
        <v>227</v>
      </c>
      <c r="P35" s="18" t="s">
        <v>228</v>
      </c>
      <c r="Q35" s="18" t="s">
        <v>229</v>
      </c>
      <c r="R35" s="18" t="s">
        <v>230</v>
      </c>
      <c r="T35" s="18" t="s">
        <v>232</v>
      </c>
    </row>
    <row r="36" spans="8:20" hidden="1" x14ac:dyDescent="0.15">
      <c r="H36" s="18">
        <v>635</v>
      </c>
      <c r="I36" s="18" t="s">
        <v>233</v>
      </c>
      <c r="J36" s="18" t="s">
        <v>250</v>
      </c>
      <c r="K36" s="18" t="s">
        <v>234</v>
      </c>
      <c r="L36" s="18" t="s">
        <v>251</v>
      </c>
      <c r="M36" s="18" t="s">
        <v>226</v>
      </c>
      <c r="N36" s="18">
        <v>2022</v>
      </c>
      <c r="O36" s="18" t="s">
        <v>227</v>
      </c>
      <c r="P36" s="18" t="s">
        <v>228</v>
      </c>
      <c r="Q36" s="18" t="s">
        <v>229</v>
      </c>
      <c r="R36" s="18" t="s">
        <v>230</v>
      </c>
      <c r="T36" s="18" t="s">
        <v>232</v>
      </c>
    </row>
    <row r="37" spans="8:20" hidden="1" x14ac:dyDescent="0.15">
      <c r="H37" s="18">
        <v>636</v>
      </c>
      <c r="I37" s="18" t="s">
        <v>233</v>
      </c>
      <c r="J37" s="18" t="s">
        <v>252</v>
      </c>
      <c r="K37" s="18" t="s">
        <v>234</v>
      </c>
      <c r="L37" s="18" t="s">
        <v>253</v>
      </c>
      <c r="M37" s="18" t="s">
        <v>226</v>
      </c>
      <c r="N37" s="18">
        <v>2022</v>
      </c>
      <c r="O37" s="18" t="s">
        <v>227</v>
      </c>
      <c r="P37" s="18" t="s">
        <v>228</v>
      </c>
      <c r="Q37" s="18" t="s">
        <v>229</v>
      </c>
      <c r="R37" s="18" t="s">
        <v>230</v>
      </c>
      <c r="T37" s="18" t="s">
        <v>232</v>
      </c>
    </row>
    <row r="38" spans="8:20" hidden="1" x14ac:dyDescent="0.15">
      <c r="H38" s="18">
        <v>637</v>
      </c>
      <c r="I38" s="18" t="s">
        <v>233</v>
      </c>
      <c r="J38" s="18" t="s">
        <v>254</v>
      </c>
      <c r="K38" s="18" t="s">
        <v>234</v>
      </c>
      <c r="L38" s="18" t="s">
        <v>255</v>
      </c>
      <c r="M38" s="18" t="s">
        <v>226</v>
      </c>
      <c r="N38" s="18">
        <v>2022</v>
      </c>
      <c r="O38" s="18" t="s">
        <v>227</v>
      </c>
      <c r="P38" s="18" t="s">
        <v>228</v>
      </c>
      <c r="Q38" s="18" t="s">
        <v>229</v>
      </c>
      <c r="R38" s="18" t="s">
        <v>230</v>
      </c>
      <c r="T38" s="18" t="s">
        <v>232</v>
      </c>
    </row>
    <row r="39" spans="8:20" hidden="1" x14ac:dyDescent="0.15">
      <c r="H39" s="18">
        <v>638</v>
      </c>
      <c r="I39" s="18" t="s">
        <v>233</v>
      </c>
      <c r="J39" s="18" t="s">
        <v>256</v>
      </c>
      <c r="K39" s="18" t="s">
        <v>234</v>
      </c>
      <c r="L39" s="18" t="s">
        <v>257</v>
      </c>
      <c r="M39" s="18" t="s">
        <v>226</v>
      </c>
      <c r="N39" s="18">
        <v>2022</v>
      </c>
      <c r="O39" s="18" t="s">
        <v>227</v>
      </c>
      <c r="P39" s="18" t="s">
        <v>228</v>
      </c>
      <c r="Q39" s="18" t="s">
        <v>229</v>
      </c>
      <c r="R39" s="18" t="s">
        <v>230</v>
      </c>
      <c r="T39" s="18" t="s">
        <v>232</v>
      </c>
    </row>
    <row r="40" spans="8:20" hidden="1" x14ac:dyDescent="0.15">
      <c r="H40" s="18">
        <v>640</v>
      </c>
      <c r="I40" s="18" t="s">
        <v>233</v>
      </c>
      <c r="J40" s="18" t="s">
        <v>258</v>
      </c>
      <c r="K40" s="18" t="s">
        <v>234</v>
      </c>
      <c r="L40" s="18" t="s">
        <v>259</v>
      </c>
      <c r="M40" s="18" t="s">
        <v>226</v>
      </c>
      <c r="N40" s="18">
        <v>2022</v>
      </c>
      <c r="O40" s="18" t="s">
        <v>227</v>
      </c>
      <c r="P40" s="18" t="s">
        <v>228</v>
      </c>
      <c r="Q40" s="18" t="s">
        <v>229</v>
      </c>
      <c r="R40" s="18" t="s">
        <v>230</v>
      </c>
      <c r="T40" s="18" t="s">
        <v>232</v>
      </c>
    </row>
  </sheetData>
  <mergeCells count="12">
    <mergeCell ref="B15:C15"/>
    <mergeCell ref="B16:C16"/>
    <mergeCell ref="B18:C18"/>
    <mergeCell ref="A1:C1"/>
    <mergeCell ref="A2:C2"/>
    <mergeCell ref="B3:C3"/>
    <mergeCell ref="B4:C4"/>
    <mergeCell ref="B6:C6"/>
    <mergeCell ref="B5:C5"/>
    <mergeCell ref="B7:C7"/>
    <mergeCell ref="B8:C8"/>
    <mergeCell ref="B9:C9"/>
  </mergeCells>
  <phoneticPr fontId="1" type="noConversion"/>
  <conditionalFormatting sqref="I3:I27">
    <cfRule type="cellIs" dxfId="133" priority="5" operator="equal">
      <formula>"CLOSE"</formula>
    </cfRule>
    <cfRule type="cellIs" dxfId="132" priority="6" operator="equal">
      <formula>"수정"</formula>
    </cfRule>
    <cfRule type="cellIs" dxfId="131" priority="7" operator="equal">
      <formula>"UPDATED"</formula>
    </cfRule>
  </conditionalFormatting>
  <conditionalFormatting sqref="E2">
    <cfRule type="containsBlanks" dxfId="130" priority="4">
      <formula>LEN(TRIM(E2))=0</formula>
    </cfRule>
    <cfRule type="notContainsBlanks" dxfId="129" priority="8">
      <formula>LEN(TRIM(E2))&gt;0</formula>
    </cfRule>
  </conditionalFormatting>
  <conditionalFormatting sqref="E8 E6">
    <cfRule type="containsBlanks" dxfId="128" priority="2">
      <formula>LEN(TRIM(E6))=0</formula>
    </cfRule>
  </conditionalFormatting>
  <conditionalFormatting sqref="E6 E8">
    <cfRule type="notContainsBlanks" dxfId="127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"1팀,2팀,3팀,5팀"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3F7228AC-FBA9-4767-9CCD-AA4154F3262F}"/>
    <hyperlink ref="B4:C4" location="PO관리!A1" display="2. PO 관리" xr:uid="{A1343913-BE39-416B-A201-DB471F6AB5C8}"/>
    <hyperlink ref="B5:C5" location="지출계획!A1" display="3. 지출계획" xr:uid="{55D9B4E7-AD10-4BA9-808E-3F4B04106F80}"/>
    <hyperlink ref="B6:C6" location="매출채권!A1" display="4. 매출채권" xr:uid="{ED4B9860-B849-41CB-B337-26A1E1CF697E}"/>
    <hyperlink ref="B7:C7" location="체크리스트!A1" display="5. 체크리스트" xr:uid="{67A8FCAC-2A31-4D1C-9EFA-688CD56071AC}"/>
    <hyperlink ref="B18:C18" r:id="rId1" display="대시보드" xr:uid="{E1DD6DEB-8A2D-4D57-9584-2DCFE3ECF688}"/>
    <hyperlink ref="B8:C8" location="발주서!A1" display="6. 발주서" xr:uid="{95B60F03-542E-45F2-B881-CFDAB30FDA12}"/>
    <hyperlink ref="B9:C9" location="Tracking!A1" display="Tracking" xr:uid="{F2ACE06A-0D2D-4F02-86D3-A1A8A80A765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D54F6B9-608F-4456-9F6B-A663066A18C7}">
          <x14:formula1>
            <xm:f>validation!$B$2:$B$9</xm:f>
          </x14:formula1>
          <xm:sqref>M3:M27</xm:sqref>
        </x14:dataValidation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3053DE38-5152-4F03-94D3-3643B6F540A0}">
          <x14:formula1>
            <xm:f>validation!$I$2:$I$32</xm:f>
          </x14:formula1>
          <xm:sqref>T3:T27</xm:sqref>
        </x14:dataValidation>
        <x14:dataValidation type="list" allowBlank="1" showInputMessage="1" showErrorMessage="1" xr:uid="{DBEBF3DA-3CF1-4AA3-A5A7-266B66F2E4F9}">
          <x14:formula1>
            <xm:f>validation!$A$2:$A$60</xm:f>
          </x14:formula1>
          <xm:sqref>K3:K27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D23" sqref="D23"/>
    </sheetView>
  </sheetViews>
  <sheetFormatPr defaultColWidth="8.85546875" defaultRowHeight="12" x14ac:dyDescent="0.15"/>
  <cols>
    <col min="1" max="1" width="30" style="25" bestFit="1" customWidth="1"/>
    <col min="2" max="2" width="8.85546875" style="25"/>
    <col min="3" max="3" width="17.140625" style="25" customWidth="1"/>
    <col min="4" max="7" width="8.85546875" style="25"/>
    <col min="8" max="8" width="5.42578125" style="25" bestFit="1" customWidth="1"/>
    <col min="9" max="9" width="8.42578125" style="25" bestFit="1" customWidth="1"/>
    <col min="10" max="10" width="12.5703125" style="25" bestFit="1" customWidth="1"/>
    <col min="11" max="11" width="14.140625" style="25" bestFit="1" customWidth="1"/>
    <col min="12" max="12" width="13.28515625" style="25" bestFit="1" customWidth="1"/>
    <col min="13" max="13" width="9.85546875" style="25" bestFit="1" customWidth="1"/>
    <col min="14" max="14" width="7.140625" style="25" bestFit="1" customWidth="1"/>
    <col min="15" max="15" width="9.42578125" style="25" bestFit="1" customWidth="1"/>
    <col min="16" max="16" width="13.85546875" style="25" bestFit="1" customWidth="1"/>
    <col min="17" max="17" width="16.140625" style="25" bestFit="1" customWidth="1"/>
    <col min="18" max="18" width="13.42578125" style="25" bestFit="1" customWidth="1"/>
    <col min="19" max="19" width="13.140625" style="25" bestFit="1" customWidth="1"/>
    <col min="20" max="20" width="30" style="25" bestFit="1" customWidth="1"/>
    <col min="21" max="21" width="8.140625" style="25" bestFit="1" customWidth="1"/>
    <col min="22" max="16384" width="8.85546875" style="25"/>
  </cols>
  <sheetData>
    <row r="1" spans="1:21" x14ac:dyDescent="0.15">
      <c r="A1" s="25" t="s">
        <v>1553</v>
      </c>
    </row>
    <row r="2" spans="1:21" x14ac:dyDescent="0.15">
      <c r="B2" s="19" t="s">
        <v>12</v>
      </c>
      <c r="C2" s="20" t="s">
        <v>1518</v>
      </c>
      <c r="H2" s="19" t="s">
        <v>12</v>
      </c>
      <c r="I2" s="20" t="s">
        <v>25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</row>
    <row r="3" spans="1:21" x14ac:dyDescent="0.15">
      <c r="A3" s="25">
        <v>1151</v>
      </c>
      <c r="B3" s="25">
        <v>1145</v>
      </c>
      <c r="C3" s="25" t="s">
        <v>1122</v>
      </c>
      <c r="H3" s="25">
        <v>1145</v>
      </c>
      <c r="I3" s="25" t="s">
        <v>1122</v>
      </c>
      <c r="J3" s="25" t="s">
        <v>1121</v>
      </c>
      <c r="K3" s="25" t="s">
        <v>1123</v>
      </c>
      <c r="L3" s="25" t="s">
        <v>226</v>
      </c>
      <c r="M3" s="25">
        <v>2022</v>
      </c>
      <c r="N3" s="25" t="s">
        <v>227</v>
      </c>
      <c r="O3" s="25" t="s">
        <v>228</v>
      </c>
      <c r="P3" s="25" t="s">
        <v>229</v>
      </c>
      <c r="Q3" s="25" t="s">
        <v>230</v>
      </c>
      <c r="S3" s="25" t="s">
        <v>231</v>
      </c>
    </row>
    <row r="4" spans="1:21" x14ac:dyDescent="0.15">
      <c r="A4" s="25" t="s">
        <v>1134</v>
      </c>
      <c r="B4" s="25">
        <v>1146</v>
      </c>
      <c r="C4" s="25" t="s">
        <v>1124</v>
      </c>
      <c r="H4" s="25">
        <v>1146</v>
      </c>
      <c r="I4" s="25" t="s">
        <v>1124</v>
      </c>
      <c r="J4" s="25" t="s">
        <v>1121</v>
      </c>
      <c r="K4" s="25" t="s">
        <v>1125</v>
      </c>
      <c r="L4" s="25" t="s">
        <v>226</v>
      </c>
      <c r="M4" s="25">
        <v>2022</v>
      </c>
      <c r="N4" s="25" t="s">
        <v>227</v>
      </c>
      <c r="O4" s="25" t="s">
        <v>228</v>
      </c>
      <c r="P4" s="25" t="s">
        <v>229</v>
      </c>
      <c r="Q4" s="25" t="s">
        <v>230</v>
      </c>
      <c r="S4" s="25" t="s">
        <v>231</v>
      </c>
    </row>
    <row r="5" spans="1:21" x14ac:dyDescent="0.15">
      <c r="A5" s="25" t="s">
        <v>1121</v>
      </c>
      <c r="B5" s="25">
        <v>1147</v>
      </c>
      <c r="C5" s="25" t="s">
        <v>1126</v>
      </c>
      <c r="H5" s="25">
        <v>1147</v>
      </c>
      <c r="I5" s="25" t="s">
        <v>1126</v>
      </c>
      <c r="J5" s="25" t="s">
        <v>1121</v>
      </c>
      <c r="K5" s="25" t="s">
        <v>1127</v>
      </c>
      <c r="L5" s="25" t="s">
        <v>226</v>
      </c>
      <c r="M5" s="25">
        <v>2022</v>
      </c>
      <c r="N5" s="25" t="s">
        <v>227</v>
      </c>
      <c r="O5" s="25" t="s">
        <v>228</v>
      </c>
      <c r="P5" s="25" t="s">
        <v>229</v>
      </c>
      <c r="Q5" s="25" t="s">
        <v>230</v>
      </c>
      <c r="S5" s="25" t="s">
        <v>231</v>
      </c>
    </row>
    <row r="6" spans="1:21" x14ac:dyDescent="0.15">
      <c r="A6" s="25" t="s">
        <v>1135</v>
      </c>
      <c r="B6" s="25">
        <v>1148</v>
      </c>
      <c r="C6" s="25" t="s">
        <v>1128</v>
      </c>
      <c r="H6" s="25">
        <v>1148</v>
      </c>
      <c r="I6" s="25" t="s">
        <v>1128</v>
      </c>
      <c r="J6" s="25" t="s">
        <v>1121</v>
      </c>
      <c r="K6" s="25" t="s">
        <v>1129</v>
      </c>
      <c r="L6" s="25" t="s">
        <v>226</v>
      </c>
      <c r="M6" s="25">
        <v>2022</v>
      </c>
      <c r="N6" s="25" t="s">
        <v>227</v>
      </c>
      <c r="O6" s="25" t="s">
        <v>228</v>
      </c>
      <c r="P6" s="25" t="s">
        <v>229</v>
      </c>
      <c r="Q6" s="25" t="s">
        <v>230</v>
      </c>
      <c r="S6" s="25" t="s">
        <v>231</v>
      </c>
    </row>
    <row r="7" spans="1:21" x14ac:dyDescent="0.15">
      <c r="A7" s="25" t="s">
        <v>226</v>
      </c>
      <c r="B7" s="25">
        <v>1149</v>
      </c>
      <c r="C7" s="25" t="s">
        <v>1130</v>
      </c>
      <c r="H7" s="25">
        <v>1149</v>
      </c>
      <c r="I7" s="25" t="s">
        <v>1130</v>
      </c>
      <c r="J7" s="25" t="s">
        <v>1121</v>
      </c>
      <c r="K7" s="25" t="s">
        <v>1131</v>
      </c>
      <c r="L7" s="25" t="s">
        <v>226</v>
      </c>
      <c r="M7" s="25">
        <v>2022</v>
      </c>
      <c r="N7" s="25" t="s">
        <v>227</v>
      </c>
      <c r="O7" s="25" t="s">
        <v>228</v>
      </c>
      <c r="P7" s="25" t="s">
        <v>229</v>
      </c>
      <c r="Q7" s="25" t="s">
        <v>230</v>
      </c>
      <c r="S7" s="25" t="s">
        <v>231</v>
      </c>
    </row>
    <row r="8" spans="1:21" x14ac:dyDescent="0.15">
      <c r="A8" s="25">
        <v>2022</v>
      </c>
      <c r="B8" s="25">
        <v>1150</v>
      </c>
      <c r="C8" s="25" t="s">
        <v>1132</v>
      </c>
      <c r="H8" s="25">
        <v>1150</v>
      </c>
      <c r="I8" s="25" t="s">
        <v>1132</v>
      </c>
      <c r="J8" s="25" t="s">
        <v>1121</v>
      </c>
      <c r="K8" s="25" t="s">
        <v>1133</v>
      </c>
      <c r="L8" s="25" t="s">
        <v>226</v>
      </c>
      <c r="M8" s="25">
        <v>2022</v>
      </c>
      <c r="N8" s="25" t="s">
        <v>227</v>
      </c>
      <c r="O8" s="25" t="s">
        <v>228</v>
      </c>
      <c r="P8" s="25" t="s">
        <v>229</v>
      </c>
      <c r="Q8" s="25" t="s">
        <v>230</v>
      </c>
      <c r="S8" s="25" t="s">
        <v>231</v>
      </c>
    </row>
    <row r="9" spans="1:21" x14ac:dyDescent="0.15">
      <c r="A9" s="25" t="s">
        <v>227</v>
      </c>
      <c r="B9" s="25">
        <v>1151</v>
      </c>
      <c r="C9" s="25" t="s">
        <v>1134</v>
      </c>
      <c r="H9" s="25">
        <v>1151</v>
      </c>
      <c r="I9" s="25" t="s">
        <v>1134</v>
      </c>
      <c r="J9" s="25" t="s">
        <v>1121</v>
      </c>
      <c r="K9" s="25" t="s">
        <v>1135</v>
      </c>
      <c r="L9" s="25" t="s">
        <v>226</v>
      </c>
      <c r="M9" s="25">
        <v>2022</v>
      </c>
      <c r="N9" s="25" t="s">
        <v>227</v>
      </c>
      <c r="O9" s="25" t="s">
        <v>228</v>
      </c>
      <c r="P9" s="25" t="s">
        <v>229</v>
      </c>
      <c r="Q9" s="25" t="s">
        <v>230</v>
      </c>
      <c r="S9" s="25" t="s">
        <v>231</v>
      </c>
    </row>
    <row r="10" spans="1:21" x14ac:dyDescent="0.15">
      <c r="A10" s="25" t="s">
        <v>228</v>
      </c>
      <c r="B10" s="25">
        <v>1152</v>
      </c>
      <c r="C10" s="25" t="s">
        <v>1136</v>
      </c>
      <c r="H10" s="25">
        <v>1152</v>
      </c>
      <c r="I10" s="25" t="s">
        <v>1136</v>
      </c>
      <c r="J10" s="25" t="s">
        <v>1121</v>
      </c>
      <c r="K10" s="25" t="s">
        <v>1137</v>
      </c>
      <c r="L10" s="25" t="s">
        <v>226</v>
      </c>
      <c r="M10" s="25">
        <v>2022</v>
      </c>
      <c r="N10" s="25" t="s">
        <v>227</v>
      </c>
      <c r="O10" s="25" t="s">
        <v>228</v>
      </c>
      <c r="P10" s="25" t="s">
        <v>229</v>
      </c>
      <c r="Q10" s="25" t="s">
        <v>230</v>
      </c>
      <c r="S10" s="25" t="s">
        <v>231</v>
      </c>
    </row>
    <row r="11" spans="1:21" x14ac:dyDescent="0.15">
      <c r="A11" s="25" t="s">
        <v>229</v>
      </c>
      <c r="B11" s="25">
        <v>1153</v>
      </c>
      <c r="C11" s="25" t="s">
        <v>1138</v>
      </c>
      <c r="H11" s="25">
        <v>1153</v>
      </c>
      <c r="I11" s="25" t="s">
        <v>1138</v>
      </c>
      <c r="J11" s="25" t="s">
        <v>1121</v>
      </c>
      <c r="K11" s="25" t="s">
        <v>1139</v>
      </c>
      <c r="L11" s="25" t="s">
        <v>226</v>
      </c>
      <c r="M11" s="25">
        <v>2022</v>
      </c>
      <c r="N11" s="25" t="s">
        <v>227</v>
      </c>
      <c r="O11" s="25" t="s">
        <v>228</v>
      </c>
      <c r="P11" s="25" t="s">
        <v>229</v>
      </c>
      <c r="Q11" s="25" t="s">
        <v>230</v>
      </c>
      <c r="S11" s="25" t="s">
        <v>231</v>
      </c>
    </row>
    <row r="12" spans="1:21" x14ac:dyDescent="0.15">
      <c r="A12" s="25" t="s">
        <v>230</v>
      </c>
      <c r="B12" s="25">
        <v>1154</v>
      </c>
      <c r="C12" s="25" t="s">
        <v>1140</v>
      </c>
      <c r="H12" s="25">
        <v>1154</v>
      </c>
      <c r="I12" s="25" t="s">
        <v>1140</v>
      </c>
      <c r="J12" s="25" t="s">
        <v>1121</v>
      </c>
      <c r="K12" s="25" t="s">
        <v>1141</v>
      </c>
      <c r="L12" s="25" t="s">
        <v>226</v>
      </c>
      <c r="M12" s="25">
        <v>2022</v>
      </c>
      <c r="N12" s="25" t="s">
        <v>227</v>
      </c>
      <c r="O12" s="25" t="s">
        <v>228</v>
      </c>
      <c r="P12" s="25" t="s">
        <v>229</v>
      </c>
      <c r="Q12" s="25" t="s">
        <v>230</v>
      </c>
      <c r="S12" s="25" t="s">
        <v>231</v>
      </c>
    </row>
    <row r="13" spans="1:21" x14ac:dyDescent="0.15">
      <c r="B13" s="25">
        <v>1155</v>
      </c>
      <c r="C13" s="25" t="s">
        <v>1142</v>
      </c>
      <c r="H13" s="25">
        <v>1155</v>
      </c>
      <c r="I13" s="25" t="s">
        <v>1142</v>
      </c>
      <c r="J13" s="25" t="s">
        <v>1121</v>
      </c>
      <c r="K13" s="25" t="s">
        <v>1143</v>
      </c>
      <c r="L13" s="25" t="s">
        <v>226</v>
      </c>
      <c r="M13" s="25">
        <v>2022</v>
      </c>
      <c r="N13" s="25" t="s">
        <v>227</v>
      </c>
      <c r="O13" s="25" t="s">
        <v>228</v>
      </c>
      <c r="P13" s="25" t="s">
        <v>229</v>
      </c>
      <c r="Q13" s="25" t="s">
        <v>230</v>
      </c>
      <c r="S13" s="25" t="s">
        <v>231</v>
      </c>
    </row>
    <row r="14" spans="1:21" x14ac:dyDescent="0.15">
      <c r="A14" s="25" t="s">
        <v>231</v>
      </c>
      <c r="B14" s="25">
        <v>1156</v>
      </c>
      <c r="C14" s="25" t="s">
        <v>1144</v>
      </c>
      <c r="H14" s="25">
        <v>1156</v>
      </c>
      <c r="I14" s="25" t="s">
        <v>1144</v>
      </c>
      <c r="J14" s="25" t="s">
        <v>1121</v>
      </c>
      <c r="K14" s="25" t="s">
        <v>1145</v>
      </c>
      <c r="L14" s="25" t="s">
        <v>226</v>
      </c>
      <c r="M14" s="25">
        <v>2022</v>
      </c>
      <c r="N14" s="25" t="s">
        <v>227</v>
      </c>
      <c r="O14" s="25" t="s">
        <v>228</v>
      </c>
      <c r="P14" s="25" t="s">
        <v>229</v>
      </c>
      <c r="Q14" s="25" t="s">
        <v>230</v>
      </c>
      <c r="S14" s="25" t="s">
        <v>231</v>
      </c>
    </row>
    <row r="15" spans="1:21" x14ac:dyDescent="0.15">
      <c r="B15" s="25">
        <v>1157</v>
      </c>
      <c r="C15" s="25" t="s">
        <v>1146</v>
      </c>
      <c r="H15" s="25">
        <v>1157</v>
      </c>
      <c r="I15" s="25" t="s">
        <v>1146</v>
      </c>
      <c r="J15" s="25" t="s">
        <v>1121</v>
      </c>
      <c r="K15" s="25" t="s">
        <v>1147</v>
      </c>
      <c r="L15" s="25" t="s">
        <v>226</v>
      </c>
      <c r="M15" s="25">
        <v>2022</v>
      </c>
      <c r="N15" s="25" t="s">
        <v>227</v>
      </c>
      <c r="O15" s="25" t="s">
        <v>228</v>
      </c>
      <c r="P15" s="25" t="s">
        <v>229</v>
      </c>
      <c r="Q15" s="25" t="s">
        <v>230</v>
      </c>
      <c r="S15" s="25" t="s">
        <v>231</v>
      </c>
    </row>
    <row r="16" spans="1:21" x14ac:dyDescent="0.15">
      <c r="B16" s="25">
        <v>1158</v>
      </c>
      <c r="C16" s="25" t="s">
        <v>1148</v>
      </c>
      <c r="H16" s="25">
        <v>1158</v>
      </c>
      <c r="I16" s="25" t="s">
        <v>1148</v>
      </c>
      <c r="J16" s="25" t="s">
        <v>1121</v>
      </c>
      <c r="K16" s="25" t="s">
        <v>1149</v>
      </c>
      <c r="L16" s="25" t="s">
        <v>226</v>
      </c>
      <c r="M16" s="25">
        <v>2022</v>
      </c>
      <c r="N16" s="25" t="s">
        <v>227</v>
      </c>
      <c r="O16" s="25" t="s">
        <v>228</v>
      </c>
      <c r="P16" s="25" t="s">
        <v>229</v>
      </c>
      <c r="Q16" s="25" t="s">
        <v>230</v>
      </c>
      <c r="S16" s="25" t="s">
        <v>231</v>
      </c>
    </row>
    <row r="17" spans="8:19" x14ac:dyDescent="0.15">
      <c r="H17" s="25">
        <v>1159</v>
      </c>
      <c r="I17" s="25" t="s">
        <v>1150</v>
      </c>
      <c r="J17" s="25" t="s">
        <v>1121</v>
      </c>
      <c r="K17" s="25" t="s">
        <v>1151</v>
      </c>
      <c r="L17" s="25" t="s">
        <v>226</v>
      </c>
      <c r="M17" s="25">
        <v>2022</v>
      </c>
      <c r="N17" s="25" t="s">
        <v>227</v>
      </c>
      <c r="O17" s="25" t="s">
        <v>228</v>
      </c>
      <c r="P17" s="25" t="s">
        <v>229</v>
      </c>
      <c r="Q17" s="25" t="s">
        <v>230</v>
      </c>
      <c r="S17" s="25" t="s">
        <v>231</v>
      </c>
    </row>
    <row r="18" spans="8:19" x14ac:dyDescent="0.15">
      <c r="H18" s="25">
        <v>1160</v>
      </c>
      <c r="I18" s="25" t="s">
        <v>1152</v>
      </c>
      <c r="J18" s="25" t="s">
        <v>1121</v>
      </c>
      <c r="K18" s="25" t="s">
        <v>1153</v>
      </c>
      <c r="L18" s="25" t="s">
        <v>226</v>
      </c>
      <c r="M18" s="25">
        <v>2022</v>
      </c>
      <c r="N18" s="25" t="s">
        <v>227</v>
      </c>
      <c r="O18" s="25" t="s">
        <v>228</v>
      </c>
      <c r="P18" s="25" t="s">
        <v>229</v>
      </c>
      <c r="Q18" s="25" t="s">
        <v>230</v>
      </c>
      <c r="S18" s="25" t="s">
        <v>231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AW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I12" sqref="I12"/>
    </sheetView>
  </sheetViews>
  <sheetFormatPr defaultColWidth="0" defaultRowHeight="11.25" zeroHeight="1" x14ac:dyDescent="0.15"/>
  <cols>
    <col min="1" max="1" width="4.7109375" style="3" customWidth="1"/>
    <col min="2" max="2" width="2.7109375" style="3" customWidth="1"/>
    <col min="3" max="3" width="15.7109375" style="3" customWidth="1"/>
    <col min="4" max="4" width="4.7109375" style="3" customWidth="1"/>
    <col min="5" max="5" width="20.7109375" style="3" customWidth="1"/>
    <col min="6" max="6" width="2.7109375" style="3" customWidth="1"/>
    <col min="7" max="7" width="2.7109375" style="2" customWidth="1"/>
    <col min="8" max="8" width="8.140625" style="18" hidden="1" customWidth="1"/>
    <col min="9" max="9" width="8.7109375" style="18" customWidth="1"/>
    <col min="10" max="11" width="15.7109375" style="18" customWidth="1"/>
    <col min="12" max="12" width="8.7109375" style="18" customWidth="1"/>
    <col min="13" max="13" width="20.7109375" style="18" customWidth="1"/>
    <col min="14" max="14" width="7.7109375" style="18" customWidth="1"/>
    <col min="15" max="15" width="35.7109375" style="18" customWidth="1"/>
    <col min="16" max="16" width="10.7109375" style="18" customWidth="1"/>
    <col min="17" max="17" width="11.7109375" style="33" bestFit="1" customWidth="1"/>
    <col min="18" max="19" width="10.7109375" style="34" customWidth="1"/>
    <col min="20" max="20" width="30.7109375" style="18" customWidth="1"/>
    <col min="21" max="21" width="8.85546875" style="2" hidden="1" customWidth="1"/>
    <col min="22" max="49" width="0" style="2" hidden="1" customWidth="1"/>
    <col min="50" max="16384" width="8.85546875" style="2" hidden="1"/>
  </cols>
  <sheetData>
    <row r="1" spans="1:20" ht="20.100000000000001" customHeight="1" thickBot="1" x14ac:dyDescent="0.2">
      <c r="A1" s="108" t="s">
        <v>7</v>
      </c>
      <c r="B1" s="109"/>
      <c r="C1" s="110"/>
      <c r="D1" s="4"/>
      <c r="E1" s="23" t="s">
        <v>209</v>
      </c>
      <c r="F1" s="4"/>
      <c r="G1" s="6"/>
      <c r="H1" s="43">
        <v>66</v>
      </c>
      <c r="I1" s="43">
        <v>1</v>
      </c>
      <c r="J1" s="43">
        <v>3</v>
      </c>
      <c r="K1" s="28"/>
      <c r="L1" s="28"/>
      <c r="M1" s="28"/>
      <c r="N1" s="28"/>
      <c r="O1" s="28"/>
      <c r="P1" s="28"/>
      <c r="Q1" s="29"/>
      <c r="R1" s="30"/>
      <c r="S1" s="30"/>
      <c r="T1" s="28"/>
    </row>
    <row r="2" spans="1:20" ht="20.100000000000001" customHeight="1" thickBot="1" x14ac:dyDescent="0.2">
      <c r="A2" s="106"/>
      <c r="B2" s="106"/>
      <c r="C2" s="106"/>
      <c r="D2" s="4"/>
      <c r="E2" s="10" t="s">
        <v>210</v>
      </c>
      <c r="F2" s="4"/>
      <c r="G2" s="8"/>
      <c r="H2" s="19" t="s">
        <v>12</v>
      </c>
      <c r="I2" s="20" t="s">
        <v>1172</v>
      </c>
      <c r="J2" s="15" t="s">
        <v>262</v>
      </c>
      <c r="K2" s="15" t="s">
        <v>263</v>
      </c>
      <c r="L2" s="15" t="s">
        <v>1176</v>
      </c>
      <c r="M2" s="20" t="s">
        <v>275</v>
      </c>
      <c r="N2" s="20" t="s">
        <v>264</v>
      </c>
      <c r="O2" s="20" t="s">
        <v>265</v>
      </c>
      <c r="P2" s="20" t="s">
        <v>266</v>
      </c>
      <c r="Q2" s="27" t="s">
        <v>267</v>
      </c>
      <c r="R2" s="26" t="s">
        <v>268</v>
      </c>
      <c r="S2" s="26" t="s">
        <v>269</v>
      </c>
      <c r="T2" s="20" t="s">
        <v>24</v>
      </c>
    </row>
    <row r="3" spans="1:20" ht="20.100000000000001" customHeight="1" x14ac:dyDescent="0.15">
      <c r="A3" s="1"/>
      <c r="B3" s="111" t="s">
        <v>1532</v>
      </c>
      <c r="C3" s="111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42"/>
      <c r="Q3" s="38"/>
      <c r="R3" s="39"/>
      <c r="S3" s="39"/>
      <c r="T3" s="16"/>
    </row>
    <row r="4" spans="1:20" ht="20.100000000000001" customHeight="1" x14ac:dyDescent="0.15">
      <c r="A4" s="1"/>
      <c r="B4" s="111" t="s">
        <v>1533</v>
      </c>
      <c r="C4" s="111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42"/>
      <c r="Q4" s="38"/>
      <c r="R4" s="39"/>
      <c r="S4" s="39"/>
      <c r="T4" s="16"/>
    </row>
    <row r="5" spans="1:20" ht="20.100000000000001" customHeight="1" x14ac:dyDescent="0.15">
      <c r="A5" s="1"/>
      <c r="B5" s="114" t="s">
        <v>1534</v>
      </c>
      <c r="C5" s="114"/>
      <c r="D5" s="4"/>
      <c r="E5" s="4"/>
      <c r="F5" s="4"/>
      <c r="G5" s="8"/>
      <c r="H5" s="16"/>
      <c r="I5" s="16"/>
      <c r="J5" s="16"/>
      <c r="K5" s="16"/>
      <c r="L5" s="16"/>
      <c r="M5" s="16"/>
      <c r="N5" s="16"/>
      <c r="O5" s="16"/>
      <c r="P5" s="42"/>
      <c r="Q5" s="38"/>
      <c r="R5" s="39"/>
      <c r="S5" s="39"/>
      <c r="T5" s="16"/>
    </row>
    <row r="6" spans="1:20" ht="20.100000000000001" customHeight="1" x14ac:dyDescent="0.15">
      <c r="A6" s="1"/>
      <c r="B6" s="114" t="s">
        <v>1535</v>
      </c>
      <c r="C6" s="114"/>
      <c r="D6" s="4"/>
      <c r="E6" s="4"/>
      <c r="F6" s="4"/>
      <c r="G6" s="8"/>
      <c r="H6" s="16"/>
      <c r="I6" s="16"/>
      <c r="J6" s="16"/>
      <c r="K6" s="16"/>
      <c r="L6" s="16"/>
      <c r="M6" s="16"/>
      <c r="N6" s="16"/>
      <c r="O6" s="16"/>
      <c r="P6" s="42"/>
      <c r="Q6" s="38"/>
      <c r="R6" s="39"/>
      <c r="S6" s="39"/>
      <c r="T6" s="16"/>
    </row>
    <row r="7" spans="1:20" ht="20.100000000000001" customHeight="1" thickBot="1" x14ac:dyDescent="0.2">
      <c r="A7" s="44"/>
      <c r="B7" s="111" t="s">
        <v>1536</v>
      </c>
      <c r="C7" s="111"/>
      <c r="D7" s="4"/>
      <c r="E7" s="4" t="s">
        <v>208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42"/>
      <c r="Q7" s="38"/>
      <c r="R7" s="39"/>
      <c r="S7" s="39"/>
      <c r="T7" s="16"/>
    </row>
    <row r="8" spans="1:20" ht="20.100000000000001" customHeight="1" thickBot="1" x14ac:dyDescent="0.2">
      <c r="A8" s="45"/>
      <c r="B8" s="111" t="s">
        <v>1537</v>
      </c>
      <c r="C8" s="111"/>
      <c r="D8" s="4"/>
      <c r="E8" s="10"/>
      <c r="F8" s="4"/>
      <c r="G8" s="8"/>
      <c r="H8" s="16"/>
      <c r="I8" s="16"/>
      <c r="J8" s="16"/>
      <c r="K8" s="16"/>
      <c r="L8" s="16"/>
      <c r="M8" s="16"/>
      <c r="N8" s="16"/>
      <c r="O8" s="16"/>
      <c r="P8" s="42"/>
      <c r="Q8" s="38"/>
      <c r="R8" s="39"/>
      <c r="S8" s="39"/>
      <c r="T8" s="16"/>
    </row>
    <row r="9" spans="1:20" ht="20.100000000000001" customHeight="1" x14ac:dyDescent="0.15">
      <c r="A9" s="93"/>
      <c r="B9" s="111" t="s">
        <v>1540</v>
      </c>
      <c r="C9" s="111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42"/>
      <c r="Q9" s="38"/>
      <c r="R9" s="39"/>
      <c r="S9" s="39"/>
      <c r="T9" s="16"/>
    </row>
    <row r="10" spans="1:20" ht="20.100000000000001" customHeight="1" x14ac:dyDescent="0.15">
      <c r="A10" s="44"/>
      <c r="B10" s="44"/>
      <c r="C10" s="44"/>
      <c r="D10" s="24"/>
      <c r="E10" s="35" t="s">
        <v>211</v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42"/>
      <c r="Q10" s="38"/>
      <c r="R10" s="39"/>
      <c r="S10" s="39"/>
      <c r="T10" s="16"/>
    </row>
    <row r="11" spans="1:20" ht="20.100000000000001" customHeight="1" x14ac:dyDescent="0.15">
      <c r="A11" s="44"/>
      <c r="B11" s="44"/>
      <c r="C11" s="44"/>
      <c r="D11" s="24" t="s">
        <v>218</v>
      </c>
      <c r="E11" s="36" t="str">
        <f>인덴트_임시!A4</f>
        <v>DHGK-2149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42"/>
      <c r="Q11" s="38"/>
      <c r="R11" s="39"/>
      <c r="S11" s="39"/>
      <c r="T11" s="16"/>
    </row>
    <row r="12" spans="1:20" ht="20.100000000000001" customHeight="1" x14ac:dyDescent="0.15">
      <c r="A12" s="44"/>
      <c r="B12" s="44"/>
      <c r="C12" s="44"/>
      <c r="D12" s="24" t="s">
        <v>219</v>
      </c>
      <c r="E12" s="35" t="s">
        <v>212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42"/>
      <c r="Q12" s="38"/>
      <c r="R12" s="39"/>
      <c r="S12" s="39"/>
      <c r="T12" s="16"/>
    </row>
    <row r="13" spans="1:20" ht="20.100000000000001" customHeight="1" x14ac:dyDescent="0.15">
      <c r="A13" s="44"/>
      <c r="B13" s="44"/>
      <c r="C13" s="44"/>
      <c r="D13" s="24" t="s">
        <v>220</v>
      </c>
      <c r="E13" s="36" t="str">
        <f>인덴트_임시!A5</f>
        <v>Maurices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42"/>
      <c r="Q13" s="38"/>
      <c r="R13" s="39"/>
      <c r="S13" s="39"/>
      <c r="T13" s="16"/>
    </row>
    <row r="14" spans="1:20" ht="20.100000000000001" customHeight="1" x14ac:dyDescent="0.15">
      <c r="A14" s="44"/>
      <c r="B14" s="44"/>
      <c r="C14" s="44"/>
      <c r="D14" s="24"/>
      <c r="E14" s="35" t="s">
        <v>213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42"/>
      <c r="Q14" s="38"/>
      <c r="R14" s="39"/>
      <c r="S14" s="39"/>
      <c r="T14" s="16"/>
    </row>
    <row r="15" spans="1:20" ht="20.100000000000001" customHeight="1" x14ac:dyDescent="0.15">
      <c r="A15" s="44"/>
      <c r="B15" s="106" t="s">
        <v>5</v>
      </c>
      <c r="C15" s="106"/>
      <c r="D15" s="24" t="s">
        <v>221</v>
      </c>
      <c r="E15" s="36" t="str">
        <f>인덴트_임시!A6</f>
        <v>ESGM21708J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42"/>
      <c r="Q15" s="38"/>
      <c r="R15" s="39"/>
      <c r="S15" s="39"/>
      <c r="T15" s="16"/>
    </row>
    <row r="16" spans="1:20" ht="20.100000000000001" customHeight="1" x14ac:dyDescent="0.15">
      <c r="A16" s="44"/>
      <c r="B16" s="106" t="s">
        <v>6</v>
      </c>
      <c r="C16" s="106"/>
      <c r="D16" s="24" t="s">
        <v>222</v>
      </c>
      <c r="E16" s="35" t="s">
        <v>214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42"/>
      <c r="Q16" s="38"/>
      <c r="R16" s="39"/>
      <c r="S16" s="39"/>
      <c r="T16" s="16"/>
    </row>
    <row r="17" spans="1:20" ht="20.100000000000001" customHeight="1" x14ac:dyDescent="0.15">
      <c r="A17" s="44"/>
      <c r="B17" s="44"/>
      <c r="C17" s="44"/>
      <c r="D17" s="24" t="s">
        <v>223</v>
      </c>
      <c r="E17" s="36" t="str">
        <f>인덴트_임시!A7&amp;" "&amp;인덴트_임시!A8</f>
        <v>SS 2022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42"/>
      <c r="Q17" s="38"/>
      <c r="R17" s="39"/>
      <c r="S17" s="39"/>
      <c r="T17" s="16"/>
    </row>
    <row r="18" spans="1:20" ht="20.100000000000001" customHeight="1" x14ac:dyDescent="0.15">
      <c r="A18" s="44"/>
      <c r="B18" s="107" t="s">
        <v>1120</v>
      </c>
      <c r="C18" s="107"/>
      <c r="D18" s="24"/>
      <c r="E18" s="35" t="s">
        <v>260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42"/>
      <c r="Q18" s="38"/>
      <c r="R18" s="39"/>
      <c r="S18" s="39"/>
      <c r="T18" s="16"/>
    </row>
    <row r="19" spans="1:20" ht="20.100000000000001" customHeight="1" x14ac:dyDescent="0.15">
      <c r="A19" s="22"/>
      <c r="B19" s="22"/>
      <c r="C19" s="22"/>
      <c r="D19" s="24" t="s">
        <v>224</v>
      </c>
      <c r="E19" s="36" t="str">
        <f>인덴트_임시!A10&amp;" "&amp;인덴트_임시!A9</f>
        <v>Knit Womens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42"/>
      <c r="Q19" s="38"/>
      <c r="R19" s="39"/>
      <c r="S19" s="39"/>
      <c r="T19" s="16"/>
    </row>
    <row r="20" spans="1:20" ht="20.100000000000001" customHeight="1" x14ac:dyDescent="0.15">
      <c r="A20" s="22"/>
      <c r="B20" s="22"/>
      <c r="C20" s="22"/>
      <c r="D20" s="24" t="s">
        <v>225</v>
      </c>
      <c r="E20" s="35" t="s">
        <v>215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42"/>
      <c r="Q20" s="38"/>
      <c r="R20" s="39"/>
      <c r="S20" s="39"/>
      <c r="T20" s="16"/>
    </row>
    <row r="21" spans="1:20" ht="20.100000000000001" customHeight="1" x14ac:dyDescent="0.15">
      <c r="A21" s="22"/>
      <c r="B21" s="22"/>
      <c r="C21" s="22"/>
      <c r="D21" s="24"/>
      <c r="E21" s="36" t="str">
        <f>인덴트_임시!A11</f>
        <v>Swimwear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42"/>
      <c r="Q21" s="38"/>
      <c r="R21" s="39"/>
      <c r="S21" s="39"/>
      <c r="T21" s="16"/>
    </row>
    <row r="22" spans="1:20" ht="20.100000000000001" customHeight="1" x14ac:dyDescent="0.15">
      <c r="A22" s="22"/>
      <c r="B22" s="22"/>
      <c r="C22" s="22"/>
      <c r="D22" s="24"/>
      <c r="E22" s="35" t="s">
        <v>216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42"/>
      <c r="Q22" s="38"/>
      <c r="R22" s="39"/>
      <c r="S22" s="39"/>
      <c r="T22" s="16"/>
    </row>
    <row r="23" spans="1:20" ht="20.100000000000001" customHeight="1" x14ac:dyDescent="0.15">
      <c r="A23" s="22"/>
      <c r="B23" s="22"/>
      <c r="C23" s="22"/>
      <c r="D23" s="24"/>
      <c r="E23" s="36" t="str">
        <f>인덴트_임시!A12</f>
        <v>Bulk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42"/>
      <c r="Q23" s="38"/>
      <c r="R23" s="39"/>
      <c r="S23" s="39"/>
      <c r="T23" s="16"/>
    </row>
    <row r="24" spans="1:20" ht="20.100000000000001" customHeight="1" x14ac:dyDescent="0.15">
      <c r="A24" s="1"/>
      <c r="B24" s="1"/>
      <c r="C24" s="1"/>
      <c r="D24" s="24"/>
      <c r="E24" s="35" t="s">
        <v>261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42"/>
      <c r="Q24" s="38"/>
      <c r="R24" s="39"/>
      <c r="S24" s="39"/>
      <c r="T24" s="16"/>
    </row>
    <row r="25" spans="1:20" ht="20.100000000000001" customHeight="1" x14ac:dyDescent="0.15">
      <c r="A25" s="1"/>
      <c r="B25" s="1"/>
      <c r="C25" s="1"/>
      <c r="D25" s="24"/>
      <c r="E25" s="36" t="str">
        <f>IF(인덴트_임시!A13="","",인덴트_임시!A13)</f>
        <v/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42"/>
      <c r="Q25" s="38"/>
      <c r="R25" s="39"/>
      <c r="S25" s="39"/>
      <c r="T25" s="16"/>
    </row>
    <row r="26" spans="1:20" ht="20.100000000000001" customHeight="1" x14ac:dyDescent="0.15">
      <c r="A26" s="1"/>
      <c r="B26" s="1"/>
      <c r="C26" s="1"/>
      <c r="D26" s="24"/>
      <c r="E26" s="35" t="s">
        <v>217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42"/>
      <c r="Q26" s="38"/>
      <c r="R26" s="39"/>
      <c r="S26" s="39"/>
      <c r="T26" s="16"/>
    </row>
    <row r="27" spans="1:20" ht="20.100000000000001" customHeight="1" thickBot="1" x14ac:dyDescent="0.2">
      <c r="A27" s="1"/>
      <c r="B27" s="1"/>
      <c r="C27" s="1"/>
      <c r="D27" s="24"/>
      <c r="E27" s="37" t="str">
        <f>인덴트_임시!A14</f>
        <v>Thien Son Hung Yen Co., Ltd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42"/>
      <c r="Q27" s="38"/>
      <c r="R27" s="39"/>
      <c r="S27" s="39"/>
      <c r="T27" s="16"/>
    </row>
    <row r="28" spans="1:20" ht="20.100000000000001" customHeight="1" x14ac:dyDescent="0.15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31"/>
      <c r="R28" s="32"/>
      <c r="S28" s="32"/>
      <c r="T28" s="14" t="s">
        <v>1517</v>
      </c>
    </row>
  </sheetData>
  <mergeCells count="12">
    <mergeCell ref="B15:C15"/>
    <mergeCell ref="B16:C16"/>
    <mergeCell ref="B18:C18"/>
    <mergeCell ref="A1:C1"/>
    <mergeCell ref="A2:C2"/>
    <mergeCell ref="B3:C3"/>
    <mergeCell ref="B4:C4"/>
    <mergeCell ref="B5:C5"/>
    <mergeCell ref="B6:C6"/>
    <mergeCell ref="B7:C7"/>
    <mergeCell ref="B8:C8"/>
    <mergeCell ref="B9:C9"/>
  </mergeCells>
  <phoneticPr fontId="1" type="noConversion"/>
  <conditionalFormatting sqref="E2">
    <cfRule type="cellIs" dxfId="126" priority="6" operator="equal">
      <formula>"Buyer PO"</formula>
    </cfRule>
    <cfRule type="cellIs" dxfId="125" priority="7" operator="equal">
      <formula>"Commit PO"</formula>
    </cfRule>
  </conditionalFormatting>
  <conditionalFormatting sqref="E8">
    <cfRule type="containsBlanks" dxfId="124" priority="5">
      <formula>LEN(TRIM(E8))=0</formula>
    </cfRule>
  </conditionalFormatting>
  <conditionalFormatting sqref="I3:I27">
    <cfRule type="cellIs" dxfId="123" priority="1" operator="equal">
      <formula>"DELETED"</formula>
    </cfRule>
    <cfRule type="cellIs" dxfId="122" priority="2" operator="equal">
      <formula>"삭제"</formula>
    </cfRule>
    <cfRule type="cellIs" dxfId="121" priority="3" operator="equal">
      <formula>"수정"</formula>
    </cfRule>
    <cfRule type="cellIs" dxfId="120" priority="4" operator="equal">
      <formula>"UPDATED"</formula>
    </cfRule>
  </conditionalFormatting>
  <dataValidations count="5">
    <dataValidation type="list" allowBlank="1" showInputMessage="1" showErrorMessage="1" sqref="A1:C1" xr:uid="{D9243765-2859-4D67-AACE-858369B0E353}">
      <formula1>"Lee International,Daehan Global Korea"</formula1>
    </dataValidation>
    <dataValidation type="list" allowBlank="1" showInputMessage="1" showErrorMessage="1" sqref="E2" xr:uid="{4B9C46BF-2779-489A-8D24-081EC2AE7A53}">
      <formula1>"Buyer PO,Commit PO"</formula1>
    </dataValidation>
    <dataValidation type="list" allowBlank="1" showInputMessage="1" showErrorMessage="1" sqref="L3:L28" xr:uid="{2B718DEE-3A8C-44FA-8398-94DC155F7B54}">
      <formula1>"Sea,Air,Courier"</formula1>
    </dataValidation>
    <dataValidation type="list" allowBlank="1" showInputMessage="1" showErrorMessage="1" sqref="I28" xr:uid="{F08BC6AB-7364-4924-BFD0-B0C552C4F121}">
      <formula1>"수정,삭제,ACTIVATE,UPDATED"</formula1>
    </dataValidation>
    <dataValidation type="list" allowBlank="1" showInputMessage="1" showErrorMessage="1" sqref="I3:I27" xr:uid="{716BE5EC-C947-40D4-837B-D1092629ED7F}">
      <formula1>"수정,삭제,ACTIVATE,UPDATED,DELETED"</formula1>
    </dataValidation>
  </dataValidations>
  <hyperlinks>
    <hyperlink ref="B3:C3" location="인덴트관리!A1" display="1. 인덴트 관리" xr:uid="{86343D21-0A76-45E8-B2E9-51C025393F57}"/>
    <hyperlink ref="B4:C4" location="PO관리!A1" display="2. PO 관리" xr:uid="{B9B54976-F139-44AF-B6D1-96AD163378C1}"/>
    <hyperlink ref="B5:C5" location="지출계획!A1" display="3. 지출계획" xr:uid="{21E3026C-3533-464D-90E6-51687CD5F7DE}"/>
    <hyperlink ref="B6:C6" location="매출채권!A1" display="4. 매출채권" xr:uid="{462143C7-7784-4826-A499-AFD4DE5DEDC0}"/>
    <hyperlink ref="B7:C7" location="체크리스트!A1" display="5. 체크리스트" xr:uid="{8F58478A-0373-407A-B1D3-E979E94BF112}"/>
    <hyperlink ref="B18:C18" r:id="rId1" display="대시보드" xr:uid="{CFED5DFB-1044-4FBA-8C34-5D496E46EBF8}"/>
    <hyperlink ref="B8:C8" location="발주서!A1" display="6. 발주서" xr:uid="{59A64FCD-BC12-4920-A9E7-38034A470ADC}"/>
    <hyperlink ref="B9:C9" location="Tracking!A1" display="Tracking" xr:uid="{BCD7C909-DF0E-48E3-AA6E-8284D6561F0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M3:M27</xm:sqref>
        </x14:dataValidation>
        <x14:dataValidation type="list" errorStyle="warning" allowBlank="1" showInputMessage="1" showErrorMessage="1" errorTitle="신규 Market명 입니다. 자동 저장 됩니다.^^" xr:uid="{8E04EDC0-D56A-4827-A03A-D10797852353}">
          <x14:formula1>
            <xm:f>validation!$K$2:$K$28</xm:f>
          </x14:formula1>
          <xm:sqref>N3:N27</xm:sqref>
        </x14:dataValidation>
        <x14:dataValidation type="list" errorStyle="warning" allowBlank="1" showInputMessage="1" showErrorMessage="1" error="신규 Color명 입니다. 자동 저장 됩니다.^^" xr:uid="{4754EE61-A4D8-4417-8AB0-ABC36C4F2E33}">
          <x14:formula1>
            <xm:f>validation!$L$2:$L$304</xm:f>
          </x14:formula1>
          <xm:sqref>O3:O27</xm:sqref>
        </x14:dataValidation>
        <x14:dataValidation type="list" errorStyle="warning" allowBlank="1" showInputMessage="1" showErrorMessage="1" error="신규 Size명 입니다. 자동 저장 됩니다.^^" xr:uid="{BB67B5DB-D0E0-4C5D-B0B7-9E308001AC57}">
          <x14:formula1>
            <xm:f>validation!$M$2:$M$529</xm:f>
          </x14:formula1>
          <xm:sqref>P3:P27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XCW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.100000000000001" customHeight="1" zeroHeight="1" x14ac:dyDescent="0.15"/>
  <cols>
    <col min="1" max="1" width="4.7109375" style="3" customWidth="1"/>
    <col min="2" max="2" width="2.7109375" style="3" customWidth="1"/>
    <col min="3" max="3" width="15.7109375" style="3" customWidth="1"/>
    <col min="4" max="4" width="4.7109375" style="3" customWidth="1"/>
    <col min="5" max="5" width="20.7109375" style="3" customWidth="1"/>
    <col min="6" max="6" width="2.7109375" style="3" customWidth="1"/>
    <col min="7" max="7" width="2.7109375" style="2" customWidth="1"/>
    <col min="8" max="8" width="8.140625" style="18" hidden="1" customWidth="1"/>
    <col min="9" max="9" width="9.7109375" style="74" customWidth="1"/>
    <col min="10" max="10" width="8.140625" style="18" hidden="1" customWidth="1"/>
    <col min="11" max="11" width="16.140625" style="74" customWidth="1"/>
    <col min="12" max="12" width="8.140625" style="18" hidden="1" customWidth="1"/>
    <col min="13" max="13" width="11.7109375" style="74" customWidth="1"/>
    <col min="14" max="14" width="8.140625" style="18" hidden="1" customWidth="1"/>
    <col min="15" max="16" width="16.140625" style="74" customWidth="1"/>
    <col min="17" max="17" width="10.7109375" style="75" customWidth="1"/>
    <col min="18" max="19" width="18.7109375" style="74" customWidth="1"/>
    <col min="20" max="20" width="8.140625" style="84" hidden="1" customWidth="1"/>
    <col min="21" max="21" width="16.140625" style="74" customWidth="1"/>
    <col min="22" max="22" width="8.140625" style="84" hidden="1" customWidth="1"/>
    <col min="23" max="23" width="16.140625" style="76" customWidth="1"/>
    <col min="24" max="24" width="8.140625" style="84" hidden="1" customWidth="1"/>
    <col min="25" max="25" width="16.140625" style="77" customWidth="1"/>
    <col min="26" max="26" width="8.140625" style="18" hidden="1" customWidth="1"/>
    <col min="27" max="27" width="13.7109375" style="77" customWidth="1"/>
    <col min="28" max="28" width="10.7109375" style="56" customWidth="1"/>
    <col min="29" max="29" width="8.7109375" style="53" customWidth="1"/>
    <col min="30" max="30" width="8.7109375" style="49" customWidth="1"/>
    <col min="31" max="89" width="0" style="2" hidden="1" customWidth="1"/>
    <col min="90" max="16325" width="8.85546875" style="2" hidden="1"/>
    <col min="16326" max="16384" width="0" style="2" hidden="1"/>
  </cols>
  <sheetData>
    <row r="1" spans="1:30" ht="20.100000000000001" customHeight="1" thickBot="1" x14ac:dyDescent="0.2">
      <c r="A1" s="108" t="s">
        <v>7</v>
      </c>
      <c r="B1" s="109"/>
      <c r="C1" s="110"/>
      <c r="D1" s="4"/>
      <c r="E1" s="4"/>
      <c r="F1" s="4"/>
      <c r="G1" s="6"/>
      <c r="H1" s="43">
        <v>62</v>
      </c>
      <c r="I1" s="60">
        <v>1</v>
      </c>
      <c r="J1" s="43">
        <v>3</v>
      </c>
      <c r="K1" s="60">
        <v>4</v>
      </c>
      <c r="L1" s="43"/>
      <c r="M1" s="60">
        <v>4</v>
      </c>
      <c r="N1" s="43">
        <v>77</v>
      </c>
      <c r="O1" s="59"/>
      <c r="P1" s="59"/>
      <c r="Q1" s="61"/>
      <c r="R1" s="59"/>
      <c r="S1" s="59"/>
      <c r="T1" s="80">
        <v>77</v>
      </c>
      <c r="U1" s="59"/>
      <c r="V1" s="80">
        <v>77</v>
      </c>
      <c r="W1" s="62"/>
      <c r="X1" s="80">
        <v>77</v>
      </c>
      <c r="Y1" s="63"/>
      <c r="Z1" s="43">
        <v>77</v>
      </c>
      <c r="AA1" s="63"/>
      <c r="AB1" s="54"/>
      <c r="AC1" s="50"/>
      <c r="AD1" s="46"/>
    </row>
    <row r="2" spans="1:30" ht="20.100000000000001" customHeight="1" x14ac:dyDescent="0.15">
      <c r="A2" s="106"/>
      <c r="B2" s="106"/>
      <c r="C2" s="106"/>
      <c r="D2" s="4"/>
      <c r="E2" s="4"/>
      <c r="F2" s="4"/>
      <c r="G2" s="8"/>
      <c r="H2" s="19" t="s">
        <v>12</v>
      </c>
      <c r="I2" s="64" t="s">
        <v>1172</v>
      </c>
      <c r="J2" s="19" t="s">
        <v>12</v>
      </c>
      <c r="K2" s="65" t="s">
        <v>1170</v>
      </c>
      <c r="L2" s="19" t="s">
        <v>12</v>
      </c>
      <c r="M2" s="65" t="s">
        <v>1171</v>
      </c>
      <c r="N2" s="19" t="s">
        <v>12</v>
      </c>
      <c r="O2" s="64" t="s">
        <v>1173</v>
      </c>
      <c r="P2" s="64" t="s">
        <v>1174</v>
      </c>
      <c r="Q2" s="64" t="s">
        <v>1175</v>
      </c>
      <c r="R2" s="64" t="s">
        <v>1178</v>
      </c>
      <c r="S2" s="64" t="s">
        <v>1177</v>
      </c>
      <c r="T2" s="81" t="s">
        <v>12</v>
      </c>
      <c r="U2" s="64" t="s">
        <v>1179</v>
      </c>
      <c r="V2" s="81" t="s">
        <v>12</v>
      </c>
      <c r="W2" s="64" t="s">
        <v>1180</v>
      </c>
      <c r="X2" s="81" t="s">
        <v>12</v>
      </c>
      <c r="Y2" s="64" t="s">
        <v>1181</v>
      </c>
      <c r="Z2" s="19" t="s">
        <v>12</v>
      </c>
      <c r="AA2" s="64" t="s">
        <v>1182</v>
      </c>
      <c r="AB2" s="57" t="s">
        <v>1183</v>
      </c>
      <c r="AC2" s="58" t="s">
        <v>1184</v>
      </c>
      <c r="AD2" s="78" t="s">
        <v>1515</v>
      </c>
    </row>
    <row r="3" spans="1:30" ht="20.100000000000001" customHeight="1" x14ac:dyDescent="0.15">
      <c r="A3" s="44"/>
      <c r="B3" s="111" t="s">
        <v>1532</v>
      </c>
      <c r="C3" s="111"/>
      <c r="D3" s="4"/>
      <c r="E3" s="4"/>
      <c r="F3" s="4"/>
      <c r="G3" s="8"/>
      <c r="H3" s="16"/>
      <c r="I3" s="16"/>
      <c r="J3" s="16"/>
      <c r="K3" s="66"/>
      <c r="L3" s="16"/>
      <c r="M3" s="66"/>
      <c r="N3" s="16"/>
      <c r="O3" s="66"/>
      <c r="P3" s="66"/>
      <c r="Q3" s="67"/>
      <c r="R3" s="66"/>
      <c r="S3" s="66"/>
      <c r="T3" s="82"/>
      <c r="U3" s="68"/>
      <c r="V3" s="82"/>
      <c r="W3" s="68"/>
      <c r="X3" s="82"/>
      <c r="Y3" s="69"/>
      <c r="Z3" s="16"/>
      <c r="AA3" s="69"/>
      <c r="AB3" s="55"/>
      <c r="AC3" s="51"/>
      <c r="AD3" s="47"/>
    </row>
    <row r="4" spans="1:30" ht="20.100000000000001" customHeight="1" x14ac:dyDescent="0.15">
      <c r="A4" s="44"/>
      <c r="B4" s="111" t="s">
        <v>1533</v>
      </c>
      <c r="C4" s="111"/>
      <c r="D4" s="4"/>
      <c r="E4" s="4"/>
      <c r="F4" s="4"/>
      <c r="G4" s="8"/>
      <c r="H4" s="16"/>
      <c r="I4" s="16"/>
      <c r="J4" s="16"/>
      <c r="K4" s="66"/>
      <c r="L4" s="16"/>
      <c r="M4" s="66"/>
      <c r="N4" s="16"/>
      <c r="O4" s="66"/>
      <c r="P4" s="66"/>
      <c r="Q4" s="67"/>
      <c r="R4" s="66"/>
      <c r="S4" s="66"/>
      <c r="T4" s="82"/>
      <c r="U4" s="68"/>
      <c r="V4" s="82"/>
      <c r="W4" s="68"/>
      <c r="X4" s="82"/>
      <c r="Y4" s="69"/>
      <c r="Z4" s="16"/>
      <c r="AA4" s="69"/>
      <c r="AB4" s="55"/>
      <c r="AC4" s="51"/>
      <c r="AD4" s="47"/>
    </row>
    <row r="5" spans="1:30" ht="20.100000000000001" customHeight="1" x14ac:dyDescent="0.15">
      <c r="A5" s="44"/>
      <c r="B5" s="114" t="s">
        <v>1534</v>
      </c>
      <c r="C5" s="114"/>
      <c r="D5" s="4"/>
      <c r="E5" s="4"/>
      <c r="F5" s="4"/>
      <c r="G5" s="8"/>
      <c r="H5" s="16"/>
      <c r="I5" s="16"/>
      <c r="J5" s="16"/>
      <c r="K5" s="66"/>
      <c r="L5" s="16"/>
      <c r="M5" s="66"/>
      <c r="N5" s="16"/>
      <c r="O5" s="66"/>
      <c r="P5" s="66"/>
      <c r="Q5" s="67"/>
      <c r="R5" s="66"/>
      <c r="S5" s="66"/>
      <c r="T5" s="82"/>
      <c r="U5" s="68"/>
      <c r="V5" s="82"/>
      <c r="W5" s="68"/>
      <c r="X5" s="82"/>
      <c r="Y5" s="69"/>
      <c r="Z5" s="16"/>
      <c r="AA5" s="69"/>
      <c r="AB5" s="55"/>
      <c r="AC5" s="51"/>
      <c r="AD5" s="47"/>
    </row>
    <row r="6" spans="1:30" ht="20.100000000000001" customHeight="1" x14ac:dyDescent="0.15">
      <c r="A6" s="44"/>
      <c r="B6" s="114" t="s">
        <v>1535</v>
      </c>
      <c r="C6" s="114"/>
      <c r="D6" s="112" t="s">
        <v>1514</v>
      </c>
      <c r="E6" s="112"/>
      <c r="F6" s="112"/>
      <c r="G6" s="8"/>
      <c r="H6" s="16"/>
      <c r="I6" s="16"/>
      <c r="J6" s="16"/>
      <c r="K6" s="66"/>
      <c r="L6" s="16"/>
      <c r="M6" s="66"/>
      <c r="N6" s="16"/>
      <c r="O6" s="66"/>
      <c r="P6" s="66"/>
      <c r="Q6" s="67"/>
      <c r="R6" s="66"/>
      <c r="S6" s="66"/>
      <c r="T6" s="82"/>
      <c r="U6" s="68"/>
      <c r="V6" s="82"/>
      <c r="W6" s="68"/>
      <c r="X6" s="82"/>
      <c r="Y6" s="69"/>
      <c r="Z6" s="16"/>
      <c r="AA6" s="69"/>
      <c r="AB6" s="55"/>
      <c r="AC6" s="51"/>
      <c r="AD6" s="47"/>
    </row>
    <row r="7" spans="1:30" ht="20.100000000000001" customHeight="1" x14ac:dyDescent="0.15">
      <c r="A7" s="44"/>
      <c r="B7" s="111" t="s">
        <v>1536</v>
      </c>
      <c r="C7" s="111"/>
      <c r="D7" s="4"/>
      <c r="E7" s="4"/>
      <c r="F7" s="4"/>
      <c r="G7" s="8"/>
      <c r="H7" s="16"/>
      <c r="I7" s="16"/>
      <c r="J7" s="16"/>
      <c r="K7" s="66"/>
      <c r="L7" s="16"/>
      <c r="M7" s="66"/>
      <c r="N7" s="16"/>
      <c r="O7" s="66"/>
      <c r="P7" s="66"/>
      <c r="Q7" s="67"/>
      <c r="R7" s="66"/>
      <c r="S7" s="66"/>
      <c r="T7" s="82"/>
      <c r="U7" s="68"/>
      <c r="V7" s="82"/>
      <c r="W7" s="68"/>
      <c r="X7" s="82"/>
      <c r="Y7" s="69"/>
      <c r="Z7" s="16"/>
      <c r="AA7" s="69"/>
      <c r="AB7" s="55"/>
      <c r="AC7" s="51"/>
      <c r="AD7" s="47"/>
    </row>
    <row r="8" spans="1:30" ht="20.100000000000001" customHeight="1" x14ac:dyDescent="0.15">
      <c r="A8" s="44"/>
      <c r="B8" s="111" t="s">
        <v>1537</v>
      </c>
      <c r="C8" s="111"/>
      <c r="D8" s="4"/>
      <c r="E8" s="4"/>
      <c r="F8" s="4"/>
      <c r="G8" s="8"/>
      <c r="H8" s="16"/>
      <c r="I8" s="16"/>
      <c r="J8" s="16"/>
      <c r="K8" s="66"/>
      <c r="L8" s="16"/>
      <c r="M8" s="66"/>
      <c r="N8" s="16"/>
      <c r="O8" s="66"/>
      <c r="P8" s="66"/>
      <c r="Q8" s="67"/>
      <c r="R8" s="66"/>
      <c r="S8" s="66"/>
      <c r="T8" s="82"/>
      <c r="U8" s="68"/>
      <c r="V8" s="82"/>
      <c r="W8" s="68"/>
      <c r="X8" s="82"/>
      <c r="Y8" s="69"/>
      <c r="Z8" s="16"/>
      <c r="AA8" s="69"/>
      <c r="AB8" s="55"/>
      <c r="AC8" s="51"/>
      <c r="AD8" s="47"/>
    </row>
    <row r="9" spans="1:30" ht="20.100000000000001" customHeight="1" x14ac:dyDescent="0.15">
      <c r="A9" s="93"/>
      <c r="B9" s="111" t="s">
        <v>1540</v>
      </c>
      <c r="C9" s="111"/>
      <c r="D9" s="4"/>
      <c r="E9" s="4"/>
      <c r="F9" s="4"/>
      <c r="G9" s="8"/>
      <c r="H9" s="16"/>
      <c r="I9" s="16"/>
      <c r="J9" s="16"/>
      <c r="K9" s="66"/>
      <c r="L9" s="16"/>
      <c r="M9" s="66"/>
      <c r="N9" s="16"/>
      <c r="O9" s="66"/>
      <c r="P9" s="66"/>
      <c r="Q9" s="67"/>
      <c r="R9" s="66"/>
      <c r="S9" s="66"/>
      <c r="T9" s="82"/>
      <c r="U9" s="68"/>
      <c r="V9" s="82"/>
      <c r="W9" s="68"/>
      <c r="X9" s="82"/>
      <c r="Y9" s="69"/>
      <c r="Z9" s="16"/>
      <c r="AA9" s="69"/>
      <c r="AB9" s="55"/>
      <c r="AC9" s="51"/>
      <c r="AD9" s="47"/>
    </row>
    <row r="10" spans="1:30" ht="20.100000000000001" customHeight="1" x14ac:dyDescent="0.15">
      <c r="A10" s="44"/>
      <c r="B10" s="44"/>
      <c r="C10" s="44"/>
      <c r="D10" s="24"/>
      <c r="E10" s="35" t="s">
        <v>211</v>
      </c>
      <c r="F10" s="4"/>
      <c r="G10" s="8"/>
      <c r="H10" s="16"/>
      <c r="I10" s="16"/>
      <c r="J10" s="16"/>
      <c r="K10" s="66"/>
      <c r="L10" s="16"/>
      <c r="M10" s="66"/>
      <c r="N10" s="16"/>
      <c r="O10" s="66"/>
      <c r="P10" s="66"/>
      <c r="Q10" s="67"/>
      <c r="R10" s="66"/>
      <c r="S10" s="66"/>
      <c r="T10" s="82"/>
      <c r="U10" s="68"/>
      <c r="V10" s="82"/>
      <c r="W10" s="68"/>
      <c r="X10" s="82"/>
      <c r="Y10" s="69"/>
      <c r="Z10" s="16"/>
      <c r="AA10" s="69"/>
      <c r="AB10" s="55"/>
      <c r="AC10" s="51"/>
      <c r="AD10" s="47"/>
    </row>
    <row r="11" spans="1:30" ht="20.100000000000001" customHeight="1" x14ac:dyDescent="0.15">
      <c r="A11" s="44"/>
      <c r="B11" s="44"/>
      <c r="C11" s="44"/>
      <c r="D11" s="24" t="s">
        <v>218</v>
      </c>
      <c r="E11" s="36" t="str">
        <f>인덴트_임시!A4</f>
        <v>DHGK-2149</v>
      </c>
      <c r="F11" s="4"/>
      <c r="G11" s="8"/>
      <c r="H11" s="16"/>
      <c r="I11" s="16"/>
      <c r="J11" s="16"/>
      <c r="K11" s="66"/>
      <c r="L11" s="16"/>
      <c r="M11" s="66"/>
      <c r="N11" s="16"/>
      <c r="O11" s="66"/>
      <c r="P11" s="66"/>
      <c r="Q11" s="67"/>
      <c r="R11" s="66"/>
      <c r="S11" s="66"/>
      <c r="T11" s="82"/>
      <c r="U11" s="68"/>
      <c r="V11" s="82"/>
      <c r="W11" s="68"/>
      <c r="X11" s="82"/>
      <c r="Y11" s="69"/>
      <c r="Z11" s="16"/>
      <c r="AA11" s="69"/>
      <c r="AB11" s="55"/>
      <c r="AC11" s="51"/>
      <c r="AD11" s="47"/>
    </row>
    <row r="12" spans="1:30" ht="20.100000000000001" customHeight="1" x14ac:dyDescent="0.15">
      <c r="A12" s="44"/>
      <c r="B12" s="44"/>
      <c r="C12" s="44"/>
      <c r="D12" s="24" t="s">
        <v>219</v>
      </c>
      <c r="E12" s="35" t="s">
        <v>212</v>
      </c>
      <c r="F12" s="4"/>
      <c r="G12" s="8"/>
      <c r="H12" s="16"/>
      <c r="I12" s="16"/>
      <c r="J12" s="16"/>
      <c r="K12" s="66"/>
      <c r="L12" s="16"/>
      <c r="M12" s="66"/>
      <c r="N12" s="16"/>
      <c r="O12" s="66"/>
      <c r="P12" s="66"/>
      <c r="Q12" s="67"/>
      <c r="R12" s="66"/>
      <c r="S12" s="66"/>
      <c r="T12" s="82"/>
      <c r="U12" s="68"/>
      <c r="V12" s="82"/>
      <c r="W12" s="68"/>
      <c r="X12" s="82"/>
      <c r="Y12" s="69"/>
      <c r="Z12" s="16"/>
      <c r="AA12" s="69"/>
      <c r="AB12" s="55"/>
      <c r="AC12" s="51"/>
      <c r="AD12" s="47"/>
    </row>
    <row r="13" spans="1:30" ht="20.100000000000001" customHeight="1" x14ac:dyDescent="0.15">
      <c r="A13" s="44"/>
      <c r="B13" s="44"/>
      <c r="C13" s="44"/>
      <c r="D13" s="24" t="s">
        <v>220</v>
      </c>
      <c r="E13" s="36" t="str">
        <f>인덴트_임시!A5</f>
        <v>Maurices</v>
      </c>
      <c r="F13" s="4"/>
      <c r="G13" s="8"/>
      <c r="H13" s="16"/>
      <c r="I13" s="16"/>
      <c r="J13" s="16"/>
      <c r="K13" s="66"/>
      <c r="L13" s="16"/>
      <c r="M13" s="66"/>
      <c r="N13" s="16"/>
      <c r="O13" s="66"/>
      <c r="P13" s="66"/>
      <c r="Q13" s="67"/>
      <c r="R13" s="66"/>
      <c r="S13" s="66"/>
      <c r="T13" s="82"/>
      <c r="U13" s="68"/>
      <c r="V13" s="82"/>
      <c r="W13" s="68"/>
      <c r="X13" s="82"/>
      <c r="Y13" s="69"/>
      <c r="Z13" s="16"/>
      <c r="AA13" s="69"/>
      <c r="AB13" s="55"/>
      <c r="AC13" s="51"/>
      <c r="AD13" s="47"/>
    </row>
    <row r="14" spans="1:30" ht="20.100000000000001" customHeight="1" x14ac:dyDescent="0.15">
      <c r="A14" s="44"/>
      <c r="B14" s="44"/>
      <c r="C14" s="44"/>
      <c r="D14" s="24"/>
      <c r="E14" s="35" t="s">
        <v>213</v>
      </c>
      <c r="F14" s="4"/>
      <c r="G14" s="8"/>
      <c r="H14" s="16"/>
      <c r="I14" s="16"/>
      <c r="J14" s="16"/>
      <c r="K14" s="66"/>
      <c r="L14" s="16"/>
      <c r="M14" s="66"/>
      <c r="N14" s="16"/>
      <c r="O14" s="66"/>
      <c r="P14" s="66"/>
      <c r="Q14" s="67"/>
      <c r="R14" s="66"/>
      <c r="S14" s="66"/>
      <c r="T14" s="82"/>
      <c r="U14" s="68"/>
      <c r="V14" s="82"/>
      <c r="W14" s="68"/>
      <c r="X14" s="82"/>
      <c r="Y14" s="69"/>
      <c r="Z14" s="16"/>
      <c r="AA14" s="69"/>
      <c r="AB14" s="55"/>
      <c r="AC14" s="51"/>
      <c r="AD14" s="47"/>
    </row>
    <row r="15" spans="1:30" ht="20.100000000000001" customHeight="1" x14ac:dyDescent="0.15">
      <c r="A15" s="44"/>
      <c r="B15" s="106" t="s">
        <v>5</v>
      </c>
      <c r="C15" s="106"/>
      <c r="D15" s="24" t="s">
        <v>221</v>
      </c>
      <c r="E15" s="36" t="str">
        <f>인덴트_임시!A6</f>
        <v>ESGM21708J</v>
      </c>
      <c r="F15" s="4"/>
      <c r="G15" s="8"/>
      <c r="H15" s="16"/>
      <c r="I15" s="16"/>
      <c r="J15" s="16"/>
      <c r="K15" s="66"/>
      <c r="L15" s="16"/>
      <c r="M15" s="66"/>
      <c r="N15" s="16"/>
      <c r="O15" s="66"/>
      <c r="P15" s="66"/>
      <c r="Q15" s="67"/>
      <c r="R15" s="66"/>
      <c r="S15" s="66"/>
      <c r="T15" s="82"/>
      <c r="U15" s="68"/>
      <c r="V15" s="82"/>
      <c r="W15" s="68"/>
      <c r="X15" s="82"/>
      <c r="Y15" s="69"/>
      <c r="Z15" s="16"/>
      <c r="AA15" s="69"/>
      <c r="AB15" s="55"/>
      <c r="AC15" s="51"/>
      <c r="AD15" s="47"/>
    </row>
    <row r="16" spans="1:30" ht="20.100000000000001" customHeight="1" x14ac:dyDescent="0.15">
      <c r="A16" s="44"/>
      <c r="B16" s="106" t="s">
        <v>6</v>
      </c>
      <c r="C16" s="106"/>
      <c r="D16" s="24" t="s">
        <v>222</v>
      </c>
      <c r="E16" s="35" t="s">
        <v>214</v>
      </c>
      <c r="F16" s="4"/>
      <c r="G16" s="8"/>
      <c r="H16" s="16"/>
      <c r="I16" s="16"/>
      <c r="J16" s="16"/>
      <c r="K16" s="66"/>
      <c r="L16" s="16"/>
      <c r="M16" s="66"/>
      <c r="N16" s="16"/>
      <c r="O16" s="66"/>
      <c r="P16" s="66"/>
      <c r="Q16" s="67"/>
      <c r="R16" s="66"/>
      <c r="S16" s="66"/>
      <c r="T16" s="82"/>
      <c r="U16" s="68"/>
      <c r="V16" s="82"/>
      <c r="W16" s="68"/>
      <c r="X16" s="82"/>
      <c r="Y16" s="69"/>
      <c r="Z16" s="16"/>
      <c r="AA16" s="69"/>
      <c r="AB16" s="55"/>
      <c r="AC16" s="51"/>
      <c r="AD16" s="47"/>
    </row>
    <row r="17" spans="1:30" ht="20.100000000000001" customHeight="1" x14ac:dyDescent="0.15">
      <c r="A17" s="44"/>
      <c r="B17" s="44"/>
      <c r="C17" s="44"/>
      <c r="D17" s="24" t="s">
        <v>223</v>
      </c>
      <c r="E17" s="36" t="str">
        <f>인덴트_임시!A7&amp;" "&amp;인덴트_임시!A8</f>
        <v>SS 2022</v>
      </c>
      <c r="F17" s="4"/>
      <c r="G17" s="8"/>
      <c r="H17" s="16"/>
      <c r="I17" s="16"/>
      <c r="J17" s="16"/>
      <c r="K17" s="66"/>
      <c r="L17" s="16"/>
      <c r="M17" s="66"/>
      <c r="N17" s="16"/>
      <c r="O17" s="66"/>
      <c r="P17" s="66"/>
      <c r="Q17" s="67"/>
      <c r="R17" s="66"/>
      <c r="S17" s="66"/>
      <c r="T17" s="82"/>
      <c r="U17" s="68"/>
      <c r="V17" s="82"/>
      <c r="W17" s="68"/>
      <c r="X17" s="82"/>
      <c r="Y17" s="69"/>
      <c r="Z17" s="16"/>
      <c r="AA17" s="69"/>
      <c r="AB17" s="55"/>
      <c r="AC17" s="51"/>
      <c r="AD17" s="47"/>
    </row>
    <row r="18" spans="1:30" ht="20.100000000000001" customHeight="1" x14ac:dyDescent="0.15">
      <c r="A18" s="44"/>
      <c r="B18" s="107" t="s">
        <v>1120</v>
      </c>
      <c r="C18" s="107"/>
      <c r="D18" s="24"/>
      <c r="E18" s="35" t="s">
        <v>260</v>
      </c>
      <c r="F18" s="4"/>
      <c r="G18" s="8"/>
      <c r="H18" s="16"/>
      <c r="I18" s="16"/>
      <c r="J18" s="16"/>
      <c r="K18" s="66"/>
      <c r="L18" s="16"/>
      <c r="M18" s="66"/>
      <c r="N18" s="16"/>
      <c r="O18" s="66"/>
      <c r="P18" s="66"/>
      <c r="Q18" s="67"/>
      <c r="R18" s="66"/>
      <c r="S18" s="66"/>
      <c r="T18" s="82"/>
      <c r="U18" s="68"/>
      <c r="V18" s="82"/>
      <c r="W18" s="68"/>
      <c r="X18" s="82"/>
      <c r="Y18" s="69"/>
      <c r="Z18" s="16"/>
      <c r="AA18" s="69"/>
      <c r="AB18" s="55"/>
      <c r="AC18" s="51"/>
      <c r="AD18" s="47"/>
    </row>
    <row r="19" spans="1:30" ht="20.100000000000001" customHeight="1" x14ac:dyDescent="0.15">
      <c r="A19" s="44"/>
      <c r="B19" s="44"/>
      <c r="C19" s="44"/>
      <c r="D19" s="24" t="s">
        <v>224</v>
      </c>
      <c r="E19" s="36" t="str">
        <f>인덴트_임시!A10&amp;" "&amp;인덴트_임시!A9</f>
        <v>Knit Womens</v>
      </c>
      <c r="F19" s="4"/>
      <c r="G19" s="8"/>
      <c r="H19" s="16"/>
      <c r="I19" s="16"/>
      <c r="J19" s="16"/>
      <c r="K19" s="66"/>
      <c r="L19" s="16"/>
      <c r="M19" s="66"/>
      <c r="N19" s="16"/>
      <c r="O19" s="66"/>
      <c r="P19" s="66"/>
      <c r="Q19" s="67"/>
      <c r="R19" s="66"/>
      <c r="S19" s="66"/>
      <c r="T19" s="82"/>
      <c r="U19" s="68"/>
      <c r="V19" s="82"/>
      <c r="W19" s="68"/>
      <c r="X19" s="82"/>
      <c r="Y19" s="69"/>
      <c r="Z19" s="16"/>
      <c r="AA19" s="69"/>
      <c r="AB19" s="55"/>
      <c r="AC19" s="51"/>
      <c r="AD19" s="47"/>
    </row>
    <row r="20" spans="1:30" ht="20.100000000000001" customHeight="1" x14ac:dyDescent="0.15">
      <c r="A20" s="44"/>
      <c r="B20" s="44"/>
      <c r="C20" s="44"/>
      <c r="D20" s="24" t="s">
        <v>225</v>
      </c>
      <c r="E20" s="35" t="s">
        <v>215</v>
      </c>
      <c r="F20" s="4"/>
      <c r="G20" s="8"/>
      <c r="H20" s="16"/>
      <c r="I20" s="16"/>
      <c r="J20" s="16"/>
      <c r="K20" s="66"/>
      <c r="L20" s="16"/>
      <c r="M20" s="66"/>
      <c r="N20" s="16"/>
      <c r="O20" s="66"/>
      <c r="P20" s="66"/>
      <c r="Q20" s="67"/>
      <c r="R20" s="66"/>
      <c r="S20" s="66"/>
      <c r="T20" s="82"/>
      <c r="U20" s="68"/>
      <c r="V20" s="82"/>
      <c r="W20" s="68"/>
      <c r="X20" s="82"/>
      <c r="Y20" s="69"/>
      <c r="Z20" s="16"/>
      <c r="AA20" s="69"/>
      <c r="AB20" s="55"/>
      <c r="AC20" s="51"/>
      <c r="AD20" s="47"/>
    </row>
    <row r="21" spans="1:30" ht="20.100000000000001" customHeight="1" x14ac:dyDescent="0.15">
      <c r="A21" s="44"/>
      <c r="B21" s="44"/>
      <c r="C21" s="44"/>
      <c r="D21" s="24"/>
      <c r="E21" s="36" t="str">
        <f>인덴트_임시!A11</f>
        <v>Swimwear</v>
      </c>
      <c r="F21" s="4"/>
      <c r="G21" s="8"/>
      <c r="H21" s="16"/>
      <c r="I21" s="16"/>
      <c r="J21" s="16"/>
      <c r="K21" s="66"/>
      <c r="L21" s="16"/>
      <c r="M21" s="66"/>
      <c r="N21" s="16"/>
      <c r="O21" s="66"/>
      <c r="P21" s="66"/>
      <c r="Q21" s="67"/>
      <c r="R21" s="66"/>
      <c r="S21" s="66"/>
      <c r="T21" s="82"/>
      <c r="U21" s="68"/>
      <c r="V21" s="82"/>
      <c r="W21" s="68"/>
      <c r="X21" s="82"/>
      <c r="Y21" s="69"/>
      <c r="Z21" s="16"/>
      <c r="AA21" s="69"/>
      <c r="AB21" s="55"/>
      <c r="AC21" s="51"/>
      <c r="AD21" s="47"/>
    </row>
    <row r="22" spans="1:30" ht="20.100000000000001" customHeight="1" x14ac:dyDescent="0.15">
      <c r="A22" s="44"/>
      <c r="B22" s="44"/>
      <c r="C22" s="44"/>
      <c r="D22" s="24"/>
      <c r="E22" s="35" t="s">
        <v>216</v>
      </c>
      <c r="F22" s="4"/>
      <c r="G22" s="8"/>
      <c r="H22" s="16"/>
      <c r="I22" s="16"/>
      <c r="J22" s="16"/>
      <c r="K22" s="66"/>
      <c r="L22" s="16"/>
      <c r="M22" s="66"/>
      <c r="N22" s="16"/>
      <c r="O22" s="66"/>
      <c r="P22" s="66"/>
      <c r="Q22" s="67"/>
      <c r="R22" s="66"/>
      <c r="S22" s="66"/>
      <c r="T22" s="82"/>
      <c r="U22" s="68"/>
      <c r="V22" s="82"/>
      <c r="W22" s="68"/>
      <c r="X22" s="82"/>
      <c r="Y22" s="69"/>
      <c r="Z22" s="16"/>
      <c r="AA22" s="69"/>
      <c r="AB22" s="55"/>
      <c r="AC22" s="51"/>
      <c r="AD22" s="47"/>
    </row>
    <row r="23" spans="1:30" ht="20.100000000000001" customHeight="1" x14ac:dyDescent="0.15">
      <c r="A23" s="44"/>
      <c r="B23" s="44"/>
      <c r="C23" s="44"/>
      <c r="D23" s="24"/>
      <c r="E23" s="36" t="str">
        <f>인덴트_임시!A12</f>
        <v>Bulk</v>
      </c>
      <c r="F23" s="4"/>
      <c r="G23" s="8"/>
      <c r="H23" s="16"/>
      <c r="I23" s="16"/>
      <c r="J23" s="16"/>
      <c r="K23" s="66"/>
      <c r="L23" s="16"/>
      <c r="M23" s="66"/>
      <c r="N23" s="16"/>
      <c r="O23" s="66"/>
      <c r="P23" s="66"/>
      <c r="Q23" s="67"/>
      <c r="R23" s="66"/>
      <c r="S23" s="66"/>
      <c r="T23" s="82"/>
      <c r="U23" s="68"/>
      <c r="V23" s="82"/>
      <c r="W23" s="68"/>
      <c r="X23" s="82"/>
      <c r="Y23" s="69"/>
      <c r="Z23" s="16"/>
      <c r="AA23" s="69"/>
      <c r="AB23" s="55"/>
      <c r="AC23" s="51"/>
      <c r="AD23" s="47"/>
    </row>
    <row r="24" spans="1:30" ht="20.100000000000001" customHeight="1" x14ac:dyDescent="0.15">
      <c r="A24" s="44"/>
      <c r="B24" s="44"/>
      <c r="C24" s="44"/>
      <c r="D24" s="24"/>
      <c r="E24" s="35" t="s">
        <v>261</v>
      </c>
      <c r="F24" s="4"/>
      <c r="G24" s="8"/>
      <c r="H24" s="16"/>
      <c r="I24" s="16"/>
      <c r="J24" s="16"/>
      <c r="K24" s="66"/>
      <c r="L24" s="16"/>
      <c r="M24" s="66"/>
      <c r="N24" s="16"/>
      <c r="O24" s="66"/>
      <c r="P24" s="66"/>
      <c r="Q24" s="67"/>
      <c r="R24" s="66"/>
      <c r="S24" s="66"/>
      <c r="T24" s="82"/>
      <c r="U24" s="68"/>
      <c r="V24" s="82"/>
      <c r="W24" s="68"/>
      <c r="X24" s="82"/>
      <c r="Y24" s="69"/>
      <c r="Z24" s="16"/>
      <c r="AA24" s="69"/>
      <c r="AB24" s="55"/>
      <c r="AC24" s="51"/>
      <c r="AD24" s="47"/>
    </row>
    <row r="25" spans="1:30" ht="20.100000000000001" customHeight="1" x14ac:dyDescent="0.15">
      <c r="A25" s="44"/>
      <c r="B25" s="44"/>
      <c r="C25" s="44"/>
      <c r="D25" s="24"/>
      <c r="E25" s="36" t="str">
        <f>IF(인덴트_임시!A13="","",인덴트_임시!A13)</f>
        <v/>
      </c>
      <c r="F25" s="4"/>
      <c r="G25" s="8"/>
      <c r="H25" s="16"/>
      <c r="I25" s="16"/>
      <c r="J25" s="16"/>
      <c r="K25" s="66"/>
      <c r="L25" s="16"/>
      <c r="M25" s="66"/>
      <c r="N25" s="16"/>
      <c r="O25" s="66"/>
      <c r="P25" s="66"/>
      <c r="Q25" s="67"/>
      <c r="R25" s="66"/>
      <c r="S25" s="66"/>
      <c r="T25" s="82"/>
      <c r="U25" s="68"/>
      <c r="V25" s="82"/>
      <c r="W25" s="68"/>
      <c r="X25" s="82"/>
      <c r="Y25" s="69"/>
      <c r="Z25" s="16"/>
      <c r="AA25" s="69"/>
      <c r="AB25" s="55"/>
      <c r="AC25" s="51"/>
      <c r="AD25" s="47"/>
    </row>
    <row r="26" spans="1:30" ht="20.100000000000001" customHeight="1" x14ac:dyDescent="0.15">
      <c r="A26" s="44"/>
      <c r="B26" s="44"/>
      <c r="C26" s="44"/>
      <c r="D26" s="24"/>
      <c r="E26" s="35" t="s">
        <v>217</v>
      </c>
      <c r="F26" s="4"/>
      <c r="G26" s="8"/>
      <c r="H26" s="16"/>
      <c r="I26" s="16"/>
      <c r="J26" s="16"/>
      <c r="K26" s="66"/>
      <c r="L26" s="16"/>
      <c r="M26" s="66"/>
      <c r="N26" s="16"/>
      <c r="O26" s="66"/>
      <c r="P26" s="66"/>
      <c r="Q26" s="67"/>
      <c r="R26" s="66"/>
      <c r="S26" s="66"/>
      <c r="T26" s="82"/>
      <c r="U26" s="68"/>
      <c r="V26" s="82"/>
      <c r="W26" s="68"/>
      <c r="X26" s="82"/>
      <c r="Y26" s="69"/>
      <c r="Z26" s="16"/>
      <c r="AA26" s="69"/>
      <c r="AB26" s="55"/>
      <c r="AC26" s="51"/>
      <c r="AD26" s="47"/>
    </row>
    <row r="27" spans="1:30" ht="20.100000000000001" customHeight="1" thickBot="1" x14ac:dyDescent="0.2">
      <c r="A27" s="44"/>
      <c r="B27" s="44"/>
      <c r="C27" s="44"/>
      <c r="D27" s="24"/>
      <c r="E27" s="37" t="str">
        <f>인덴트_임시!A14</f>
        <v>Thien Son Hung Yen Co., Ltd</v>
      </c>
      <c r="F27" s="4"/>
      <c r="G27" s="8"/>
      <c r="H27" s="16"/>
      <c r="I27" s="16"/>
      <c r="J27" s="16"/>
      <c r="K27" s="66"/>
      <c r="L27" s="16"/>
      <c r="M27" s="66"/>
      <c r="N27" s="16"/>
      <c r="O27" s="66"/>
      <c r="P27" s="66"/>
      <c r="Q27" s="67"/>
      <c r="R27" s="66"/>
      <c r="S27" s="66"/>
      <c r="T27" s="82"/>
      <c r="U27" s="68"/>
      <c r="V27" s="82"/>
      <c r="W27" s="68"/>
      <c r="X27" s="82"/>
      <c r="Y27" s="69"/>
      <c r="Z27" s="16"/>
      <c r="AA27" s="69"/>
      <c r="AB27" s="55"/>
      <c r="AC27" s="51"/>
      <c r="AD27" s="47"/>
    </row>
    <row r="28" spans="1:30" ht="20.100000000000001" customHeight="1" x14ac:dyDescent="0.15">
      <c r="A28" s="44"/>
      <c r="B28" s="44"/>
      <c r="C28" s="44"/>
      <c r="D28" s="4"/>
      <c r="E28" s="4"/>
      <c r="F28" s="4"/>
      <c r="G28" s="8"/>
      <c r="H28" s="14"/>
      <c r="I28" s="70"/>
      <c r="J28" s="14"/>
      <c r="K28" s="70"/>
      <c r="L28" s="14"/>
      <c r="M28" s="70"/>
      <c r="N28" s="14"/>
      <c r="O28" s="70"/>
      <c r="P28" s="70"/>
      <c r="Q28" s="71"/>
      <c r="R28" s="70"/>
      <c r="S28" s="70"/>
      <c r="T28" s="83"/>
      <c r="U28" s="70" t="s">
        <v>1517</v>
      </c>
      <c r="V28" s="83"/>
      <c r="W28" s="72"/>
      <c r="X28" s="83"/>
      <c r="Y28" s="73"/>
      <c r="Z28" s="14"/>
      <c r="AA28" s="79"/>
      <c r="AB28" s="79"/>
      <c r="AC28" s="52"/>
      <c r="AD28" s="48"/>
    </row>
  </sheetData>
  <mergeCells count="13">
    <mergeCell ref="D6:F6"/>
    <mergeCell ref="B8:C8"/>
    <mergeCell ref="A1:C1"/>
    <mergeCell ref="A2:C2"/>
    <mergeCell ref="B3:C3"/>
    <mergeCell ref="B4:C4"/>
    <mergeCell ref="B5:C5"/>
    <mergeCell ref="B18:C18"/>
    <mergeCell ref="B7:C7"/>
    <mergeCell ref="B15:C15"/>
    <mergeCell ref="B16:C16"/>
    <mergeCell ref="B6:C6"/>
    <mergeCell ref="B9:C9"/>
  </mergeCells>
  <phoneticPr fontId="1" type="noConversion"/>
  <conditionalFormatting sqref="K3:K27">
    <cfRule type="cellIs" dxfId="119" priority="9" operator="equal">
      <formula>"DELETED"</formula>
    </cfRule>
    <cfRule type="cellIs" dxfId="118" priority="10" operator="equal">
      <formula>"삭제"</formula>
    </cfRule>
    <cfRule type="cellIs" dxfId="117" priority="11" operator="equal">
      <formula>"수정"</formula>
    </cfRule>
    <cfRule type="cellIs" dxfId="116" priority="12" operator="equal">
      <formula>"UPDATED"</formula>
    </cfRule>
  </conditionalFormatting>
  <conditionalFormatting sqref="I3:I27">
    <cfRule type="cellIs" dxfId="115" priority="1" operator="equal">
      <formula>"DELETED"</formula>
    </cfRule>
    <cfRule type="cellIs" dxfId="114" priority="2" operator="equal">
      <formula>"삭제"</formula>
    </cfRule>
    <cfRule type="cellIs" dxfId="113" priority="3" operator="equal">
      <formula>"수정"</formula>
    </cfRule>
    <cfRule type="cellIs" dxfId="112" priority="4" operator="equal">
      <formula>"UPDATED"</formula>
    </cfRule>
  </conditionalFormatting>
  <dataValidations count="3">
    <dataValidation type="list" allowBlank="1" showInputMessage="1" showErrorMessage="1" sqref="A1:C1" xr:uid="{E2CC5CBB-3A36-4FB9-9ADB-1974F46CE08D}">
      <formula1>"Lee International,Daehan Global Korea"</formula1>
    </dataValidation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</dataValidations>
  <hyperlinks>
    <hyperlink ref="B18:C18" r:id="rId1" display="대시보드" xr:uid="{C0D30D90-CBD8-44FB-80EA-B9BFB935B866}"/>
    <hyperlink ref="B3:C3" location="인덴트관리!A1" display="1. 인덴트 관리" xr:uid="{B69C7F89-629E-4D37-95F6-D49E69319731}"/>
    <hyperlink ref="B4:C4" location="PO관리!A1" display="2. PO 관리" xr:uid="{5C875EB9-E26A-4617-8EBA-6B284A6BB9D3}"/>
    <hyperlink ref="B5:C5" location="지출계획!A1" display="3. 지출계획" xr:uid="{B946896F-381D-4B6B-B202-AC6EC4EAB870}"/>
    <hyperlink ref="B6:C6" location="매출채권!A1" display="4. 매출채권" xr:uid="{F81D9BC2-AFC9-43BE-8866-D0E03ABCB602}"/>
    <hyperlink ref="B7:C7" location="체크리스트!A1" display="5. 체크리스트" xr:uid="{AF201701-0555-4974-96B2-987CC7F267A7}"/>
    <hyperlink ref="B8:C8" location="발주서!A1" display="6. 발주서" xr:uid="{11D14E37-6CE7-4417-9FEB-A8A03E5ACE7C}"/>
    <hyperlink ref="B9:C9" location="Tracking!A1" display="Tracking" xr:uid="{566F1AD0-83F8-4B5C-AD18-15F2A56C7D0C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1E657AF6-F835-4B28-B28A-EF9CA9D4A6CB}">
          <x14:formula1>
            <xm:f>validation!$N$2:$N$29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BED252AF-532C-4320-B2A6-A1AF2195DC8A}">
          <x14:formula1>
            <xm:f>validation!$O$2:$O$236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DF965013-60FB-4846-B4D3-E598B0C8707B}">
          <x14:formula1>
            <xm:f>validation!$P$2:$P$23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FD51B5DD-B0B3-4DB1-9CE2-24A53345F985}">
          <x14:formula1>
            <xm:f>validation!$Q$2:$Q$40</xm:f>
          </x14:formula1>
          <xm:sqref>W3:W27</xm:sqref>
        </x14:dataValidation>
        <x14:dataValidation type="list" errorStyle="warning" allowBlank="1" showInputMessage="1" showErrorMessage="1" error="존재하지 않는 Color name입니다." xr:uid="{5BEB0F20-4E31-4E31-B648-76928577D11A}">
          <x14:formula1>
            <xm:f>validation!$L$2:$L$304</xm:f>
          </x14:formula1>
          <xm:sqref>Y3:Y27</xm:sqref>
        </x14:dataValidation>
        <x14:dataValidation type="list" errorStyle="warning" allowBlank="1" showInputMessage="1" showErrorMessage="1" error="존재하지 않는 Size name입니다." xr:uid="{D2A3853B-3799-4461-9341-C1B827DF2836}">
          <x14:formula1>
            <xm:f>validation!$M$2:$M$529</xm:f>
          </x14:formula1>
          <xm:sqref>AA3:AA27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5546875" defaultRowHeight="11.25" x14ac:dyDescent="0.15"/>
  <cols>
    <col min="1" max="1" width="4.7109375" style="3" customWidth="1"/>
    <col min="2" max="2" width="2.7109375" style="3" customWidth="1"/>
    <col min="3" max="3" width="15.7109375" style="3" customWidth="1"/>
    <col min="4" max="4" width="4.7109375" style="3" hidden="1" customWidth="1"/>
    <col min="5" max="5" width="20.7109375" style="3" hidden="1" customWidth="1"/>
    <col min="6" max="6" width="2.7109375" style="3" hidden="1" customWidth="1"/>
    <col min="7" max="7" width="2.7109375" style="2" customWidth="1"/>
    <col min="8" max="16384" width="8.85546875" style="2"/>
  </cols>
  <sheetData>
    <row r="1" spans="1:50" ht="20.100000000000001" customHeight="1" thickBot="1" x14ac:dyDescent="0.2">
      <c r="A1" s="108" t="s">
        <v>7</v>
      </c>
      <c r="B1" s="109"/>
      <c r="C1" s="11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00000000000001" customHeight="1" thickBot="1" x14ac:dyDescent="0.2">
      <c r="A2" s="106"/>
      <c r="B2" s="106"/>
      <c r="C2" s="106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00000000000001" customHeight="1" thickBot="1" x14ac:dyDescent="0.2">
      <c r="A3" s="1"/>
      <c r="B3" s="111" t="s">
        <v>0</v>
      </c>
      <c r="C3" s="111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00000000000001" customHeight="1" thickBot="1" x14ac:dyDescent="0.2">
      <c r="A4" s="1"/>
      <c r="B4" s="111" t="s">
        <v>1</v>
      </c>
      <c r="C4" s="111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00000000000001" customHeight="1" thickBot="1" x14ac:dyDescent="0.2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00000000000001" customHeight="1" thickBot="1" x14ac:dyDescent="0.2">
      <c r="A6" s="1"/>
      <c r="B6" s="111" t="s">
        <v>3</v>
      </c>
      <c r="C6" s="111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00000000000001" customHeight="1" thickBot="1" x14ac:dyDescent="0.2">
      <c r="A7" s="1"/>
      <c r="B7" s="111" t="s">
        <v>4</v>
      </c>
      <c r="C7" s="111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00000000000001" customHeight="1" thickBot="1" x14ac:dyDescent="0.2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00000000000001" customHeight="1" thickBot="1" x14ac:dyDescent="0.2">
      <c r="A9" s="1"/>
      <c r="B9" s="106" t="s">
        <v>5</v>
      </c>
      <c r="C9" s="106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00000000000001" customHeight="1" x14ac:dyDescent="0.15">
      <c r="A10" s="1"/>
      <c r="B10" s="106" t="s">
        <v>6</v>
      </c>
      <c r="C10" s="106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00000000000001" customHeight="1" x14ac:dyDescent="0.1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00000000000001" customHeight="1" x14ac:dyDescent="0.1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00000000000001" customHeight="1" x14ac:dyDescent="0.1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00000000000001" customHeight="1" x14ac:dyDescent="0.1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00000000000001" customHeight="1" x14ac:dyDescent="0.1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00000000000001" customHeight="1" x14ac:dyDescent="0.1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00000000000001" customHeight="1" x14ac:dyDescent="0.1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00000000000001" customHeight="1" x14ac:dyDescent="0.1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00000000000001" customHeight="1" x14ac:dyDescent="0.1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00000000000001" customHeight="1" x14ac:dyDescent="0.1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00000000000001" customHeight="1" x14ac:dyDescent="0.1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00000000000001" customHeight="1" x14ac:dyDescent="0.1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00000000000001" customHeight="1" x14ac:dyDescent="0.1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00000000000001" customHeight="1" x14ac:dyDescent="0.1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00000000000001" customHeight="1" x14ac:dyDescent="0.1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00000000000001" customHeight="1" x14ac:dyDescent="0.1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00000000000001" customHeight="1" x14ac:dyDescent="0.1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00000000000001" customHeight="1" x14ac:dyDescent="0.1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00000000000001" customHeight="1" x14ac:dyDescent="0.1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00000000000001" customHeight="1" x14ac:dyDescent="0.1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00000000000001" customHeight="1" x14ac:dyDescent="0.1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00000000000001" customHeight="1" x14ac:dyDescent="0.1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00000000000001" customHeight="1" x14ac:dyDescent="0.1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00000000000001" customHeight="1" x14ac:dyDescent="0.1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00000000000001" customHeight="1" x14ac:dyDescent="0.1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00000000000001" customHeight="1" x14ac:dyDescent="0.1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00000000000001" customHeight="1" x14ac:dyDescent="0.1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00000000000001" customHeight="1" x14ac:dyDescent="0.1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00000000000001" customHeight="1" x14ac:dyDescent="0.1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00000000000001" customHeight="1" x14ac:dyDescent="0.1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00000000000001" customHeight="1" x14ac:dyDescent="0.1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00000000000001" customHeight="1" x14ac:dyDescent="0.1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00000000000001" customHeight="1" x14ac:dyDescent="0.1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00000000000001" customHeight="1" x14ac:dyDescent="0.1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00000000000001" customHeight="1" x14ac:dyDescent="0.1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00000000000001" customHeight="1" x14ac:dyDescent="0.1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00000000000001" customHeight="1" x14ac:dyDescent="0.1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00000000000001" customHeight="1" x14ac:dyDescent="0.1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00000000000001" customHeight="1" x14ac:dyDescent="0.1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00000000000001" customHeight="1" x14ac:dyDescent="0.1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00000000000001" customHeight="1" x14ac:dyDescent="0.1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00000000000001" customHeight="1" x14ac:dyDescent="0.1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00000000000001" customHeight="1" x14ac:dyDescent="0.1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00000000000001" customHeight="1" x14ac:dyDescent="0.1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00000000000001" customHeight="1" x14ac:dyDescent="0.1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00000000000001" customHeight="1" x14ac:dyDescent="0.1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00000000000001" customHeight="1" x14ac:dyDescent="0.1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00000000000001" customHeight="1" x14ac:dyDescent="0.1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00000000000001" customHeight="1" x14ac:dyDescent="0.1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00000000000001" customHeight="1" x14ac:dyDescent="0.1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00000000000001" customHeight="1" x14ac:dyDescent="0.1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00000000000001" customHeight="1" x14ac:dyDescent="0.1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00000000000001" customHeight="1" x14ac:dyDescent="0.1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00000000000001" customHeight="1" x14ac:dyDescent="0.1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00000000000001" customHeight="1" x14ac:dyDescent="0.1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00000000000001" customHeight="1" x14ac:dyDescent="0.1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00000000000001" customHeight="1" x14ac:dyDescent="0.1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00000000000001" customHeight="1" x14ac:dyDescent="0.1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00000000000001" customHeight="1" x14ac:dyDescent="0.1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00000000000001" customHeight="1" x14ac:dyDescent="0.1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00000000000001" customHeight="1" x14ac:dyDescent="0.1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00000000000001" customHeight="1" x14ac:dyDescent="0.1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00000000000001" customHeight="1" x14ac:dyDescent="0.1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00000000000001" customHeight="1" x14ac:dyDescent="0.1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00000000000001" customHeight="1" x14ac:dyDescent="0.1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00000000000001" customHeight="1" x14ac:dyDescent="0.1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00000000000001" customHeight="1" x14ac:dyDescent="0.1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00000000000001" customHeight="1" x14ac:dyDescent="0.1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00000000000001" customHeight="1" x14ac:dyDescent="0.1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00000000000001" customHeight="1" x14ac:dyDescent="0.1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00000000000001" customHeight="1" x14ac:dyDescent="0.1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00000000000001" customHeight="1" x14ac:dyDescent="0.1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00000000000001" customHeight="1" x14ac:dyDescent="0.1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00000000000001" customHeight="1" x14ac:dyDescent="0.1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00000000000001" customHeight="1" x14ac:dyDescent="0.1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00000000000001" customHeight="1" x14ac:dyDescent="0.1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00000000000001" customHeight="1" x14ac:dyDescent="0.1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00000000000001" customHeight="1" x14ac:dyDescent="0.1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00000000000001" customHeight="1" x14ac:dyDescent="0.1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00000000000001" customHeight="1" x14ac:dyDescent="0.1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00000000000001" customHeight="1" x14ac:dyDescent="0.1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00000000000001" customHeight="1" x14ac:dyDescent="0.1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00000000000001" customHeight="1" x14ac:dyDescent="0.1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00000000000001" customHeight="1" x14ac:dyDescent="0.1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00000000000001" customHeight="1" x14ac:dyDescent="0.1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00000000000001" customHeight="1" x14ac:dyDescent="0.1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00000000000001" customHeight="1" x14ac:dyDescent="0.1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00000000000001" customHeight="1" x14ac:dyDescent="0.1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00000000000001" customHeight="1" x14ac:dyDescent="0.1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00000000000001" customHeight="1" thickBot="1" x14ac:dyDescent="0.2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5546875" defaultRowHeight="11.25" x14ac:dyDescent="0.15"/>
  <cols>
    <col min="1" max="1" width="4.7109375" style="3" customWidth="1"/>
    <col min="2" max="2" width="2.7109375" style="3" customWidth="1"/>
    <col min="3" max="3" width="15.7109375" style="3" customWidth="1"/>
    <col min="4" max="4" width="4.7109375" style="3" hidden="1" customWidth="1"/>
    <col min="5" max="5" width="20.7109375" style="3" hidden="1" customWidth="1"/>
    <col min="6" max="6" width="2.7109375" style="3" hidden="1" customWidth="1"/>
    <col min="7" max="7" width="2.7109375" style="2" customWidth="1"/>
    <col min="8" max="16384" width="8.85546875" style="2"/>
  </cols>
  <sheetData>
    <row r="1" spans="1:50" ht="20.100000000000001" customHeight="1" thickBot="1" x14ac:dyDescent="0.2">
      <c r="A1" s="108" t="s">
        <v>7</v>
      </c>
      <c r="B1" s="109"/>
      <c r="C1" s="11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00000000000001" customHeight="1" thickBot="1" x14ac:dyDescent="0.2">
      <c r="A2" s="106"/>
      <c r="B2" s="106"/>
      <c r="C2" s="106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00000000000001" customHeight="1" thickBot="1" x14ac:dyDescent="0.2">
      <c r="A3" s="1"/>
      <c r="B3" s="111" t="s">
        <v>0</v>
      </c>
      <c r="C3" s="111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00000000000001" customHeight="1" thickBot="1" x14ac:dyDescent="0.2">
      <c r="A4" s="1"/>
      <c r="B4" s="111" t="s">
        <v>1</v>
      </c>
      <c r="C4" s="111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00000000000001" customHeight="1" thickBot="1" x14ac:dyDescent="0.2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00000000000001" customHeight="1" thickBot="1" x14ac:dyDescent="0.2">
      <c r="A6" s="1"/>
      <c r="B6" s="111" t="s">
        <v>3</v>
      </c>
      <c r="C6" s="111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00000000000001" customHeight="1" thickBot="1" x14ac:dyDescent="0.2">
      <c r="A7" s="1"/>
      <c r="B7" s="111" t="s">
        <v>4</v>
      </c>
      <c r="C7" s="111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00000000000001" customHeight="1" thickBot="1" x14ac:dyDescent="0.2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00000000000001" customHeight="1" thickBot="1" x14ac:dyDescent="0.2">
      <c r="A9" s="1"/>
      <c r="B9" s="106" t="s">
        <v>5</v>
      </c>
      <c r="C9" s="106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00000000000001" customHeight="1" x14ac:dyDescent="0.15">
      <c r="A10" s="1"/>
      <c r="B10" s="106" t="s">
        <v>6</v>
      </c>
      <c r="C10" s="106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00000000000001" customHeight="1" x14ac:dyDescent="0.1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00000000000001" customHeight="1" x14ac:dyDescent="0.1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00000000000001" customHeight="1" x14ac:dyDescent="0.1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00000000000001" customHeight="1" x14ac:dyDescent="0.1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00000000000001" customHeight="1" x14ac:dyDescent="0.1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00000000000001" customHeight="1" x14ac:dyDescent="0.1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00000000000001" customHeight="1" x14ac:dyDescent="0.1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00000000000001" customHeight="1" x14ac:dyDescent="0.1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00000000000001" customHeight="1" x14ac:dyDescent="0.1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00000000000001" customHeight="1" x14ac:dyDescent="0.1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00000000000001" customHeight="1" x14ac:dyDescent="0.1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00000000000001" customHeight="1" x14ac:dyDescent="0.1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00000000000001" customHeight="1" x14ac:dyDescent="0.1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00000000000001" customHeight="1" x14ac:dyDescent="0.1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00000000000001" customHeight="1" x14ac:dyDescent="0.1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00000000000001" customHeight="1" x14ac:dyDescent="0.1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00000000000001" customHeight="1" x14ac:dyDescent="0.1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00000000000001" customHeight="1" x14ac:dyDescent="0.1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00000000000001" customHeight="1" x14ac:dyDescent="0.1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00000000000001" customHeight="1" x14ac:dyDescent="0.1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00000000000001" customHeight="1" x14ac:dyDescent="0.1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00000000000001" customHeight="1" x14ac:dyDescent="0.1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00000000000001" customHeight="1" x14ac:dyDescent="0.1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00000000000001" customHeight="1" x14ac:dyDescent="0.1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00000000000001" customHeight="1" x14ac:dyDescent="0.1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00000000000001" customHeight="1" x14ac:dyDescent="0.1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00000000000001" customHeight="1" x14ac:dyDescent="0.1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00000000000001" customHeight="1" x14ac:dyDescent="0.1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00000000000001" customHeight="1" x14ac:dyDescent="0.1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00000000000001" customHeight="1" x14ac:dyDescent="0.1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00000000000001" customHeight="1" x14ac:dyDescent="0.1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00000000000001" customHeight="1" x14ac:dyDescent="0.1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00000000000001" customHeight="1" x14ac:dyDescent="0.1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00000000000001" customHeight="1" x14ac:dyDescent="0.1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00000000000001" customHeight="1" x14ac:dyDescent="0.1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00000000000001" customHeight="1" x14ac:dyDescent="0.1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00000000000001" customHeight="1" x14ac:dyDescent="0.1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00000000000001" customHeight="1" x14ac:dyDescent="0.1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00000000000001" customHeight="1" x14ac:dyDescent="0.1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00000000000001" customHeight="1" x14ac:dyDescent="0.1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00000000000001" customHeight="1" x14ac:dyDescent="0.1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00000000000001" customHeight="1" x14ac:dyDescent="0.1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00000000000001" customHeight="1" x14ac:dyDescent="0.1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00000000000001" customHeight="1" x14ac:dyDescent="0.1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00000000000001" customHeight="1" x14ac:dyDescent="0.1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00000000000001" customHeight="1" x14ac:dyDescent="0.1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00000000000001" customHeight="1" x14ac:dyDescent="0.1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00000000000001" customHeight="1" x14ac:dyDescent="0.1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00000000000001" customHeight="1" x14ac:dyDescent="0.1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00000000000001" customHeight="1" x14ac:dyDescent="0.1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00000000000001" customHeight="1" x14ac:dyDescent="0.1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00000000000001" customHeight="1" x14ac:dyDescent="0.1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00000000000001" customHeight="1" x14ac:dyDescent="0.1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00000000000001" customHeight="1" x14ac:dyDescent="0.1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00000000000001" customHeight="1" x14ac:dyDescent="0.1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00000000000001" customHeight="1" x14ac:dyDescent="0.1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00000000000001" customHeight="1" x14ac:dyDescent="0.1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00000000000001" customHeight="1" x14ac:dyDescent="0.1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00000000000001" customHeight="1" x14ac:dyDescent="0.1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00000000000001" customHeight="1" x14ac:dyDescent="0.1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00000000000001" customHeight="1" x14ac:dyDescent="0.1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00000000000001" customHeight="1" x14ac:dyDescent="0.1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00000000000001" customHeight="1" x14ac:dyDescent="0.1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00000000000001" customHeight="1" x14ac:dyDescent="0.1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00000000000001" customHeight="1" x14ac:dyDescent="0.1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00000000000001" customHeight="1" x14ac:dyDescent="0.1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00000000000001" customHeight="1" x14ac:dyDescent="0.1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00000000000001" customHeight="1" x14ac:dyDescent="0.1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00000000000001" customHeight="1" x14ac:dyDescent="0.1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00000000000001" customHeight="1" x14ac:dyDescent="0.1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00000000000001" customHeight="1" x14ac:dyDescent="0.1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00000000000001" customHeight="1" x14ac:dyDescent="0.1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00000000000001" customHeight="1" x14ac:dyDescent="0.1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00000000000001" customHeight="1" x14ac:dyDescent="0.1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00000000000001" customHeight="1" x14ac:dyDescent="0.1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00000000000001" customHeight="1" x14ac:dyDescent="0.1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00000000000001" customHeight="1" x14ac:dyDescent="0.1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00000000000001" customHeight="1" x14ac:dyDescent="0.1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00000000000001" customHeight="1" x14ac:dyDescent="0.1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00000000000001" customHeight="1" x14ac:dyDescent="0.1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00000000000001" customHeight="1" x14ac:dyDescent="0.1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00000000000001" customHeight="1" x14ac:dyDescent="0.1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00000000000001" customHeight="1" x14ac:dyDescent="0.1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00000000000001" customHeight="1" x14ac:dyDescent="0.1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00000000000001" customHeight="1" x14ac:dyDescent="0.1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00000000000001" customHeight="1" x14ac:dyDescent="0.1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00000000000001" customHeight="1" x14ac:dyDescent="0.1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00000000000001" customHeight="1" x14ac:dyDescent="0.1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00000000000001" customHeight="1" x14ac:dyDescent="0.1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00000000000001" customHeight="1" thickBot="1" x14ac:dyDescent="0.2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Z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0" customHeight="1" zeroHeight="1" x14ac:dyDescent="0.15"/>
  <cols>
    <col min="1" max="1" width="4.7109375" style="94" customWidth="1"/>
    <col min="2" max="2" width="2.7109375" style="94" customWidth="1"/>
    <col min="3" max="3" width="15.7109375" style="94" customWidth="1"/>
    <col min="4" max="4" width="4.7109375" style="94" customWidth="1"/>
    <col min="5" max="5" width="20.7109375" style="94" customWidth="1"/>
    <col min="6" max="6" width="2.7109375" style="94" customWidth="1"/>
    <col min="7" max="7" width="2.7109375" style="95" customWidth="1"/>
    <col min="8" max="9" width="8.140625" style="96" hidden="1" customWidth="1"/>
    <col min="10" max="10" width="9.7109375" style="97" customWidth="1"/>
    <col min="11" max="11" width="15.7109375" style="97" customWidth="1"/>
    <col min="12" max="12" width="9.7109375" style="97" customWidth="1"/>
    <col min="13" max="13" width="12.7109375" style="97" customWidth="1"/>
    <col min="14" max="15" width="20.7109375" style="97" customWidth="1"/>
    <col min="16" max="19" width="12.7109375" style="97" customWidth="1"/>
    <col min="20" max="20" width="9.7109375" style="98" customWidth="1"/>
    <col min="21" max="21" width="10.7109375" style="99" customWidth="1"/>
    <col min="22" max="22" width="9.7109375" style="100" customWidth="1"/>
    <col min="23" max="23" width="8.140625" style="96" hidden="1" customWidth="1"/>
    <col min="24" max="24" width="12.7109375" style="100" customWidth="1"/>
    <col min="25" max="25" width="8.140625" style="96" hidden="1" customWidth="1"/>
    <col min="26" max="26" width="15.7109375" style="105" customWidth="1"/>
    <col min="27" max="16384" width="8.85546875" style="95" hidden="1"/>
  </cols>
  <sheetData>
    <row r="1" spans="1:26" s="2" customFormat="1" ht="20.100000000000001" customHeight="1" thickBot="1" x14ac:dyDescent="0.2">
      <c r="A1" s="108" t="s">
        <v>7</v>
      </c>
      <c r="B1" s="109"/>
      <c r="C1" s="110"/>
      <c r="D1" s="4"/>
      <c r="E1" s="4"/>
      <c r="F1" s="4"/>
      <c r="G1" s="6"/>
      <c r="H1" s="43">
        <v>45</v>
      </c>
      <c r="I1" s="43">
        <v>1</v>
      </c>
      <c r="J1" s="60">
        <v>2</v>
      </c>
      <c r="K1" s="60">
        <v>10</v>
      </c>
      <c r="L1" s="60"/>
      <c r="M1" s="60"/>
      <c r="N1" s="60"/>
      <c r="O1" s="60"/>
      <c r="P1" s="60"/>
      <c r="Q1" s="60"/>
      <c r="R1" s="60"/>
      <c r="S1" s="60"/>
      <c r="T1" s="90"/>
      <c r="U1" s="85"/>
      <c r="V1" s="87"/>
      <c r="W1" s="43">
        <v>1</v>
      </c>
      <c r="X1" s="87"/>
      <c r="Y1" s="43">
        <v>1</v>
      </c>
      <c r="Z1" s="103"/>
    </row>
    <row r="2" spans="1:26" s="2" customFormat="1" ht="20.100000000000001" customHeight="1" thickBot="1" x14ac:dyDescent="0.2">
      <c r="A2" s="106"/>
      <c r="B2" s="106"/>
      <c r="C2" s="106"/>
      <c r="D2" s="4"/>
      <c r="E2" s="4"/>
      <c r="F2" s="4"/>
      <c r="G2" s="8"/>
      <c r="H2" s="19" t="s">
        <v>12</v>
      </c>
      <c r="I2" s="19" t="s">
        <v>12</v>
      </c>
      <c r="J2" s="64" t="s">
        <v>1172</v>
      </c>
      <c r="K2" s="64" t="s">
        <v>1520</v>
      </c>
      <c r="L2" s="64" t="s">
        <v>1521</v>
      </c>
      <c r="M2" s="64" t="s">
        <v>1522</v>
      </c>
      <c r="N2" s="64" t="s">
        <v>1523</v>
      </c>
      <c r="O2" s="64" t="s">
        <v>24</v>
      </c>
      <c r="P2" s="64" t="s">
        <v>1179</v>
      </c>
      <c r="Q2" s="64" t="s">
        <v>1180</v>
      </c>
      <c r="R2" s="64" t="s">
        <v>1181</v>
      </c>
      <c r="S2" s="117" t="s">
        <v>1182</v>
      </c>
      <c r="T2" s="120" t="s">
        <v>1547</v>
      </c>
      <c r="U2" s="118" t="s">
        <v>1544</v>
      </c>
      <c r="V2" s="92" t="s">
        <v>1524</v>
      </c>
      <c r="W2" s="101" t="s">
        <v>12</v>
      </c>
      <c r="X2" s="115" t="s">
        <v>1526</v>
      </c>
      <c r="Y2" s="101" t="s">
        <v>12</v>
      </c>
      <c r="Z2" s="116" t="s">
        <v>1546</v>
      </c>
    </row>
    <row r="3" spans="1:26" s="2" customFormat="1" ht="20.100000000000001" customHeight="1" x14ac:dyDescent="0.15">
      <c r="A3" s="45"/>
      <c r="B3" s="111" t="s">
        <v>1532</v>
      </c>
      <c r="C3" s="111"/>
      <c r="D3" s="4"/>
      <c r="E3" s="4"/>
      <c r="F3" s="4"/>
      <c r="G3" s="8"/>
      <c r="H3" s="16">
        <v>1154</v>
      </c>
      <c r="I3" s="16">
        <v>99</v>
      </c>
      <c r="J3" s="16" t="s">
        <v>1154</v>
      </c>
      <c r="K3" s="16" t="s">
        <v>1529</v>
      </c>
      <c r="L3" s="16" t="s">
        <v>1187</v>
      </c>
      <c r="M3" s="16"/>
      <c r="N3" s="16"/>
      <c r="O3" s="16"/>
      <c r="P3" s="16"/>
      <c r="Q3" s="16"/>
      <c r="R3" s="16"/>
      <c r="S3" s="16"/>
      <c r="T3" s="119">
        <v>0</v>
      </c>
      <c r="U3" s="47">
        <v>19930.5</v>
      </c>
      <c r="V3" s="88">
        <v>0</v>
      </c>
      <c r="W3" s="16">
        <v>784</v>
      </c>
      <c r="X3" s="102"/>
      <c r="Y3" s="16"/>
      <c r="Z3" s="102"/>
    </row>
    <row r="4" spans="1:26" s="2" customFormat="1" ht="20.100000000000001" customHeight="1" x14ac:dyDescent="0.15">
      <c r="A4" s="45"/>
      <c r="B4" s="111" t="s">
        <v>1533</v>
      </c>
      <c r="C4" s="111"/>
      <c r="D4" s="4"/>
      <c r="E4" s="4"/>
      <c r="F4" s="4"/>
      <c r="G4" s="8"/>
      <c r="H4" s="16">
        <v>1152</v>
      </c>
      <c r="I4" s="16">
        <v>99</v>
      </c>
      <c r="J4" s="16" t="s">
        <v>1154</v>
      </c>
      <c r="K4" s="16" t="s">
        <v>1529</v>
      </c>
      <c r="L4" s="16" t="s">
        <v>1187</v>
      </c>
      <c r="M4" s="16"/>
      <c r="N4" s="16"/>
      <c r="O4" s="16"/>
      <c r="P4" s="16"/>
      <c r="Q4" s="16"/>
      <c r="R4" s="16"/>
      <c r="S4" s="16"/>
      <c r="T4" s="91">
        <v>0</v>
      </c>
      <c r="U4" s="47">
        <v>6607.45</v>
      </c>
      <c r="V4" s="88">
        <v>0</v>
      </c>
      <c r="W4" s="16">
        <v>622</v>
      </c>
      <c r="X4" s="88"/>
      <c r="Y4" s="16"/>
      <c r="Z4" s="88"/>
    </row>
    <row r="5" spans="1:26" s="2" customFormat="1" ht="20.100000000000001" customHeight="1" x14ac:dyDescent="0.15">
      <c r="A5" s="45"/>
      <c r="B5" s="114" t="s">
        <v>1534</v>
      </c>
      <c r="C5" s="114"/>
      <c r="D5" s="4"/>
      <c r="E5" s="4"/>
      <c r="F5" s="4"/>
      <c r="G5" s="8"/>
      <c r="H5" s="16">
        <v>1157</v>
      </c>
      <c r="I5" s="16">
        <v>99</v>
      </c>
      <c r="J5" s="16" t="s">
        <v>1154</v>
      </c>
      <c r="K5" s="16" t="s">
        <v>1529</v>
      </c>
      <c r="L5" s="16" t="s">
        <v>1187</v>
      </c>
      <c r="M5" s="16"/>
      <c r="N5" s="16"/>
      <c r="O5" s="16"/>
      <c r="P5" s="16"/>
      <c r="Q5" s="16"/>
      <c r="R5" s="16"/>
      <c r="S5" s="16"/>
      <c r="T5" s="91">
        <v>0</v>
      </c>
      <c r="U5" s="47">
        <v>9496.6</v>
      </c>
      <c r="V5" s="88">
        <v>0</v>
      </c>
      <c r="W5" s="16">
        <v>951</v>
      </c>
      <c r="X5" s="88"/>
      <c r="Y5" s="16"/>
      <c r="Z5" s="88"/>
    </row>
    <row r="6" spans="1:26" s="2" customFormat="1" ht="20.100000000000001" customHeight="1" thickBot="1" x14ac:dyDescent="0.2">
      <c r="A6" s="45"/>
      <c r="B6" s="114" t="s">
        <v>1535</v>
      </c>
      <c r="C6" s="114"/>
      <c r="D6" s="4"/>
      <c r="E6" s="4" t="s">
        <v>1173</v>
      </c>
      <c r="F6" s="4"/>
      <c r="G6" s="8"/>
      <c r="H6" s="16">
        <v>1151</v>
      </c>
      <c r="I6" s="16">
        <v>99</v>
      </c>
      <c r="J6" s="16" t="s">
        <v>1154</v>
      </c>
      <c r="K6" s="16" t="s">
        <v>1529</v>
      </c>
      <c r="L6" s="16" t="s">
        <v>1187</v>
      </c>
      <c r="M6" s="16"/>
      <c r="N6" s="16"/>
      <c r="O6" s="16"/>
      <c r="P6" s="16"/>
      <c r="Q6" s="16"/>
      <c r="R6" s="16"/>
      <c r="S6" s="16"/>
      <c r="T6" s="91">
        <v>0</v>
      </c>
      <c r="U6" s="47">
        <v>6937.05</v>
      </c>
      <c r="V6" s="88">
        <v>0</v>
      </c>
      <c r="W6" s="16">
        <v>555</v>
      </c>
      <c r="X6" s="88">
        <v>6000</v>
      </c>
      <c r="Y6" s="16">
        <v>4</v>
      </c>
      <c r="Z6" s="88" t="s">
        <v>1538</v>
      </c>
    </row>
    <row r="7" spans="1:26" s="2" customFormat="1" ht="20.100000000000001" customHeight="1" thickBot="1" x14ac:dyDescent="0.2">
      <c r="A7" s="45"/>
      <c r="B7" s="111" t="s">
        <v>1536</v>
      </c>
      <c r="C7" s="111"/>
      <c r="D7" s="4"/>
      <c r="E7" s="10" t="s">
        <v>1510</v>
      </c>
      <c r="F7" s="4"/>
      <c r="G7" s="8"/>
      <c r="H7" s="16">
        <v>1151</v>
      </c>
      <c r="I7" s="16">
        <v>99</v>
      </c>
      <c r="J7" s="16" t="s">
        <v>1154</v>
      </c>
      <c r="K7" s="16" t="s">
        <v>1529</v>
      </c>
      <c r="L7" s="16" t="s">
        <v>1187</v>
      </c>
      <c r="M7" s="16"/>
      <c r="N7" s="16"/>
      <c r="O7" s="16"/>
      <c r="P7" s="16"/>
      <c r="Q7" s="16"/>
      <c r="R7" s="16"/>
      <c r="S7" s="16"/>
      <c r="T7" s="91">
        <v>0</v>
      </c>
      <c r="U7" s="47">
        <v>6937.05</v>
      </c>
      <c r="V7" s="88">
        <v>0</v>
      </c>
      <c r="W7" s="16">
        <v>555</v>
      </c>
      <c r="X7" s="88">
        <v>1000</v>
      </c>
      <c r="Y7" s="16">
        <v>9</v>
      </c>
      <c r="Z7" s="88" t="s">
        <v>1555</v>
      </c>
    </row>
    <row r="8" spans="1:26" s="2" customFormat="1" ht="20.100000000000001" customHeight="1" x14ac:dyDescent="0.15">
      <c r="A8" s="45"/>
      <c r="B8" s="111" t="s">
        <v>1537</v>
      </c>
      <c r="C8" s="111"/>
      <c r="D8" s="24"/>
      <c r="E8" s="4"/>
      <c r="F8" s="4"/>
      <c r="G8" s="8"/>
      <c r="H8" s="16">
        <v>1155</v>
      </c>
      <c r="I8" s="16">
        <v>99</v>
      </c>
      <c r="J8" s="16" t="s">
        <v>1154</v>
      </c>
      <c r="K8" s="16" t="s">
        <v>1529</v>
      </c>
      <c r="L8" s="16" t="s">
        <v>1187</v>
      </c>
      <c r="M8" s="16"/>
      <c r="N8" s="16"/>
      <c r="O8" s="16"/>
      <c r="P8" s="16"/>
      <c r="Q8" s="16"/>
      <c r="R8" s="16"/>
      <c r="S8" s="16"/>
      <c r="T8" s="91">
        <v>0</v>
      </c>
      <c r="U8" s="47">
        <v>8203.9500000000007</v>
      </c>
      <c r="V8" s="88">
        <v>0</v>
      </c>
      <c r="W8" s="16">
        <v>834</v>
      </c>
      <c r="X8" s="88"/>
      <c r="Y8" s="16">
        <v>7</v>
      </c>
      <c r="Z8" s="88" t="s">
        <v>1555</v>
      </c>
    </row>
    <row r="9" spans="1:26" s="2" customFormat="1" ht="20.100000000000001" customHeight="1" x14ac:dyDescent="0.15">
      <c r="A9" s="93"/>
      <c r="B9" s="111" t="s">
        <v>1540</v>
      </c>
      <c r="C9" s="111"/>
      <c r="D9" s="24"/>
      <c r="E9" s="35" t="s">
        <v>1516</v>
      </c>
      <c r="F9" s="4"/>
      <c r="G9" s="8"/>
      <c r="H9" s="16">
        <v>1150</v>
      </c>
      <c r="I9" s="16">
        <v>99</v>
      </c>
      <c r="J9" s="16" t="s">
        <v>1154</v>
      </c>
      <c r="K9" s="16" t="s">
        <v>1529</v>
      </c>
      <c r="L9" s="16" t="s">
        <v>1187</v>
      </c>
      <c r="M9" s="16"/>
      <c r="N9" s="16"/>
      <c r="O9" s="16"/>
      <c r="P9" s="16"/>
      <c r="Q9" s="16"/>
      <c r="R9" s="16"/>
      <c r="S9" s="16"/>
      <c r="T9" s="91">
        <v>0</v>
      </c>
      <c r="U9" s="47">
        <v>7153.35</v>
      </c>
      <c r="V9" s="88">
        <v>0</v>
      </c>
      <c r="W9" s="16">
        <v>490</v>
      </c>
      <c r="X9" s="88">
        <v>0</v>
      </c>
      <c r="Y9" s="16">
        <v>16</v>
      </c>
      <c r="Z9" s="88" t="s">
        <v>1539</v>
      </c>
    </row>
    <row r="10" spans="1:26" s="2" customFormat="1" ht="20.100000000000001" customHeight="1" x14ac:dyDescent="0.15">
      <c r="A10" s="45"/>
      <c r="B10" s="45"/>
      <c r="C10" s="45"/>
      <c r="D10" s="24"/>
      <c r="E10" s="36" t="str">
        <f>IF(인덴트_임시!C3="","",인덴트_임시!C3)</f>
        <v>DHGK-2143</v>
      </c>
      <c r="F10" s="4"/>
      <c r="G10" s="8"/>
      <c r="H10" s="16">
        <v>1153</v>
      </c>
      <c r="I10" s="16">
        <v>99</v>
      </c>
      <c r="J10" s="16" t="s">
        <v>1154</v>
      </c>
      <c r="K10" s="16" t="s">
        <v>1529</v>
      </c>
      <c r="L10" s="16" t="s">
        <v>1187</v>
      </c>
      <c r="M10" s="16"/>
      <c r="N10" s="16"/>
      <c r="O10" s="16"/>
      <c r="P10" s="16"/>
      <c r="Q10" s="16"/>
      <c r="R10" s="16"/>
      <c r="S10" s="16"/>
      <c r="T10" s="91">
        <v>0</v>
      </c>
      <c r="U10" s="47">
        <v>15717.8</v>
      </c>
      <c r="V10" s="88">
        <v>0</v>
      </c>
      <c r="W10" s="16">
        <v>683</v>
      </c>
      <c r="X10" s="88">
        <v>0</v>
      </c>
      <c r="Y10" s="16">
        <v>17</v>
      </c>
      <c r="Z10" s="88" t="s">
        <v>1539</v>
      </c>
    </row>
    <row r="11" spans="1:26" s="2" customFormat="1" ht="20.100000000000001" customHeight="1" x14ac:dyDescent="0.15">
      <c r="A11" s="45"/>
      <c r="B11" s="45"/>
      <c r="C11" s="45"/>
      <c r="D11" s="24"/>
      <c r="E11" s="36" t="str">
        <f>IF(인덴트_임시!C4="","",인덴트_임시!C4)</f>
        <v>DHGK-2144</v>
      </c>
      <c r="F11" s="4"/>
      <c r="G11" s="8"/>
      <c r="H11" s="16">
        <v>1149</v>
      </c>
      <c r="I11" s="16">
        <v>99</v>
      </c>
      <c r="J11" s="16" t="s">
        <v>1154</v>
      </c>
      <c r="K11" s="16" t="s">
        <v>1529</v>
      </c>
      <c r="L11" s="16" t="s">
        <v>1187</v>
      </c>
      <c r="M11" s="16"/>
      <c r="N11" s="16"/>
      <c r="O11" s="16"/>
      <c r="P11" s="16"/>
      <c r="Q11" s="16"/>
      <c r="R11" s="16"/>
      <c r="S11" s="16"/>
      <c r="T11" s="91">
        <v>0</v>
      </c>
      <c r="U11" s="47">
        <v>20546.439999999999</v>
      </c>
      <c r="V11" s="88">
        <v>0</v>
      </c>
      <c r="W11" s="16">
        <v>392</v>
      </c>
      <c r="X11" s="88">
        <v>0</v>
      </c>
      <c r="Y11" s="16">
        <v>18</v>
      </c>
      <c r="Z11" s="88" t="s">
        <v>1539</v>
      </c>
    </row>
    <row r="12" spans="1:26" s="2" customFormat="1" ht="20.100000000000001" customHeight="1" x14ac:dyDescent="0.15">
      <c r="A12" s="45"/>
      <c r="B12" s="45"/>
      <c r="C12" s="45"/>
      <c r="D12" s="24"/>
      <c r="E12" s="36" t="str">
        <f>IF(인덴트_임시!C5="","",인덴트_임시!C5)</f>
        <v>DHGK-2145</v>
      </c>
      <c r="F12" s="4"/>
      <c r="G12" s="8"/>
      <c r="H12" s="16">
        <v>1148</v>
      </c>
      <c r="I12" s="16">
        <v>99</v>
      </c>
      <c r="J12" s="16" t="s">
        <v>1154</v>
      </c>
      <c r="K12" s="16" t="s">
        <v>1529</v>
      </c>
      <c r="L12" s="16" t="s">
        <v>1187</v>
      </c>
      <c r="M12" s="16"/>
      <c r="N12" s="16"/>
      <c r="O12" s="16"/>
      <c r="P12" s="16"/>
      <c r="Q12" s="16"/>
      <c r="R12" s="16"/>
      <c r="S12" s="16"/>
      <c r="T12" s="91">
        <v>0</v>
      </c>
      <c r="U12" s="47">
        <v>7307.85</v>
      </c>
      <c r="V12" s="88">
        <v>0</v>
      </c>
      <c r="W12" s="16">
        <v>262</v>
      </c>
      <c r="X12" s="88"/>
      <c r="Y12" s="16">
        <v>2</v>
      </c>
      <c r="Z12" s="88" t="s">
        <v>1538</v>
      </c>
    </row>
    <row r="13" spans="1:26" s="2" customFormat="1" ht="20.100000000000001" customHeight="1" x14ac:dyDescent="0.15">
      <c r="A13" s="45"/>
      <c r="B13" s="45"/>
      <c r="C13" s="45"/>
      <c r="D13" s="24"/>
      <c r="E13" s="36" t="str">
        <f>IF(인덴트_임시!C6="","",인덴트_임시!C6)</f>
        <v>DHGK-2146</v>
      </c>
      <c r="F13" s="4"/>
      <c r="G13" s="8"/>
      <c r="H13" s="16">
        <v>1148</v>
      </c>
      <c r="I13" s="16">
        <v>99</v>
      </c>
      <c r="J13" s="16" t="s">
        <v>1154</v>
      </c>
      <c r="K13" s="16" t="s">
        <v>1529</v>
      </c>
      <c r="L13" s="16" t="s">
        <v>1187</v>
      </c>
      <c r="M13" s="16"/>
      <c r="N13" s="16"/>
      <c r="O13" s="16"/>
      <c r="P13" s="16"/>
      <c r="Q13" s="16"/>
      <c r="R13" s="16"/>
      <c r="S13" s="16"/>
      <c r="T13" s="91">
        <v>0</v>
      </c>
      <c r="U13" s="47">
        <v>7307.85</v>
      </c>
      <c r="V13" s="88">
        <v>0</v>
      </c>
      <c r="W13" s="16">
        <v>262</v>
      </c>
      <c r="X13" s="88"/>
      <c r="Y13" s="16">
        <v>8</v>
      </c>
      <c r="Z13" s="88" t="s">
        <v>1555</v>
      </c>
    </row>
    <row r="14" spans="1:26" s="2" customFormat="1" ht="20.100000000000001" customHeight="1" x14ac:dyDescent="0.15">
      <c r="A14" s="45"/>
      <c r="B14" s="45"/>
      <c r="C14" s="45"/>
      <c r="D14" s="24"/>
      <c r="E14" s="36" t="str">
        <f>IF(인덴트_임시!C7="","",인덴트_임시!C7)</f>
        <v>DHGK-2147</v>
      </c>
      <c r="F14" s="4"/>
      <c r="G14" s="8"/>
      <c r="H14" s="16">
        <v>1155</v>
      </c>
      <c r="I14" s="16">
        <v>99</v>
      </c>
      <c r="J14" s="16" t="s">
        <v>1154</v>
      </c>
      <c r="K14" s="16" t="s">
        <v>1529</v>
      </c>
      <c r="L14" s="16" t="s">
        <v>1187</v>
      </c>
      <c r="M14" s="16"/>
      <c r="N14" s="16"/>
      <c r="O14" s="16"/>
      <c r="P14" s="16"/>
      <c r="Q14" s="16"/>
      <c r="R14" s="16"/>
      <c r="S14" s="16"/>
      <c r="T14" s="91">
        <v>0</v>
      </c>
      <c r="U14" s="47">
        <v>8203.9500000000007</v>
      </c>
      <c r="V14" s="88">
        <v>0</v>
      </c>
      <c r="W14" s="16">
        <v>834</v>
      </c>
      <c r="X14" s="88"/>
      <c r="Y14" s="16">
        <v>6</v>
      </c>
      <c r="Z14" s="88" t="s">
        <v>1538</v>
      </c>
    </row>
    <row r="15" spans="1:26" s="2" customFormat="1" ht="20.100000000000001" customHeight="1" x14ac:dyDescent="0.15">
      <c r="A15" s="45"/>
      <c r="B15" s="106" t="s">
        <v>5</v>
      </c>
      <c r="C15" s="106"/>
      <c r="D15" s="24"/>
      <c r="E15" s="36" t="str">
        <f>IF(인덴트_임시!C8="","",인덴트_임시!C8)</f>
        <v>DHGK-2148</v>
      </c>
      <c r="F15" s="4"/>
      <c r="G15" s="8"/>
      <c r="H15" s="16">
        <v>1147</v>
      </c>
      <c r="I15" s="16">
        <v>99</v>
      </c>
      <c r="J15" s="16" t="s">
        <v>1154</v>
      </c>
      <c r="K15" s="16" t="s">
        <v>1529</v>
      </c>
      <c r="L15" s="16" t="s">
        <v>1187</v>
      </c>
      <c r="M15" s="16"/>
      <c r="N15" s="16"/>
      <c r="O15" s="16"/>
      <c r="P15" s="16"/>
      <c r="Q15" s="16"/>
      <c r="R15" s="16"/>
      <c r="S15" s="16"/>
      <c r="T15" s="91">
        <v>0</v>
      </c>
      <c r="U15" s="47">
        <v>3059.1</v>
      </c>
      <c r="V15" s="88">
        <v>0</v>
      </c>
      <c r="W15" s="16">
        <v>190</v>
      </c>
      <c r="X15" s="88"/>
      <c r="Y15" s="16"/>
      <c r="Z15" s="88"/>
    </row>
    <row r="16" spans="1:26" s="2" customFormat="1" ht="20.100000000000001" customHeight="1" x14ac:dyDescent="0.15">
      <c r="A16" s="45"/>
      <c r="B16" s="106" t="s">
        <v>6</v>
      </c>
      <c r="C16" s="106"/>
      <c r="D16" s="24"/>
      <c r="E16" s="36" t="str">
        <f>IF(인덴트_임시!C9="","",인덴트_임시!C9)</f>
        <v>DHGK-2149</v>
      </c>
      <c r="F16" s="4"/>
      <c r="G16" s="8"/>
      <c r="H16" s="16">
        <v>1158</v>
      </c>
      <c r="I16" s="16">
        <v>99</v>
      </c>
      <c r="J16" s="16" t="s">
        <v>1154</v>
      </c>
      <c r="K16" s="16" t="s">
        <v>1529</v>
      </c>
      <c r="L16" s="16" t="s">
        <v>1187</v>
      </c>
      <c r="M16" s="16"/>
      <c r="N16" s="16"/>
      <c r="O16" s="16"/>
      <c r="P16" s="16"/>
      <c r="Q16" s="16"/>
      <c r="R16" s="16"/>
      <c r="S16" s="16"/>
      <c r="T16" s="91">
        <v>0</v>
      </c>
      <c r="U16" s="47">
        <v>10603.85</v>
      </c>
      <c r="V16" s="88">
        <v>0</v>
      </c>
      <c r="W16" s="16">
        <v>1070</v>
      </c>
      <c r="X16" s="88"/>
      <c r="Y16" s="16"/>
      <c r="Z16" s="88"/>
    </row>
    <row r="17" spans="1:26" s="2" customFormat="1" ht="20.100000000000001" customHeight="1" x14ac:dyDescent="0.15">
      <c r="A17" s="45"/>
      <c r="B17" s="45"/>
      <c r="C17" s="45"/>
      <c r="D17" s="24"/>
      <c r="E17" s="36" t="str">
        <f>IF(인덴트_임시!C10="","",인덴트_임시!C10)</f>
        <v>DHGK-2150</v>
      </c>
      <c r="F17" s="4"/>
      <c r="G17" s="8"/>
      <c r="H17" s="16">
        <v>1146</v>
      </c>
      <c r="I17" s="16">
        <v>99</v>
      </c>
      <c r="J17" s="16" t="s">
        <v>1154</v>
      </c>
      <c r="K17" s="16" t="s">
        <v>1529</v>
      </c>
      <c r="L17" s="16" t="s">
        <v>1187</v>
      </c>
      <c r="M17" s="16"/>
      <c r="N17" s="16"/>
      <c r="O17" s="16"/>
      <c r="P17" s="16"/>
      <c r="Q17" s="16"/>
      <c r="R17" s="16"/>
      <c r="S17" s="16"/>
      <c r="T17" s="91">
        <v>0</v>
      </c>
      <c r="U17" s="47">
        <v>4068.5</v>
      </c>
      <c r="V17" s="88">
        <v>0</v>
      </c>
      <c r="W17" s="16">
        <v>129</v>
      </c>
      <c r="X17" s="88"/>
      <c r="Y17" s="16"/>
      <c r="Z17" s="88"/>
    </row>
    <row r="18" spans="1:26" s="2" customFormat="1" ht="20.100000000000001" customHeight="1" x14ac:dyDescent="0.15">
      <c r="A18" s="45"/>
      <c r="B18" s="107" t="s">
        <v>1120</v>
      </c>
      <c r="C18" s="107"/>
      <c r="D18" s="24"/>
      <c r="E18" s="36" t="str">
        <f>IF(인덴트_임시!C11="","",인덴트_임시!C11)</f>
        <v>DHGK-2151</v>
      </c>
      <c r="F18" s="4"/>
      <c r="G18" s="8"/>
      <c r="H18" s="16">
        <v>1156</v>
      </c>
      <c r="I18" s="16">
        <v>99</v>
      </c>
      <c r="J18" s="16" t="s">
        <v>1154</v>
      </c>
      <c r="K18" s="16" t="s">
        <v>1529</v>
      </c>
      <c r="L18" s="16" t="s">
        <v>1187</v>
      </c>
      <c r="M18" s="16"/>
      <c r="N18" s="16"/>
      <c r="O18" s="16"/>
      <c r="P18" s="16"/>
      <c r="Q18" s="16"/>
      <c r="R18" s="16"/>
      <c r="S18" s="16"/>
      <c r="T18" s="91">
        <v>0</v>
      </c>
      <c r="U18" s="47">
        <v>2204.1999999999998</v>
      </c>
      <c r="V18" s="88">
        <v>0</v>
      </c>
      <c r="W18" s="16">
        <v>877</v>
      </c>
      <c r="X18" s="88"/>
      <c r="Y18" s="16"/>
      <c r="Z18" s="88"/>
    </row>
    <row r="19" spans="1:26" s="2" customFormat="1" ht="20.100000000000001" customHeight="1" x14ac:dyDescent="0.15">
      <c r="A19" s="45"/>
      <c r="B19" s="45"/>
      <c r="C19" s="45"/>
      <c r="D19" s="24"/>
      <c r="E19" s="36" t="str">
        <f>IF(인덴트_임시!C12="","",인덴트_임시!C12)</f>
        <v>DHGK-2152</v>
      </c>
      <c r="F19" s="4"/>
      <c r="G19" s="8"/>
      <c r="H19" s="16">
        <v>1145</v>
      </c>
      <c r="I19" s="16">
        <v>99</v>
      </c>
      <c r="J19" s="16" t="s">
        <v>1154</v>
      </c>
      <c r="K19" s="16" t="s">
        <v>1529</v>
      </c>
      <c r="L19" s="16" t="s">
        <v>1187</v>
      </c>
      <c r="M19" s="16"/>
      <c r="N19" s="16"/>
      <c r="O19" s="16"/>
      <c r="P19" s="16"/>
      <c r="Q19" s="16"/>
      <c r="R19" s="16"/>
      <c r="S19" s="16"/>
      <c r="T19" s="91">
        <v>0</v>
      </c>
      <c r="U19" s="47">
        <v>7246.05</v>
      </c>
      <c r="V19" s="88">
        <v>0</v>
      </c>
      <c r="W19" s="16">
        <v>67</v>
      </c>
      <c r="X19" s="88"/>
      <c r="Y19" s="16"/>
      <c r="Z19" s="88"/>
    </row>
    <row r="20" spans="1:26" s="2" customFormat="1" ht="20.100000000000001" customHeight="1" x14ac:dyDescent="0.15">
      <c r="A20" s="45"/>
      <c r="B20" s="45"/>
      <c r="C20" s="45"/>
      <c r="D20" s="24"/>
      <c r="E20" s="36" t="str">
        <f>IF(인덴트_임시!C13="","",인덴트_임시!C13)</f>
        <v>DHGK-2153</v>
      </c>
      <c r="F20" s="4"/>
      <c r="G20" s="8"/>
      <c r="H20" s="16">
        <v>1148</v>
      </c>
      <c r="I20" s="16">
        <v>99</v>
      </c>
      <c r="J20" s="16" t="s">
        <v>1154</v>
      </c>
      <c r="K20" s="16" t="s">
        <v>1528</v>
      </c>
      <c r="L20" s="16" t="s">
        <v>1187</v>
      </c>
      <c r="M20" s="16"/>
      <c r="N20" s="16"/>
      <c r="O20" s="16"/>
      <c r="P20" s="16"/>
      <c r="Q20" s="16"/>
      <c r="R20" s="16"/>
      <c r="S20" s="16"/>
      <c r="T20" s="91">
        <v>0</v>
      </c>
      <c r="U20" s="47">
        <v>7307.85</v>
      </c>
      <c r="V20" s="88">
        <v>0</v>
      </c>
      <c r="W20" s="16">
        <v>261</v>
      </c>
      <c r="X20" s="88"/>
      <c r="Y20" s="16"/>
      <c r="Z20" s="88"/>
    </row>
    <row r="21" spans="1:26" s="2" customFormat="1" ht="20.100000000000001" customHeight="1" x14ac:dyDescent="0.15">
      <c r="A21" s="45"/>
      <c r="B21" s="45"/>
      <c r="C21" s="45"/>
      <c r="D21" s="24"/>
      <c r="E21" s="36" t="str">
        <f>IF(인덴트_임시!C14="","",인덴트_임시!C14)</f>
        <v>DHGK-2154</v>
      </c>
      <c r="F21" s="4"/>
      <c r="G21" s="8"/>
      <c r="H21" s="16">
        <v>1155</v>
      </c>
      <c r="I21" s="16">
        <v>99</v>
      </c>
      <c r="J21" s="16" t="s">
        <v>1154</v>
      </c>
      <c r="K21" s="16" t="s">
        <v>1528</v>
      </c>
      <c r="L21" s="16" t="s">
        <v>1187</v>
      </c>
      <c r="M21" s="16"/>
      <c r="N21" s="16"/>
      <c r="O21" s="16"/>
      <c r="P21" s="16"/>
      <c r="Q21" s="16"/>
      <c r="R21" s="16"/>
      <c r="S21" s="16"/>
      <c r="T21" s="91">
        <v>0</v>
      </c>
      <c r="U21" s="47">
        <v>8203.9500000000007</v>
      </c>
      <c r="V21" s="88">
        <v>0</v>
      </c>
      <c r="W21" s="16">
        <v>833</v>
      </c>
      <c r="X21" s="88"/>
      <c r="Y21" s="16"/>
      <c r="Z21" s="88"/>
    </row>
    <row r="22" spans="1:26" s="2" customFormat="1" ht="20.100000000000001" customHeight="1" x14ac:dyDescent="0.15">
      <c r="A22" s="45"/>
      <c r="B22" s="45"/>
      <c r="C22" s="45"/>
      <c r="D22" s="24"/>
      <c r="E22" s="36" t="str">
        <f>IF(인덴트_임시!C15="","",인덴트_임시!C15)</f>
        <v>DHGK-2155</v>
      </c>
      <c r="F22" s="4"/>
      <c r="G22" s="8"/>
      <c r="H22" s="16">
        <v>1149</v>
      </c>
      <c r="I22" s="16">
        <v>99</v>
      </c>
      <c r="J22" s="16" t="s">
        <v>1154</v>
      </c>
      <c r="K22" s="16" t="s">
        <v>1528</v>
      </c>
      <c r="L22" s="16" t="s">
        <v>1187</v>
      </c>
      <c r="M22" s="16"/>
      <c r="N22" s="16"/>
      <c r="O22" s="16"/>
      <c r="P22" s="16"/>
      <c r="Q22" s="16"/>
      <c r="R22" s="16"/>
      <c r="S22" s="16"/>
      <c r="T22" s="91">
        <v>0</v>
      </c>
      <c r="U22" s="47">
        <v>20546.439999999999</v>
      </c>
      <c r="V22" s="88">
        <v>0</v>
      </c>
      <c r="W22" s="16">
        <v>391</v>
      </c>
      <c r="X22" s="88"/>
      <c r="Y22" s="16"/>
      <c r="Z22" s="88"/>
    </row>
    <row r="23" spans="1:26" s="2" customFormat="1" ht="20.100000000000001" customHeight="1" x14ac:dyDescent="0.15">
      <c r="A23" s="45"/>
      <c r="B23" s="45"/>
      <c r="C23" s="45"/>
      <c r="D23" s="24"/>
      <c r="E23" s="36" t="str">
        <f>IF(인덴트_임시!C16="","",인덴트_임시!C16)</f>
        <v>DHGK-2156</v>
      </c>
      <c r="F23" s="4"/>
      <c r="G23" s="8"/>
      <c r="H23" s="16">
        <v>1150</v>
      </c>
      <c r="I23" s="16">
        <v>99</v>
      </c>
      <c r="J23" s="16" t="s">
        <v>1154</v>
      </c>
      <c r="K23" s="16" t="s">
        <v>1528</v>
      </c>
      <c r="L23" s="16" t="s">
        <v>1187</v>
      </c>
      <c r="M23" s="16"/>
      <c r="N23" s="16"/>
      <c r="O23" s="16"/>
      <c r="P23" s="16"/>
      <c r="Q23" s="16"/>
      <c r="R23" s="16"/>
      <c r="S23" s="16"/>
      <c r="T23" s="91">
        <v>0</v>
      </c>
      <c r="U23" s="47">
        <v>7153.35</v>
      </c>
      <c r="V23" s="88">
        <v>0</v>
      </c>
      <c r="W23" s="16">
        <v>489</v>
      </c>
      <c r="X23" s="88"/>
      <c r="Y23" s="16"/>
      <c r="Z23" s="88"/>
    </row>
    <row r="24" spans="1:26" s="2" customFormat="1" ht="20.100000000000001" customHeight="1" x14ac:dyDescent="0.15">
      <c r="A24" s="45"/>
      <c r="B24" s="45"/>
      <c r="C24" s="45"/>
      <c r="D24" s="24"/>
      <c r="E24" s="36" t="str">
        <f>IF(인덴트_임시!C17="","",인덴트_임시!C17)</f>
        <v/>
      </c>
      <c r="F24" s="4"/>
      <c r="G24" s="8"/>
      <c r="H24" s="16">
        <v>1154</v>
      </c>
      <c r="I24" s="16">
        <v>99</v>
      </c>
      <c r="J24" s="16" t="s">
        <v>1154</v>
      </c>
      <c r="K24" s="16" t="s">
        <v>1528</v>
      </c>
      <c r="L24" s="16" t="s">
        <v>1187</v>
      </c>
      <c r="M24" s="16"/>
      <c r="N24" s="16"/>
      <c r="O24" s="16"/>
      <c r="P24" s="16"/>
      <c r="Q24" s="16"/>
      <c r="R24" s="16"/>
      <c r="S24" s="16"/>
      <c r="T24" s="91">
        <v>0</v>
      </c>
      <c r="U24" s="47">
        <v>19930.5</v>
      </c>
      <c r="V24" s="88">
        <v>0</v>
      </c>
      <c r="W24" s="16">
        <v>783</v>
      </c>
      <c r="X24" s="88"/>
      <c r="Y24" s="16"/>
      <c r="Z24" s="88"/>
    </row>
    <row r="25" spans="1:26" s="2" customFormat="1" ht="20.100000000000001" customHeight="1" x14ac:dyDescent="0.15">
      <c r="A25" s="45"/>
      <c r="B25" s="45"/>
      <c r="C25" s="45"/>
      <c r="D25" s="24"/>
      <c r="E25" s="36" t="str">
        <f>IF(인덴트_임시!C18="","",인덴트_임시!C18)</f>
        <v/>
      </c>
      <c r="F25" s="4"/>
      <c r="G25" s="8"/>
      <c r="H25" s="16">
        <v>1151</v>
      </c>
      <c r="I25" s="16">
        <v>99</v>
      </c>
      <c r="J25" s="16" t="s">
        <v>1154</v>
      </c>
      <c r="K25" s="16" t="s">
        <v>1528</v>
      </c>
      <c r="L25" s="16" t="s">
        <v>1187</v>
      </c>
      <c r="M25" s="16"/>
      <c r="N25" s="16"/>
      <c r="O25" s="16"/>
      <c r="P25" s="16"/>
      <c r="Q25" s="16"/>
      <c r="R25" s="16"/>
      <c r="S25" s="16"/>
      <c r="T25" s="91">
        <v>0</v>
      </c>
      <c r="U25" s="47">
        <v>6937.05</v>
      </c>
      <c r="V25" s="88">
        <v>0</v>
      </c>
      <c r="W25" s="16">
        <v>554</v>
      </c>
      <c r="X25" s="88"/>
      <c r="Y25" s="16"/>
      <c r="Z25" s="88"/>
    </row>
    <row r="26" spans="1:26" s="2" customFormat="1" ht="20.100000000000001" customHeight="1" x14ac:dyDescent="0.15">
      <c r="A26" s="45"/>
      <c r="B26" s="45"/>
      <c r="C26" s="45"/>
      <c r="D26" s="24"/>
      <c r="E26" s="36" t="str">
        <f>IF(인덴트_임시!C19="","",인덴트_임시!C19)</f>
        <v/>
      </c>
      <c r="F26" s="4"/>
      <c r="G26" s="8"/>
      <c r="H26" s="16">
        <v>1146</v>
      </c>
      <c r="I26" s="16">
        <v>99</v>
      </c>
      <c r="J26" s="16" t="s">
        <v>1154</v>
      </c>
      <c r="K26" s="16" t="s">
        <v>1528</v>
      </c>
      <c r="L26" s="16" t="s">
        <v>1187</v>
      </c>
      <c r="M26" s="16"/>
      <c r="N26" s="16"/>
      <c r="O26" s="16"/>
      <c r="P26" s="16"/>
      <c r="Q26" s="16"/>
      <c r="R26" s="16"/>
      <c r="S26" s="16"/>
      <c r="T26" s="91">
        <v>0</v>
      </c>
      <c r="U26" s="47">
        <v>4068.5</v>
      </c>
      <c r="V26" s="88">
        <v>0</v>
      </c>
      <c r="W26" s="16">
        <v>128</v>
      </c>
      <c r="X26" s="88"/>
      <c r="Y26" s="16"/>
      <c r="Z26" s="88"/>
    </row>
    <row r="27" spans="1:26" s="2" customFormat="1" ht="20.100000000000001" customHeight="1" thickBot="1" x14ac:dyDescent="0.2">
      <c r="A27" s="45"/>
      <c r="B27" s="45"/>
      <c r="C27" s="45"/>
      <c r="D27" s="24"/>
      <c r="E27" s="37" t="str">
        <f>IF(인덴트_임시!C20="","",인덴트_임시!C20)</f>
        <v/>
      </c>
      <c r="F27" s="4"/>
      <c r="G27" s="8"/>
      <c r="H27" s="16">
        <v>1152</v>
      </c>
      <c r="I27" s="16">
        <v>99</v>
      </c>
      <c r="J27" s="16" t="s">
        <v>1154</v>
      </c>
      <c r="K27" s="16" t="s">
        <v>1528</v>
      </c>
      <c r="L27" s="16" t="s">
        <v>1187</v>
      </c>
      <c r="M27" s="16"/>
      <c r="N27" s="16"/>
      <c r="O27" s="16"/>
      <c r="P27" s="16"/>
      <c r="Q27" s="16"/>
      <c r="R27" s="16"/>
      <c r="S27" s="16"/>
      <c r="T27" s="91">
        <v>0</v>
      </c>
      <c r="U27" s="47">
        <v>6607.45</v>
      </c>
      <c r="V27" s="88">
        <v>0</v>
      </c>
      <c r="W27" s="16">
        <v>621</v>
      </c>
      <c r="X27" s="88"/>
      <c r="Y27" s="16"/>
      <c r="Z27" s="88"/>
    </row>
    <row r="28" spans="1:26" s="2" customFormat="1" ht="20.100000000000001" customHeight="1" x14ac:dyDescent="0.15">
      <c r="A28" s="45"/>
      <c r="B28" s="45"/>
      <c r="C28" s="45"/>
      <c r="D28" s="4"/>
      <c r="E28" s="4"/>
      <c r="F28" s="4"/>
      <c r="G28" s="8"/>
      <c r="H28" s="14"/>
      <c r="I28" s="14"/>
      <c r="J28" s="70"/>
      <c r="K28" s="70"/>
      <c r="L28" s="70"/>
      <c r="M28" s="70"/>
      <c r="N28" s="70"/>
      <c r="O28" s="70"/>
      <c r="P28" s="70"/>
      <c r="Q28" s="70"/>
      <c r="R28" s="113" t="s">
        <v>1525</v>
      </c>
      <c r="S28" s="113"/>
      <c r="T28" s="71"/>
      <c r="U28" s="86"/>
      <c r="V28" s="89"/>
      <c r="W28" s="14"/>
      <c r="X28" s="89"/>
      <c r="Y28" s="14"/>
      <c r="Z28" s="104"/>
    </row>
  </sheetData>
  <mergeCells count="13">
    <mergeCell ref="R28:S28"/>
    <mergeCell ref="B7:C7"/>
    <mergeCell ref="B8:C8"/>
    <mergeCell ref="B15:C15"/>
    <mergeCell ref="B16:C16"/>
    <mergeCell ref="B18:C18"/>
    <mergeCell ref="B9:C9"/>
    <mergeCell ref="B6:C6"/>
    <mergeCell ref="A1:C1"/>
    <mergeCell ref="A2:C2"/>
    <mergeCell ref="B3:C3"/>
    <mergeCell ref="B4:C4"/>
    <mergeCell ref="B5:C5"/>
  </mergeCells>
  <phoneticPr fontId="1" type="noConversion"/>
  <conditionalFormatting sqref="K3:K27">
    <cfRule type="cellIs" dxfId="111" priority="78" operator="equal">
      <formula>"DELETED"</formula>
    </cfRule>
    <cfRule type="cellIs" dxfId="110" priority="79" operator="equal">
      <formula>"삭제"</formula>
    </cfRule>
    <cfRule type="cellIs" dxfId="109" priority="80" operator="equal">
      <formula>"수정"</formula>
    </cfRule>
    <cfRule type="cellIs" dxfId="108" priority="81" operator="equal">
      <formula>"UPDATED"</formula>
    </cfRule>
  </conditionalFormatting>
  <conditionalFormatting sqref="J3:J27">
    <cfRule type="cellIs" dxfId="107" priority="10" operator="equal">
      <formula>"UPDATED"</formula>
    </cfRule>
    <cfRule type="cellIs" dxfId="106" priority="11" operator="equal">
      <formula>"선택"</formula>
    </cfRule>
    <cfRule type="cellIs" dxfId="105" priority="74" operator="equal">
      <formula>"DELETED"</formula>
    </cfRule>
    <cfRule type="cellIs" dxfId="104" priority="75" operator="equal">
      <formula>"삭제"</formula>
    </cfRule>
    <cfRule type="cellIs" dxfId="103" priority="76" operator="equal">
      <formula>"수정"</formula>
    </cfRule>
    <cfRule type="cellIs" dxfId="102" priority="77" operator="equal">
      <formula>"UPDATED"</formula>
    </cfRule>
  </conditionalFormatting>
  <conditionalFormatting sqref="M3:M27">
    <cfRule type="cellIs" dxfId="101" priority="70" operator="equal">
      <formula>"DELETED"</formula>
    </cfRule>
    <cfRule type="cellIs" dxfId="100" priority="71" operator="equal">
      <formula>"삭제"</formula>
    </cfRule>
    <cfRule type="cellIs" dxfId="99" priority="72" operator="equal">
      <formula>"수정"</formula>
    </cfRule>
    <cfRule type="cellIs" dxfId="98" priority="73" operator="equal">
      <formula>"UPDATED"</formula>
    </cfRule>
  </conditionalFormatting>
  <conditionalFormatting sqref="L3:L27">
    <cfRule type="cellIs" dxfId="97" priority="66" operator="equal">
      <formula>"DELETED"</formula>
    </cfRule>
    <cfRule type="cellIs" dxfId="96" priority="67" operator="equal">
      <formula>"삭제"</formula>
    </cfRule>
    <cfRule type="cellIs" dxfId="95" priority="68" operator="equal">
      <formula>"수정"</formula>
    </cfRule>
    <cfRule type="cellIs" dxfId="94" priority="69" operator="equal">
      <formula>"UPDATED"</formula>
    </cfRule>
  </conditionalFormatting>
  <conditionalFormatting sqref="N3:N27">
    <cfRule type="cellIs" dxfId="93" priority="62" operator="equal">
      <formula>"DELETED"</formula>
    </cfRule>
    <cfRule type="cellIs" dxfId="92" priority="63" operator="equal">
      <formula>"삭제"</formula>
    </cfRule>
    <cfRule type="cellIs" dxfId="91" priority="64" operator="equal">
      <formula>"수정"</formula>
    </cfRule>
    <cfRule type="cellIs" dxfId="90" priority="65" operator="equal">
      <formula>"UPDATED"</formula>
    </cfRule>
  </conditionalFormatting>
  <conditionalFormatting sqref="T3:T27">
    <cfRule type="cellIs" dxfId="89" priority="58" operator="equal">
      <formula>"DELETED"</formula>
    </cfRule>
    <cfRule type="cellIs" dxfId="88" priority="59" operator="equal">
      <formula>"삭제"</formula>
    </cfRule>
    <cfRule type="cellIs" dxfId="87" priority="60" operator="equal">
      <formula>"수정"</formula>
    </cfRule>
    <cfRule type="cellIs" dxfId="86" priority="61" operator="equal">
      <formula>"UPDATED"</formula>
    </cfRule>
  </conditionalFormatting>
  <conditionalFormatting sqref="P3:P27">
    <cfRule type="cellIs" dxfId="85" priority="54" operator="equal">
      <formula>"DELETED"</formula>
    </cfRule>
    <cfRule type="cellIs" dxfId="84" priority="55" operator="equal">
      <formula>"삭제"</formula>
    </cfRule>
    <cfRule type="cellIs" dxfId="83" priority="56" operator="equal">
      <formula>"수정"</formula>
    </cfRule>
    <cfRule type="cellIs" dxfId="82" priority="57" operator="equal">
      <formula>"UPDATED"</formula>
    </cfRule>
  </conditionalFormatting>
  <conditionalFormatting sqref="O3:O27">
    <cfRule type="cellIs" dxfId="81" priority="50" operator="equal">
      <formula>"DELETED"</formula>
    </cfRule>
    <cfRule type="cellIs" dxfId="80" priority="51" operator="equal">
      <formula>"삭제"</formula>
    </cfRule>
    <cfRule type="cellIs" dxfId="79" priority="52" operator="equal">
      <formula>"수정"</formula>
    </cfRule>
    <cfRule type="cellIs" dxfId="78" priority="53" operator="equal">
      <formula>"UPDATED"</formula>
    </cfRule>
  </conditionalFormatting>
  <conditionalFormatting sqref="Q3:Q27">
    <cfRule type="cellIs" dxfId="77" priority="42" operator="equal">
      <formula>"DELETED"</formula>
    </cfRule>
    <cfRule type="cellIs" dxfId="76" priority="43" operator="equal">
      <formula>"삭제"</formula>
    </cfRule>
    <cfRule type="cellIs" dxfId="75" priority="44" operator="equal">
      <formula>"수정"</formula>
    </cfRule>
    <cfRule type="cellIs" dxfId="74" priority="45" operator="equal">
      <formula>"UPDATED"</formula>
    </cfRule>
  </conditionalFormatting>
  <conditionalFormatting sqref="E7">
    <cfRule type="containsBlanks" dxfId="73" priority="29">
      <formula>LEN(TRIM(E7))=0</formula>
    </cfRule>
  </conditionalFormatting>
  <conditionalFormatting sqref="E7">
    <cfRule type="notContainsBlanks" dxfId="72" priority="28">
      <formula>LEN(TRIM(E7))&gt;0</formula>
    </cfRule>
  </conditionalFormatting>
  <conditionalFormatting sqref="R3:R27">
    <cfRule type="cellIs" dxfId="71" priority="24" operator="equal">
      <formula>"DELETED"</formula>
    </cfRule>
    <cfRule type="cellIs" dxfId="70" priority="25" operator="equal">
      <formula>"삭제"</formula>
    </cfRule>
    <cfRule type="cellIs" dxfId="69" priority="26" operator="equal">
      <formula>"수정"</formula>
    </cfRule>
    <cfRule type="cellIs" dxfId="68" priority="27" operator="equal">
      <formula>"UPDATED"</formula>
    </cfRule>
  </conditionalFormatting>
  <conditionalFormatting sqref="U3:U27">
    <cfRule type="cellIs" dxfId="67" priority="20" operator="equal">
      <formula>"DELETED"</formula>
    </cfRule>
    <cfRule type="cellIs" dxfId="66" priority="21" operator="equal">
      <formula>"삭제"</formula>
    </cfRule>
    <cfRule type="cellIs" dxfId="65" priority="22" operator="equal">
      <formula>"수정"</formula>
    </cfRule>
    <cfRule type="cellIs" dxfId="64" priority="23" operator="equal">
      <formula>"UPDATED"</formula>
    </cfRule>
  </conditionalFormatting>
  <conditionalFormatting sqref="S3:T27">
    <cfRule type="cellIs" dxfId="63" priority="16" operator="equal">
      <formula>"DELETED"</formula>
    </cfRule>
    <cfRule type="cellIs" dxfId="62" priority="17" operator="equal">
      <formula>"삭제"</formula>
    </cfRule>
    <cfRule type="cellIs" dxfId="61" priority="18" operator="equal">
      <formula>"수정"</formula>
    </cfRule>
    <cfRule type="cellIs" dxfId="60" priority="19" operator="equal">
      <formula>"UPDATED"</formula>
    </cfRule>
  </conditionalFormatting>
  <conditionalFormatting sqref="V3:V27">
    <cfRule type="cellIs" dxfId="59" priority="12" operator="equal">
      <formula>"DELETED"</formula>
    </cfRule>
    <cfRule type="cellIs" dxfId="58" priority="13" operator="equal">
      <formula>"삭제"</formula>
    </cfRule>
    <cfRule type="cellIs" dxfId="57" priority="14" operator="equal">
      <formula>"수정"</formula>
    </cfRule>
    <cfRule type="cellIs" dxfId="56" priority="15" operator="equal">
      <formula>"UPDATED"</formula>
    </cfRule>
  </conditionalFormatting>
  <conditionalFormatting sqref="X3:X27">
    <cfRule type="cellIs" dxfId="55" priority="6" operator="equal">
      <formula>"DELETED"</formula>
    </cfRule>
    <cfRule type="cellIs" dxfId="54" priority="7" operator="equal">
      <formula>"삭제"</formula>
    </cfRule>
    <cfRule type="cellIs" dxfId="53" priority="8" operator="equal">
      <formula>"수정"</formula>
    </cfRule>
    <cfRule type="cellIs" dxfId="52" priority="9" operator="equal">
      <formula>"UPDATED"</formula>
    </cfRule>
  </conditionalFormatting>
  <conditionalFormatting sqref="Z3:Z27">
    <cfRule type="notContainsBlanks" dxfId="51" priority="1">
      <formula>LEN(TRIM(Z3))&gt;0</formula>
    </cfRule>
    <cfRule type="cellIs" dxfId="50" priority="2" operator="equal">
      <formula>"DELETED"</formula>
    </cfRule>
    <cfRule type="cellIs" dxfId="49" priority="3" operator="equal">
      <formula>"삭제"</formula>
    </cfRule>
    <cfRule type="cellIs" dxfId="48" priority="4" operator="equal">
      <formula>"수정"</formula>
    </cfRule>
    <cfRule type="cellIs" dxfId="47" priority="5" operator="equal">
      <formula>"UPDATED"</formula>
    </cfRule>
  </conditionalFormatting>
  <dataValidations count="2">
    <dataValidation type="list" allowBlank="1" showInputMessage="1" showErrorMessage="1" sqref="A1:C1" xr:uid="{278BA374-E1E6-4AF1-8FB8-29075D92838D}">
      <formula1>"Lee International,Daehan Global Korea"</formula1>
    </dataValidation>
    <dataValidation type="list" allowBlank="1" showInputMessage="1" showErrorMessage="1" sqref="J3:J27" xr:uid="{BB9B9821-FDB1-4043-A831-4C8DD69A42B0}">
      <formula1>"선택,수정,Activate,UPDATED"</formula1>
    </dataValidation>
  </dataValidations>
  <hyperlinks>
    <hyperlink ref="B18:C18" r:id="rId1" display="대시보드" xr:uid="{CFEDE9E7-C81D-4D7B-83CA-9187932C7086}"/>
    <hyperlink ref="B3:C3" location="인덴트관리!A1" display="1. 인덴트 관리" xr:uid="{ED77650C-CCFA-4F3E-B432-50FF4CFE0A69}"/>
    <hyperlink ref="B4:C4" location="PO관리!A1" display="2. PO 관리" xr:uid="{9FCD742C-6D46-4A4B-BEDC-D17A002E9432}"/>
    <hyperlink ref="B5:C5" location="지출계획!A1" display="3. 지출계획" xr:uid="{A94A77B5-1DC1-4506-8A36-C71DF4B0742F}"/>
    <hyperlink ref="B6:C6" location="매출채권!A1" display="4. 매출채권" xr:uid="{38408C6F-341D-47F9-87E3-D8023161B668}"/>
    <hyperlink ref="B7:C7" location="체크리스트!A1" display="5. 체크리스트" xr:uid="{1AC74D98-E8EF-4FB9-8BF9-E81834491C50}"/>
    <hyperlink ref="B8:C8" location="발주서!A1" display="6. 발주서" xr:uid="{AD97DF66-DCE2-4DAC-AB2E-EBDF03681C79}"/>
    <hyperlink ref="B9:C9" location="Tracking!A1" display="Tracking" xr:uid="{42A8A9C4-167A-41BA-9D7B-CB98C2BEF27D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Data가 존재하지 않습니다." xr:uid="{2615A538-E80B-480B-A59C-5313C8FC2091}">
          <x14:formula1>
            <xm:f>validation!$R$2:$R$16</xm:f>
          </x14:formula1>
          <xm:sqref>E7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28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20" sqref="M20"/>
    </sheetView>
  </sheetViews>
  <sheetFormatPr defaultColWidth="0" defaultRowHeight="20.100000000000001" customHeight="1" zeroHeight="1" x14ac:dyDescent="0.15"/>
  <cols>
    <col min="1" max="1" width="4.7109375" style="94" customWidth="1"/>
    <col min="2" max="2" width="2.7109375" style="94" customWidth="1"/>
    <col min="3" max="3" width="15.7109375" style="94" customWidth="1"/>
    <col min="4" max="4" width="4.7109375" style="94" customWidth="1"/>
    <col min="5" max="5" width="20.7109375" style="94" customWidth="1"/>
    <col min="6" max="6" width="2.7109375" style="94" customWidth="1"/>
    <col min="7" max="7" width="2.7109375" style="95" customWidth="1"/>
    <col min="8" max="8" width="8.140625" style="96" hidden="1" customWidth="1"/>
    <col min="9" max="14" width="10.7109375" style="97" customWidth="1"/>
    <col min="15" max="15" width="17.140625" style="97" customWidth="1"/>
    <col min="16" max="16" width="10.7109375" style="97" customWidth="1"/>
    <col min="17" max="18" width="8.140625" style="96" hidden="1" customWidth="1"/>
    <col min="19" max="20" width="10.7109375" style="97" customWidth="1"/>
    <col min="21" max="22" width="10.7109375" style="123" customWidth="1"/>
    <col min="23" max="23" width="10.7109375" style="97" customWidth="1"/>
    <col min="24" max="27" width="8.85546875" style="95" hidden="1"/>
    <col min="28" max="31" width="0" style="95" hidden="1"/>
    <col min="32" max="16384" width="8.85546875" style="95" hidden="1"/>
  </cols>
  <sheetData>
    <row r="1" spans="1:23" s="2" customFormat="1" ht="20.100000000000001" customHeight="1" thickBot="1" x14ac:dyDescent="0.2">
      <c r="A1" s="108" t="s">
        <v>7</v>
      </c>
      <c r="B1" s="109"/>
      <c r="C1" s="110"/>
      <c r="D1" s="4"/>
      <c r="E1" s="4"/>
      <c r="F1" s="4"/>
      <c r="G1" s="6"/>
      <c r="H1" s="43">
        <v>15</v>
      </c>
      <c r="I1" s="60">
        <v>1</v>
      </c>
      <c r="J1" s="60">
        <v>1</v>
      </c>
      <c r="K1" s="60"/>
      <c r="L1" s="60"/>
      <c r="M1" s="60"/>
      <c r="N1" s="60">
        <v>10</v>
      </c>
      <c r="O1" s="60"/>
      <c r="P1" s="60"/>
      <c r="Q1" s="43">
        <v>9</v>
      </c>
      <c r="R1" s="43">
        <v>9</v>
      </c>
      <c r="S1" s="60"/>
      <c r="T1" s="60"/>
      <c r="U1" s="121"/>
      <c r="V1" s="121"/>
      <c r="W1" s="60"/>
    </row>
    <row r="2" spans="1:23" s="2" customFormat="1" ht="20.100000000000001" customHeight="1" x14ac:dyDescent="0.15">
      <c r="A2" s="106"/>
      <c r="B2" s="106"/>
      <c r="C2" s="106"/>
      <c r="D2" s="4"/>
      <c r="E2" s="4"/>
      <c r="F2" s="4"/>
      <c r="G2" s="8"/>
      <c r="H2" s="19" t="s">
        <v>12</v>
      </c>
      <c r="I2" s="64" t="s">
        <v>1172</v>
      </c>
      <c r="J2" s="64" t="s">
        <v>1541</v>
      </c>
      <c r="K2" s="64" t="s">
        <v>1542</v>
      </c>
      <c r="L2" s="64" t="s">
        <v>1543</v>
      </c>
      <c r="M2" s="64" t="s">
        <v>10</v>
      </c>
      <c r="N2" s="64" t="s">
        <v>1521</v>
      </c>
      <c r="O2" s="64" t="s">
        <v>1520</v>
      </c>
      <c r="P2" s="64" t="s">
        <v>1545</v>
      </c>
      <c r="Q2" s="19" t="s">
        <v>12</v>
      </c>
      <c r="R2" s="19" t="s">
        <v>12</v>
      </c>
      <c r="S2" s="65" t="s">
        <v>1549</v>
      </c>
      <c r="T2" s="65" t="s">
        <v>1550</v>
      </c>
      <c r="U2" s="122" t="s">
        <v>1551</v>
      </c>
      <c r="V2" s="122" t="s">
        <v>1552</v>
      </c>
      <c r="W2" s="122" t="s">
        <v>1548</v>
      </c>
    </row>
    <row r="3" spans="1:23" s="2" customFormat="1" ht="20.100000000000001" customHeight="1" x14ac:dyDescent="0.15">
      <c r="A3" s="93"/>
      <c r="B3" s="111" t="s">
        <v>1532</v>
      </c>
      <c r="C3" s="111"/>
      <c r="D3" s="4"/>
      <c r="E3" s="4"/>
      <c r="F3" s="4"/>
      <c r="G3" s="8"/>
      <c r="H3" s="16">
        <v>262</v>
      </c>
      <c r="I3" s="16" t="s">
        <v>1154</v>
      </c>
      <c r="J3" s="16" t="s">
        <v>1121</v>
      </c>
      <c r="K3" s="16" t="s">
        <v>1128</v>
      </c>
      <c r="L3" s="16" t="s">
        <v>226</v>
      </c>
      <c r="M3" s="16">
        <v>2022</v>
      </c>
      <c r="N3" s="16" t="s">
        <v>1187</v>
      </c>
      <c r="O3" s="16" t="s">
        <v>1529</v>
      </c>
      <c r="P3" s="16" t="s">
        <v>1538</v>
      </c>
      <c r="Q3" s="16">
        <v>2</v>
      </c>
      <c r="R3" s="16">
        <v>5</v>
      </c>
      <c r="S3" s="16" t="s">
        <v>1556</v>
      </c>
      <c r="T3" s="16" t="s">
        <v>1554</v>
      </c>
      <c r="U3" s="42">
        <v>44525</v>
      </c>
      <c r="V3" s="42">
        <v>44528</v>
      </c>
      <c r="W3" s="88"/>
    </row>
    <row r="4" spans="1:23" s="2" customFormat="1" ht="20.100000000000001" customHeight="1" x14ac:dyDescent="0.15">
      <c r="A4" s="93"/>
      <c r="B4" s="111" t="s">
        <v>1533</v>
      </c>
      <c r="C4" s="111"/>
      <c r="D4" s="4"/>
      <c r="E4" s="4"/>
      <c r="F4" s="4"/>
      <c r="G4" s="8"/>
      <c r="H4" s="16">
        <v>262</v>
      </c>
      <c r="I4" s="16" t="s">
        <v>1154</v>
      </c>
      <c r="J4" s="16" t="s">
        <v>1121</v>
      </c>
      <c r="K4" s="16" t="s">
        <v>1128</v>
      </c>
      <c r="L4" s="16" t="s">
        <v>226</v>
      </c>
      <c r="M4" s="16">
        <v>2022</v>
      </c>
      <c r="N4" s="16" t="s">
        <v>1187</v>
      </c>
      <c r="O4" s="16" t="s">
        <v>1529</v>
      </c>
      <c r="P4" s="16" t="s">
        <v>1538</v>
      </c>
      <c r="Q4" s="16">
        <v>2</v>
      </c>
      <c r="R4" s="16">
        <v>2</v>
      </c>
      <c r="S4" s="16" t="s">
        <v>1558</v>
      </c>
      <c r="T4" s="16" t="s">
        <v>1554</v>
      </c>
      <c r="U4" s="42">
        <v>44501</v>
      </c>
      <c r="V4" s="42">
        <v>44520</v>
      </c>
      <c r="W4" s="88"/>
    </row>
    <row r="5" spans="1:23" s="2" customFormat="1" ht="20.100000000000001" customHeight="1" x14ac:dyDescent="0.15">
      <c r="A5" s="93"/>
      <c r="B5" s="114" t="s">
        <v>1534</v>
      </c>
      <c r="C5" s="114"/>
      <c r="D5" s="4"/>
      <c r="E5" s="4"/>
      <c r="F5" s="4"/>
      <c r="G5" s="8"/>
      <c r="H5" s="16">
        <v>555</v>
      </c>
      <c r="I5" s="16" t="s">
        <v>1154</v>
      </c>
      <c r="J5" s="16" t="s">
        <v>1121</v>
      </c>
      <c r="K5" s="16" t="s">
        <v>1134</v>
      </c>
      <c r="L5" s="16" t="s">
        <v>226</v>
      </c>
      <c r="M5" s="16">
        <v>2022</v>
      </c>
      <c r="N5" s="16" t="s">
        <v>1187</v>
      </c>
      <c r="O5" s="16" t="s">
        <v>1529</v>
      </c>
      <c r="P5" s="16" t="s">
        <v>1538</v>
      </c>
      <c r="Q5" s="16">
        <v>4</v>
      </c>
      <c r="R5" s="16">
        <v>4</v>
      </c>
      <c r="S5" s="16" t="s">
        <v>1556</v>
      </c>
      <c r="T5" s="16" t="s">
        <v>1557</v>
      </c>
      <c r="U5" s="42">
        <v>44525</v>
      </c>
      <c r="V5" s="42">
        <v>44528</v>
      </c>
      <c r="W5" s="88"/>
    </row>
    <row r="6" spans="1:23" s="2" customFormat="1" ht="20.100000000000001" customHeight="1" thickBot="1" x14ac:dyDescent="0.2">
      <c r="A6" s="93"/>
      <c r="B6" s="114" t="s">
        <v>1535</v>
      </c>
      <c r="C6" s="114"/>
      <c r="D6" s="4"/>
      <c r="E6" s="4" t="s">
        <v>1173</v>
      </c>
      <c r="F6" s="4"/>
      <c r="G6" s="8"/>
      <c r="H6" s="16">
        <v>555</v>
      </c>
      <c r="I6" s="16" t="s">
        <v>1154</v>
      </c>
      <c r="J6" s="16" t="s">
        <v>1121</v>
      </c>
      <c r="K6" s="16" t="s">
        <v>1134</v>
      </c>
      <c r="L6" s="16" t="s">
        <v>226</v>
      </c>
      <c r="M6" s="16">
        <v>2022</v>
      </c>
      <c r="N6" s="16" t="s">
        <v>1187</v>
      </c>
      <c r="O6" s="16" t="s">
        <v>1529</v>
      </c>
      <c r="P6" s="16" t="s">
        <v>1538</v>
      </c>
      <c r="Q6" s="16">
        <v>4</v>
      </c>
      <c r="R6" s="16">
        <v>1</v>
      </c>
      <c r="S6" s="16" t="s">
        <v>1558</v>
      </c>
      <c r="T6" s="16" t="s">
        <v>1554</v>
      </c>
      <c r="U6" s="42">
        <v>44501</v>
      </c>
      <c r="V6" s="42">
        <v>44520</v>
      </c>
      <c r="W6" s="88"/>
    </row>
    <row r="7" spans="1:23" s="2" customFormat="1" ht="20.100000000000001" customHeight="1" thickBot="1" x14ac:dyDescent="0.2">
      <c r="A7" s="93"/>
      <c r="B7" s="111" t="s">
        <v>1536</v>
      </c>
      <c r="C7" s="111"/>
      <c r="D7" s="4"/>
      <c r="E7" s="10" t="s">
        <v>1510</v>
      </c>
      <c r="F7" s="4"/>
      <c r="G7" s="8"/>
      <c r="H7" s="16">
        <v>834</v>
      </c>
      <c r="I7" s="16" t="s">
        <v>1154</v>
      </c>
      <c r="J7" s="16" t="s">
        <v>1121</v>
      </c>
      <c r="K7" s="16" t="s">
        <v>1142</v>
      </c>
      <c r="L7" s="16" t="s">
        <v>226</v>
      </c>
      <c r="M7" s="16">
        <v>2022</v>
      </c>
      <c r="N7" s="16" t="s">
        <v>1187</v>
      </c>
      <c r="O7" s="16" t="s">
        <v>1529</v>
      </c>
      <c r="P7" s="16" t="s">
        <v>1538</v>
      </c>
      <c r="Q7" s="16">
        <v>6</v>
      </c>
      <c r="R7" s="16">
        <v>6</v>
      </c>
      <c r="S7" s="16" t="s">
        <v>1556</v>
      </c>
      <c r="T7" s="16" t="s">
        <v>1557</v>
      </c>
      <c r="U7" s="42">
        <v>44525</v>
      </c>
      <c r="V7" s="42">
        <v>44528</v>
      </c>
      <c r="W7" s="88"/>
    </row>
    <row r="8" spans="1:23" s="2" customFormat="1" ht="20.100000000000001" customHeight="1" x14ac:dyDescent="0.15">
      <c r="A8" s="93"/>
      <c r="B8" s="111" t="s">
        <v>1537</v>
      </c>
      <c r="C8" s="111"/>
      <c r="D8" s="24"/>
      <c r="E8" s="4"/>
      <c r="F8" s="4"/>
      <c r="G8" s="8"/>
      <c r="H8" s="16">
        <v>834</v>
      </c>
      <c r="I8" s="16" t="s">
        <v>1154</v>
      </c>
      <c r="J8" s="16" t="s">
        <v>1121</v>
      </c>
      <c r="K8" s="16" t="s">
        <v>1142</v>
      </c>
      <c r="L8" s="16" t="s">
        <v>226</v>
      </c>
      <c r="M8" s="16">
        <v>2022</v>
      </c>
      <c r="N8" s="16" t="s">
        <v>1187</v>
      </c>
      <c r="O8" s="16" t="s">
        <v>1529</v>
      </c>
      <c r="P8" s="16" t="s">
        <v>1538</v>
      </c>
      <c r="Q8" s="16">
        <v>6</v>
      </c>
      <c r="R8" s="16">
        <v>3</v>
      </c>
      <c r="S8" s="16" t="s">
        <v>1558</v>
      </c>
      <c r="T8" s="16" t="s">
        <v>1554</v>
      </c>
      <c r="U8" s="42">
        <v>44501</v>
      </c>
      <c r="V8" s="42">
        <v>44520</v>
      </c>
      <c r="W8" s="88"/>
    </row>
    <row r="9" spans="1:23" s="2" customFormat="1" ht="20.100000000000001" customHeight="1" x14ac:dyDescent="0.15">
      <c r="A9" s="93"/>
      <c r="B9" s="111" t="s">
        <v>1540</v>
      </c>
      <c r="C9" s="111"/>
      <c r="D9" s="24"/>
      <c r="E9" s="4"/>
      <c r="F9" s="4"/>
      <c r="G9" s="8"/>
      <c r="H9" s="16">
        <v>834</v>
      </c>
      <c r="I9" s="16" t="s">
        <v>1154</v>
      </c>
      <c r="J9" s="16" t="s">
        <v>1121</v>
      </c>
      <c r="K9" s="16" t="s">
        <v>1142</v>
      </c>
      <c r="L9" s="16" t="s">
        <v>226</v>
      </c>
      <c r="M9" s="16">
        <v>2022</v>
      </c>
      <c r="N9" s="16" t="s">
        <v>1187</v>
      </c>
      <c r="O9" s="16" t="s">
        <v>1529</v>
      </c>
      <c r="P9" s="16" t="s">
        <v>1555</v>
      </c>
      <c r="Q9" s="16">
        <v>7</v>
      </c>
      <c r="R9" s="16"/>
      <c r="S9" s="16"/>
      <c r="T9" s="16"/>
      <c r="U9" s="42"/>
      <c r="V9" s="42"/>
      <c r="W9" s="88"/>
    </row>
    <row r="10" spans="1:23" s="2" customFormat="1" ht="20.100000000000001" customHeight="1" x14ac:dyDescent="0.15">
      <c r="A10" s="93"/>
      <c r="B10" s="93"/>
      <c r="C10" s="93"/>
      <c r="D10" s="24"/>
      <c r="E10" s="4"/>
      <c r="F10" s="4"/>
      <c r="G10" s="8"/>
      <c r="H10" s="16">
        <v>262</v>
      </c>
      <c r="I10" s="16" t="s">
        <v>1154</v>
      </c>
      <c r="J10" s="16" t="s">
        <v>1121</v>
      </c>
      <c r="K10" s="16" t="s">
        <v>1128</v>
      </c>
      <c r="L10" s="16" t="s">
        <v>226</v>
      </c>
      <c r="M10" s="16">
        <v>2022</v>
      </c>
      <c r="N10" s="16" t="s">
        <v>1187</v>
      </c>
      <c r="O10" s="16" t="s">
        <v>1529</v>
      </c>
      <c r="P10" s="16" t="s">
        <v>1555</v>
      </c>
      <c r="Q10" s="16">
        <v>8</v>
      </c>
      <c r="R10" s="16"/>
      <c r="S10" s="16"/>
      <c r="T10" s="16"/>
      <c r="U10" s="42"/>
      <c r="V10" s="42"/>
      <c r="W10" s="88"/>
    </row>
    <row r="11" spans="1:23" s="2" customFormat="1" ht="20.100000000000001" customHeight="1" x14ac:dyDescent="0.15">
      <c r="A11" s="93"/>
      <c r="B11" s="93"/>
      <c r="C11" s="93"/>
      <c r="D11" s="24"/>
      <c r="E11" s="4"/>
      <c r="F11" s="4"/>
      <c r="G11" s="8"/>
      <c r="H11" s="16">
        <v>555</v>
      </c>
      <c r="I11" s="16" t="s">
        <v>1154</v>
      </c>
      <c r="J11" s="16" t="s">
        <v>1121</v>
      </c>
      <c r="K11" s="16" t="s">
        <v>1134</v>
      </c>
      <c r="L11" s="16" t="s">
        <v>226</v>
      </c>
      <c r="M11" s="16">
        <v>2022</v>
      </c>
      <c r="N11" s="16" t="s">
        <v>1187</v>
      </c>
      <c r="O11" s="16" t="s">
        <v>1529</v>
      </c>
      <c r="P11" s="16" t="s">
        <v>1555</v>
      </c>
      <c r="Q11" s="16">
        <v>9</v>
      </c>
      <c r="R11" s="16"/>
      <c r="S11" s="16"/>
      <c r="T11" s="16"/>
      <c r="U11" s="42"/>
      <c r="V11" s="42"/>
      <c r="W11" s="88"/>
    </row>
    <row r="12" spans="1:23" s="2" customFormat="1" ht="20.100000000000001" customHeight="1" x14ac:dyDescent="0.15">
      <c r="A12" s="93"/>
      <c r="B12" s="93"/>
      <c r="C12" s="93"/>
      <c r="D12" s="24"/>
      <c r="E12" s="4"/>
      <c r="F12" s="4"/>
      <c r="G12" s="8"/>
      <c r="H12" s="16">
        <v>253</v>
      </c>
      <c r="I12" s="16" t="s">
        <v>1154</v>
      </c>
      <c r="J12" s="16" t="s">
        <v>1121</v>
      </c>
      <c r="K12" s="16" t="s">
        <v>1128</v>
      </c>
      <c r="L12" s="16" t="s">
        <v>226</v>
      </c>
      <c r="M12" s="16">
        <v>2022</v>
      </c>
      <c r="N12" s="16" t="s">
        <v>1187</v>
      </c>
      <c r="O12" s="16" t="s">
        <v>1527</v>
      </c>
      <c r="P12" s="16" t="s">
        <v>1539</v>
      </c>
      <c r="Q12" s="16">
        <v>1</v>
      </c>
      <c r="R12" s="16"/>
      <c r="S12" s="16"/>
      <c r="T12" s="16"/>
      <c r="U12" s="42"/>
      <c r="V12" s="42"/>
      <c r="W12" s="88"/>
    </row>
    <row r="13" spans="1:23" s="2" customFormat="1" ht="20.100000000000001" customHeight="1" x14ac:dyDescent="0.15">
      <c r="A13" s="93"/>
      <c r="B13" s="93"/>
      <c r="C13" s="93"/>
      <c r="D13" s="24"/>
      <c r="E13" s="4"/>
      <c r="F13" s="4"/>
      <c r="G13" s="8"/>
      <c r="H13" s="16">
        <v>546</v>
      </c>
      <c r="I13" s="16" t="s">
        <v>1154</v>
      </c>
      <c r="J13" s="16" t="s">
        <v>1121</v>
      </c>
      <c r="K13" s="16" t="s">
        <v>1134</v>
      </c>
      <c r="L13" s="16" t="s">
        <v>226</v>
      </c>
      <c r="M13" s="16">
        <v>2022</v>
      </c>
      <c r="N13" s="16" t="s">
        <v>1187</v>
      </c>
      <c r="O13" s="16" t="s">
        <v>1527</v>
      </c>
      <c r="P13" s="16" t="s">
        <v>1539</v>
      </c>
      <c r="Q13" s="16">
        <v>3</v>
      </c>
      <c r="R13" s="16"/>
      <c r="S13" s="16"/>
      <c r="T13" s="16"/>
      <c r="U13" s="42"/>
      <c r="V13" s="42"/>
      <c r="W13" s="88"/>
    </row>
    <row r="14" spans="1:23" s="2" customFormat="1" ht="20.100000000000001" customHeight="1" x14ac:dyDescent="0.15">
      <c r="A14" s="93"/>
      <c r="B14" s="93"/>
      <c r="C14" s="93"/>
      <c r="D14" s="24"/>
      <c r="E14" s="4"/>
      <c r="F14" s="4"/>
      <c r="G14" s="8"/>
      <c r="H14" s="16">
        <v>824</v>
      </c>
      <c r="I14" s="16" t="s">
        <v>1154</v>
      </c>
      <c r="J14" s="16" t="s">
        <v>1121</v>
      </c>
      <c r="K14" s="16" t="s">
        <v>1142</v>
      </c>
      <c r="L14" s="16" t="s">
        <v>226</v>
      </c>
      <c r="M14" s="16">
        <v>2022</v>
      </c>
      <c r="N14" s="16" t="s">
        <v>1187</v>
      </c>
      <c r="O14" s="16" t="s">
        <v>1527</v>
      </c>
      <c r="P14" s="16" t="s">
        <v>1539</v>
      </c>
      <c r="Q14" s="16">
        <v>5</v>
      </c>
      <c r="R14" s="16"/>
      <c r="S14" s="16"/>
      <c r="T14" s="16"/>
      <c r="U14" s="42"/>
      <c r="V14" s="42"/>
      <c r="W14" s="88"/>
    </row>
    <row r="15" spans="1:23" s="2" customFormat="1" ht="20.100000000000001" customHeight="1" x14ac:dyDescent="0.15">
      <c r="A15" s="93"/>
      <c r="B15" s="106" t="s">
        <v>5</v>
      </c>
      <c r="C15" s="106"/>
      <c r="D15" s="24"/>
      <c r="E15" s="4"/>
      <c r="F15" s="4"/>
      <c r="G15" s="8"/>
      <c r="H15" s="16">
        <v>490</v>
      </c>
      <c r="I15" s="16" t="s">
        <v>1154</v>
      </c>
      <c r="J15" s="16" t="s">
        <v>1121</v>
      </c>
      <c r="K15" s="16" t="s">
        <v>1132</v>
      </c>
      <c r="L15" s="16" t="s">
        <v>226</v>
      </c>
      <c r="M15" s="16">
        <v>2022</v>
      </c>
      <c r="N15" s="16" t="s">
        <v>1187</v>
      </c>
      <c r="O15" s="16" t="s">
        <v>1529</v>
      </c>
      <c r="P15" s="16" t="s">
        <v>1539</v>
      </c>
      <c r="Q15" s="16">
        <v>16</v>
      </c>
      <c r="R15" s="16"/>
      <c r="S15" s="16"/>
      <c r="T15" s="16"/>
      <c r="U15" s="42"/>
      <c r="V15" s="42"/>
      <c r="W15" s="88"/>
    </row>
    <row r="16" spans="1:23" s="2" customFormat="1" ht="20.100000000000001" customHeight="1" x14ac:dyDescent="0.15">
      <c r="A16" s="93"/>
      <c r="B16" s="106" t="s">
        <v>6</v>
      </c>
      <c r="C16" s="106"/>
      <c r="D16" s="24"/>
      <c r="E16" s="4"/>
      <c r="F16" s="4"/>
      <c r="G16" s="8"/>
      <c r="H16" s="16">
        <v>683</v>
      </c>
      <c r="I16" s="16" t="s">
        <v>1154</v>
      </c>
      <c r="J16" s="16" t="s">
        <v>1121</v>
      </c>
      <c r="K16" s="16" t="s">
        <v>1138</v>
      </c>
      <c r="L16" s="16" t="s">
        <v>226</v>
      </c>
      <c r="M16" s="16">
        <v>2022</v>
      </c>
      <c r="N16" s="16" t="s">
        <v>1187</v>
      </c>
      <c r="O16" s="16" t="s">
        <v>1529</v>
      </c>
      <c r="P16" s="16" t="s">
        <v>1539</v>
      </c>
      <c r="Q16" s="16">
        <v>17</v>
      </c>
      <c r="R16" s="16"/>
      <c r="S16" s="16"/>
      <c r="T16" s="16"/>
      <c r="U16" s="42"/>
      <c r="V16" s="42"/>
      <c r="W16" s="88"/>
    </row>
    <row r="17" spans="1:23" s="2" customFormat="1" ht="20.100000000000001" customHeight="1" x14ac:dyDescent="0.15">
      <c r="A17" s="93"/>
      <c r="B17" s="93"/>
      <c r="C17" s="93"/>
      <c r="D17" s="24"/>
      <c r="E17" s="4"/>
      <c r="F17" s="4"/>
      <c r="G17" s="8"/>
      <c r="H17" s="16">
        <v>392</v>
      </c>
      <c r="I17" s="16" t="s">
        <v>1154</v>
      </c>
      <c r="J17" s="16" t="s">
        <v>1121</v>
      </c>
      <c r="K17" s="16" t="s">
        <v>1130</v>
      </c>
      <c r="L17" s="16" t="s">
        <v>226</v>
      </c>
      <c r="M17" s="16">
        <v>2022</v>
      </c>
      <c r="N17" s="16" t="s">
        <v>1187</v>
      </c>
      <c r="O17" s="16" t="s">
        <v>1529</v>
      </c>
      <c r="P17" s="16" t="s">
        <v>1539</v>
      </c>
      <c r="Q17" s="16">
        <v>18</v>
      </c>
      <c r="R17" s="16"/>
      <c r="S17" s="16"/>
      <c r="T17" s="16"/>
      <c r="U17" s="42"/>
      <c r="V17" s="42"/>
      <c r="W17" s="88"/>
    </row>
    <row r="18" spans="1:23" s="2" customFormat="1" ht="20.100000000000001" customHeight="1" x14ac:dyDescent="0.15">
      <c r="A18" s="93"/>
      <c r="B18" s="107" t="s">
        <v>1120</v>
      </c>
      <c r="C18" s="107"/>
      <c r="D18" s="2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42"/>
      <c r="V18" s="42"/>
      <c r="W18" s="88"/>
    </row>
    <row r="19" spans="1:23" s="2" customFormat="1" ht="20.100000000000001" customHeight="1" x14ac:dyDescent="0.15">
      <c r="A19" s="93"/>
      <c r="B19" s="93"/>
      <c r="C19" s="93"/>
      <c r="D19" s="2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42"/>
      <c r="V19" s="42"/>
      <c r="W19" s="88"/>
    </row>
    <row r="20" spans="1:23" s="2" customFormat="1" ht="20.100000000000001" customHeight="1" x14ac:dyDescent="0.15">
      <c r="A20" s="93"/>
      <c r="B20" s="93"/>
      <c r="C20" s="93"/>
      <c r="D20" s="2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42"/>
      <c r="V20" s="42"/>
      <c r="W20" s="88"/>
    </row>
    <row r="21" spans="1:23" s="2" customFormat="1" ht="20.100000000000001" customHeight="1" x14ac:dyDescent="0.15">
      <c r="A21" s="93"/>
      <c r="B21" s="93"/>
      <c r="C21" s="93"/>
      <c r="D21" s="2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42"/>
      <c r="V21" s="42"/>
      <c r="W21" s="88"/>
    </row>
    <row r="22" spans="1:23" s="2" customFormat="1" ht="20.100000000000001" customHeight="1" x14ac:dyDescent="0.15">
      <c r="A22" s="93"/>
      <c r="B22" s="93"/>
      <c r="C22" s="93"/>
      <c r="D22" s="2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42"/>
      <c r="V22" s="42"/>
      <c r="W22" s="88"/>
    </row>
    <row r="23" spans="1:23" s="2" customFormat="1" ht="20.100000000000001" customHeight="1" x14ac:dyDescent="0.15">
      <c r="A23" s="93"/>
      <c r="B23" s="93"/>
      <c r="C23" s="93"/>
      <c r="D23" s="2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42"/>
      <c r="V23" s="42"/>
      <c r="W23" s="88"/>
    </row>
    <row r="24" spans="1:23" s="2" customFormat="1" ht="20.100000000000001" customHeight="1" x14ac:dyDescent="0.15">
      <c r="A24" s="93"/>
      <c r="B24" s="93"/>
      <c r="C24" s="93"/>
      <c r="D24" s="2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42"/>
      <c r="V24" s="42"/>
      <c r="W24" s="88"/>
    </row>
    <row r="25" spans="1:23" s="2" customFormat="1" ht="20.100000000000001" customHeight="1" x14ac:dyDescent="0.15">
      <c r="A25" s="93"/>
      <c r="B25" s="93"/>
      <c r="C25" s="93"/>
      <c r="D25" s="2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42"/>
      <c r="V25" s="42"/>
      <c r="W25" s="88"/>
    </row>
    <row r="26" spans="1:23" s="2" customFormat="1" ht="20.100000000000001" customHeight="1" x14ac:dyDescent="0.15">
      <c r="A26" s="93"/>
      <c r="B26" s="93"/>
      <c r="C26" s="93"/>
      <c r="D26" s="2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42"/>
      <c r="V26" s="42"/>
      <c r="W26" s="88"/>
    </row>
    <row r="27" spans="1:23" s="2" customFormat="1" ht="20.100000000000001" customHeight="1" x14ac:dyDescent="0.15">
      <c r="A27" s="93"/>
      <c r="B27" s="93"/>
      <c r="C27" s="93"/>
      <c r="D27" s="2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42"/>
      <c r="V27" s="42"/>
      <c r="W27" s="88"/>
    </row>
    <row r="28" spans="1:23" s="2" customFormat="1" ht="20.100000000000001" customHeight="1" x14ac:dyDescent="0.15">
      <c r="A28" s="93"/>
      <c r="B28" s="93"/>
      <c r="C28" s="93"/>
      <c r="D28" s="24"/>
      <c r="E28" s="4"/>
      <c r="F28" s="4"/>
      <c r="G28" s="8"/>
      <c r="H28" s="14"/>
      <c r="I28" s="70"/>
      <c r="J28" s="70"/>
      <c r="K28" s="70"/>
      <c r="L28" s="70"/>
      <c r="M28" s="70"/>
      <c r="N28" s="70"/>
      <c r="O28" s="70"/>
      <c r="P28" s="70"/>
      <c r="Q28" s="14"/>
      <c r="R28" s="14"/>
      <c r="S28" s="70"/>
      <c r="T28" s="70"/>
      <c r="U28" s="124" t="s">
        <v>1169</v>
      </c>
      <c r="V28" s="124"/>
      <c r="W28" s="71"/>
    </row>
  </sheetData>
  <mergeCells count="13">
    <mergeCell ref="B7:C7"/>
    <mergeCell ref="B8:C8"/>
    <mergeCell ref="B15:C15"/>
    <mergeCell ref="B16:C16"/>
    <mergeCell ref="B18:C18"/>
    <mergeCell ref="U28:V28"/>
    <mergeCell ref="B9:C9"/>
    <mergeCell ref="A1:C1"/>
    <mergeCell ref="A2:C2"/>
    <mergeCell ref="B3:C3"/>
    <mergeCell ref="B4:C4"/>
    <mergeCell ref="B5:C5"/>
    <mergeCell ref="B6:C6"/>
  </mergeCells>
  <phoneticPr fontId="1" type="noConversion"/>
  <conditionalFormatting sqref="N3:N27">
    <cfRule type="cellIs" dxfId="46" priority="71" operator="equal">
      <formula>"DELETED"</formula>
    </cfRule>
    <cfRule type="cellIs" dxfId="45" priority="72" operator="equal">
      <formula>"삭제"</formula>
    </cfRule>
    <cfRule type="cellIs" dxfId="44" priority="73" operator="equal">
      <formula>"수정"</formula>
    </cfRule>
    <cfRule type="cellIs" dxfId="43" priority="74" operator="equal">
      <formula>"UPDATED"</formula>
    </cfRule>
  </conditionalFormatting>
  <conditionalFormatting sqref="J3:M27">
    <cfRule type="cellIs" dxfId="42" priority="19" operator="equal">
      <formula>"UPDATED"</formula>
    </cfRule>
    <cfRule type="cellIs" dxfId="41" priority="20" operator="equal">
      <formula>"선택"</formula>
    </cfRule>
    <cfRule type="cellIs" dxfId="40" priority="67" operator="equal">
      <formula>"DELETED"</formula>
    </cfRule>
    <cfRule type="cellIs" dxfId="39" priority="68" operator="equal">
      <formula>"삭제"</formula>
    </cfRule>
    <cfRule type="cellIs" dxfId="38" priority="69" operator="equal">
      <formula>"수정"</formula>
    </cfRule>
    <cfRule type="cellIs" dxfId="37" priority="70" operator="equal">
      <formula>"UPDATED"</formula>
    </cfRule>
  </conditionalFormatting>
  <conditionalFormatting sqref="P3:P27">
    <cfRule type="cellIs" dxfId="36" priority="63" operator="equal">
      <formula>"DELETED"</formula>
    </cfRule>
    <cfRule type="cellIs" dxfId="35" priority="64" operator="equal">
      <formula>"삭제"</formula>
    </cfRule>
    <cfRule type="cellIs" dxfId="34" priority="65" operator="equal">
      <formula>"수정"</formula>
    </cfRule>
    <cfRule type="cellIs" dxfId="33" priority="66" operator="equal">
      <formula>"UPDATED"</formula>
    </cfRule>
  </conditionalFormatting>
  <conditionalFormatting sqref="O3:O27">
    <cfRule type="cellIs" dxfId="32" priority="59" operator="equal">
      <formula>"DELETED"</formula>
    </cfRule>
    <cfRule type="cellIs" dxfId="31" priority="60" operator="equal">
      <formula>"삭제"</formula>
    </cfRule>
    <cfRule type="cellIs" dxfId="30" priority="61" operator="equal">
      <formula>"수정"</formula>
    </cfRule>
    <cfRule type="cellIs" dxfId="29" priority="62" operator="equal">
      <formula>"UPDATED"</formula>
    </cfRule>
  </conditionalFormatting>
  <conditionalFormatting sqref="S3:S27">
    <cfRule type="cellIs" dxfId="28" priority="55" operator="equal">
      <formula>"DELETED"</formula>
    </cfRule>
    <cfRule type="cellIs" dxfId="27" priority="56" operator="equal">
      <formula>"삭제"</formula>
    </cfRule>
    <cfRule type="cellIs" dxfId="26" priority="57" operator="equal">
      <formula>"수정"</formula>
    </cfRule>
    <cfRule type="cellIs" dxfId="25" priority="58" operator="equal">
      <formula>"UPDATED"</formula>
    </cfRule>
  </conditionalFormatting>
  <conditionalFormatting sqref="U3:U27">
    <cfRule type="cellIs" dxfId="24" priority="47" operator="equal">
      <formula>"DELETED"</formula>
    </cfRule>
    <cfRule type="cellIs" dxfId="23" priority="48" operator="equal">
      <formula>"삭제"</formula>
    </cfRule>
    <cfRule type="cellIs" dxfId="22" priority="49" operator="equal">
      <formula>"수정"</formula>
    </cfRule>
    <cfRule type="cellIs" dxfId="21" priority="50" operator="equal">
      <formula>"UPDATED"</formula>
    </cfRule>
  </conditionalFormatting>
  <conditionalFormatting sqref="T3:T27">
    <cfRule type="cellIs" dxfId="20" priority="43" operator="equal">
      <formula>"DELETED"</formula>
    </cfRule>
    <cfRule type="cellIs" dxfId="19" priority="44" operator="equal">
      <formula>"삭제"</formula>
    </cfRule>
    <cfRule type="cellIs" dxfId="18" priority="45" operator="equal">
      <formula>"수정"</formula>
    </cfRule>
    <cfRule type="cellIs" dxfId="17" priority="46" operator="equal">
      <formula>"UPDATED"</formula>
    </cfRule>
  </conditionalFormatting>
  <conditionalFormatting sqref="V3:V27">
    <cfRule type="cellIs" dxfId="16" priority="39" operator="equal">
      <formula>"DELETED"</formula>
    </cfRule>
    <cfRule type="cellIs" dxfId="15" priority="40" operator="equal">
      <formula>"삭제"</formula>
    </cfRule>
    <cfRule type="cellIs" dxfId="14" priority="41" operator="equal">
      <formula>"수정"</formula>
    </cfRule>
    <cfRule type="cellIs" dxfId="13" priority="42" operator="equal">
      <formula>"UPDATED"</formula>
    </cfRule>
  </conditionalFormatting>
  <conditionalFormatting sqref="W3:W27">
    <cfRule type="cellIs" dxfId="12" priority="33" operator="equal">
      <formula>"DELETED"</formula>
    </cfRule>
    <cfRule type="cellIs" dxfId="11" priority="34" operator="equal">
      <formula>"삭제"</formula>
    </cfRule>
    <cfRule type="cellIs" dxfId="10" priority="35" operator="equal">
      <formula>"수정"</formula>
    </cfRule>
    <cfRule type="cellIs" dxfId="9" priority="36" operator="equal">
      <formula>"UPDATED"</formula>
    </cfRule>
  </conditionalFormatting>
  <conditionalFormatting sqref="E7">
    <cfRule type="containsBlanks" dxfId="8" priority="9">
      <formula>LEN(TRIM(E7))=0</formula>
    </cfRule>
  </conditionalFormatting>
  <conditionalFormatting sqref="E7">
    <cfRule type="notContainsBlanks" dxfId="7" priority="8">
      <formula>LEN(TRIM(E7))&gt;0</formula>
    </cfRule>
  </conditionalFormatting>
  <conditionalFormatting sqref="I3:I27">
    <cfRule type="cellIs" dxfId="0" priority="2" operator="equal">
      <formula>"UPDATED"</formula>
    </cfRule>
    <cfRule type="cellIs" dxfId="1" priority="3" operator="equal">
      <formula>"선택"</formula>
    </cfRule>
    <cfRule type="cellIs" dxfId="2" priority="4" operator="equal">
      <formula>"DELETED"</formula>
    </cfRule>
    <cfRule type="cellIs" dxfId="3" priority="5" operator="equal">
      <formula>"삭제"</formula>
    </cfRule>
    <cfRule type="cellIs" dxfId="4" priority="6" operator="equal">
      <formula>"수정"</formula>
    </cfRule>
    <cfRule type="cellIs" dxfId="5" priority="7" operator="equal">
      <formula>"UPDATED"</formula>
    </cfRule>
    <cfRule type="cellIs" dxfId="6" priority="1" operator="equal">
      <formula>"DELETED"</formula>
    </cfRule>
  </conditionalFormatting>
  <dataValidations count="3">
    <dataValidation type="list" allowBlank="1" showInputMessage="1" showErrorMessage="1" sqref="I3:I27" xr:uid="{E79B614B-8D75-463B-A535-A9CFC635A2CF}">
      <formula1>"선택,수정,삭제,Activate,UPDATED,DELETED"</formula1>
    </dataValidation>
    <dataValidation type="list" allowBlank="1" showInputMessage="1" showErrorMessage="1" sqref="A1:C1" xr:uid="{23D58E88-34C3-4E38-BD73-F2B2AE63F76A}">
      <formula1>"Lee International,Daehan Global Korea"</formula1>
    </dataValidation>
    <dataValidation type="list" allowBlank="1" showInputMessage="1" showErrorMessage="1" sqref="T3:T27" xr:uid="{1870FDD8-F210-4412-B2BE-8753A630AEB5}">
      <formula1>"Air,Sea,Courier"</formula1>
    </dataValidation>
  </dataValidations>
  <hyperlinks>
    <hyperlink ref="B18:C18" r:id="rId1" display="대시보드" xr:uid="{C0B88F0E-BBBB-4A40-A6D5-1CEE4AB2748C}"/>
    <hyperlink ref="B3:C3" location="인덴트관리!A1" display="1. 인덴트 관리" xr:uid="{ED2169BD-33A7-4242-ADE5-951C459AE265}"/>
    <hyperlink ref="B4:C4" location="PO관리!A1" display="2. PO 관리" xr:uid="{2B565ECE-CE77-4E7D-89ED-7BEC7E153C61}"/>
    <hyperlink ref="B5:C5" location="지출계획!A1" display="3. 지출계획" xr:uid="{9887D669-46CF-4A22-9930-E01038D87DA7}"/>
    <hyperlink ref="B6:C6" location="매출채권!A1" display="4. 매출채권" xr:uid="{9B619619-E858-434A-92F8-5AFF1FF1E4C1}"/>
    <hyperlink ref="B7:C7" location="체크리스트!A1" display="5. 체크리스트" xr:uid="{A1DA73E6-72D7-4E20-B9EA-0F38B21502CC}"/>
    <hyperlink ref="B8:C8" location="발주서!A1" display="6. 발주서" xr:uid="{884D8D97-EE5A-4FBA-95CE-EA0BBA108B95}"/>
    <hyperlink ref="B9:C9" location="Tracking!A1" display="Tracking" xr:uid="{D88747DD-DF14-41CB-9B1A-078551854E6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Data가 존재하지 않습니다." xr:uid="{E5D2CD43-8CA6-40A9-9CA9-331DAD03BA33}">
          <x14:formula1>
            <xm:f>validation!$R$2:$R$14</xm:f>
          </x14:formula1>
          <xm:sqref>E7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29"/>
  <sheetViews>
    <sheetView topLeftCell="F1" workbookViewId="0">
      <pane ySplit="1" topLeftCell="A2" activePane="bottomLeft" state="frozen"/>
      <selection pane="bottomLeft" activeCell="R2" sqref="R2"/>
    </sheetView>
  </sheetViews>
  <sheetFormatPr defaultColWidth="8.85546875" defaultRowHeight="12" x14ac:dyDescent="0.15"/>
  <cols>
    <col min="1" max="26" width="20.7109375" style="40" customWidth="1"/>
    <col min="27" max="16384" width="8.85546875" style="25"/>
  </cols>
  <sheetData>
    <row r="1" spans="1:18" x14ac:dyDescent="0.15">
      <c r="A1" s="40" t="s">
        <v>26</v>
      </c>
      <c r="B1" s="40" t="s">
        <v>27</v>
      </c>
      <c r="C1" s="40" t="s">
        <v>28</v>
      </c>
      <c r="D1" s="40" t="s">
        <v>29</v>
      </c>
      <c r="E1" s="40" t="s">
        <v>30</v>
      </c>
      <c r="F1" s="40" t="s">
        <v>31</v>
      </c>
      <c r="G1" s="40" t="s">
        <v>33</v>
      </c>
      <c r="H1" s="40" t="s">
        <v>32</v>
      </c>
      <c r="I1" s="40" t="s">
        <v>34</v>
      </c>
      <c r="J1" s="40" t="s">
        <v>271</v>
      </c>
      <c r="K1" s="40" t="s">
        <v>272</v>
      </c>
      <c r="L1" s="40" t="s">
        <v>273</v>
      </c>
      <c r="M1" s="40" t="s">
        <v>274</v>
      </c>
      <c r="N1" s="40" t="s">
        <v>1190</v>
      </c>
      <c r="O1" s="40" t="s">
        <v>1191</v>
      </c>
      <c r="P1" s="40" t="s">
        <v>1220</v>
      </c>
      <c r="Q1" s="40" t="s">
        <v>1455</v>
      </c>
      <c r="R1" s="40" t="s">
        <v>1519</v>
      </c>
    </row>
    <row r="2" spans="1:18" x14ac:dyDescent="0.15">
      <c r="A2" s="40" t="s">
        <v>35</v>
      </c>
      <c r="B2" s="40" t="s">
        <v>96</v>
      </c>
      <c r="C2" s="40">
        <v>2018</v>
      </c>
      <c r="D2" s="40" t="s">
        <v>104</v>
      </c>
      <c r="E2" s="40" t="s">
        <v>116</v>
      </c>
      <c r="F2" s="40" t="s">
        <v>120</v>
      </c>
      <c r="G2" s="40" t="s">
        <v>170</v>
      </c>
      <c r="I2" s="40" t="s">
        <v>175</v>
      </c>
      <c r="N2" s="40" t="s">
        <v>1192</v>
      </c>
      <c r="O2" s="40" t="s">
        <v>1221</v>
      </c>
      <c r="P2" s="40" t="s">
        <v>1456</v>
      </c>
      <c r="Q2" s="40" t="s">
        <v>1476</v>
      </c>
      <c r="R2" s="40" t="s">
        <v>1506</v>
      </c>
    </row>
    <row r="3" spans="1:18" x14ac:dyDescent="0.15">
      <c r="A3" s="40" t="s">
        <v>36</v>
      </c>
      <c r="B3" s="40" t="s">
        <v>97</v>
      </c>
      <c r="C3" s="40">
        <v>2019</v>
      </c>
      <c r="D3" s="40" t="s">
        <v>105</v>
      </c>
      <c r="E3" s="40" t="s">
        <v>117</v>
      </c>
      <c r="F3" s="40" t="s">
        <v>121</v>
      </c>
      <c r="G3" s="40" t="s">
        <v>171</v>
      </c>
      <c r="H3" s="40" t="s">
        <v>92</v>
      </c>
      <c r="I3" s="40" t="s">
        <v>176</v>
      </c>
      <c r="J3" s="40" t="s">
        <v>276</v>
      </c>
      <c r="K3" s="40" t="s">
        <v>306</v>
      </c>
      <c r="L3" s="40" t="s">
        <v>330</v>
      </c>
      <c r="M3" s="40" t="s">
        <v>580</v>
      </c>
      <c r="N3" s="40" t="s">
        <v>1193</v>
      </c>
      <c r="O3" s="40" t="s">
        <v>1222</v>
      </c>
      <c r="P3" s="40" t="s">
        <v>1457</v>
      </c>
      <c r="Q3" s="40" t="s">
        <v>1477</v>
      </c>
      <c r="R3" s="40" t="s">
        <v>1507</v>
      </c>
    </row>
    <row r="4" spans="1:18" x14ac:dyDescent="0.15">
      <c r="A4" s="40" t="s">
        <v>37</v>
      </c>
      <c r="B4" s="40" t="s">
        <v>98</v>
      </c>
      <c r="C4" s="40">
        <v>2020</v>
      </c>
      <c r="D4" s="40" t="s">
        <v>106</v>
      </c>
      <c r="E4" s="40" t="s">
        <v>118</v>
      </c>
      <c r="F4" s="40" t="s">
        <v>122</v>
      </c>
      <c r="G4" s="40" t="s">
        <v>172</v>
      </c>
      <c r="H4" s="40" t="s">
        <v>93</v>
      </c>
      <c r="I4" s="40" t="s">
        <v>177</v>
      </c>
      <c r="J4" s="40" t="s">
        <v>277</v>
      </c>
      <c r="K4" s="40" t="s">
        <v>307</v>
      </c>
      <c r="L4" s="40" t="s">
        <v>331</v>
      </c>
      <c r="M4" s="40" t="s">
        <v>581</v>
      </c>
      <c r="N4" s="40" t="s">
        <v>1194</v>
      </c>
      <c r="O4" s="40" t="s">
        <v>1223</v>
      </c>
      <c r="P4" s="40" t="s">
        <v>1458</v>
      </c>
      <c r="Q4" s="40" t="s">
        <v>1478</v>
      </c>
      <c r="R4" s="40" t="s">
        <v>1185</v>
      </c>
    </row>
    <row r="5" spans="1:18" x14ac:dyDescent="0.15">
      <c r="A5" s="40" t="s">
        <v>38</v>
      </c>
      <c r="B5" s="40" t="s">
        <v>99</v>
      </c>
      <c r="C5" s="40">
        <v>2021</v>
      </c>
      <c r="D5" s="40" t="s">
        <v>107</v>
      </c>
      <c r="E5" s="40" t="s">
        <v>119</v>
      </c>
      <c r="F5" s="40" t="s">
        <v>123</v>
      </c>
      <c r="G5" s="40" t="s">
        <v>173</v>
      </c>
      <c r="H5" s="40" t="s">
        <v>94</v>
      </c>
      <c r="I5" s="40" t="s">
        <v>178</v>
      </c>
      <c r="J5" s="40" t="s">
        <v>278</v>
      </c>
      <c r="K5" s="40" t="s">
        <v>308</v>
      </c>
      <c r="L5" s="40" t="s">
        <v>332</v>
      </c>
      <c r="M5" s="40" t="s">
        <v>582</v>
      </c>
      <c r="N5" s="40" t="s">
        <v>1195</v>
      </c>
      <c r="O5" s="40" t="s">
        <v>1224</v>
      </c>
      <c r="P5" s="40" t="s">
        <v>1459</v>
      </c>
      <c r="Q5" s="40" t="s">
        <v>1479</v>
      </c>
      <c r="R5" s="40" t="s">
        <v>1188</v>
      </c>
    </row>
    <row r="6" spans="1:18" x14ac:dyDescent="0.15">
      <c r="A6" s="40" t="s">
        <v>39</v>
      </c>
      <c r="B6" s="40" t="s">
        <v>100</v>
      </c>
      <c r="C6" s="40">
        <v>2022</v>
      </c>
      <c r="D6" s="40" t="s">
        <v>108</v>
      </c>
      <c r="F6" s="40" t="s">
        <v>124</v>
      </c>
      <c r="G6" s="40" t="s">
        <v>174</v>
      </c>
      <c r="H6" s="40" t="s">
        <v>95</v>
      </c>
      <c r="I6" s="40" t="s">
        <v>179</v>
      </c>
      <c r="J6" s="40" t="s">
        <v>279</v>
      </c>
      <c r="K6" s="40" t="s">
        <v>309</v>
      </c>
      <c r="L6" s="40" t="s">
        <v>333</v>
      </c>
      <c r="M6" s="40" t="s">
        <v>583</v>
      </c>
      <c r="N6" s="40" t="s">
        <v>1196</v>
      </c>
      <c r="O6" s="40" t="s">
        <v>1225</v>
      </c>
      <c r="P6" s="40" t="s">
        <v>1460</v>
      </c>
      <c r="Q6" s="40" t="s">
        <v>1480</v>
      </c>
      <c r="R6" s="40" t="s">
        <v>1530</v>
      </c>
    </row>
    <row r="7" spans="1:18" x14ac:dyDescent="0.15">
      <c r="A7" s="40" t="s">
        <v>40</v>
      </c>
      <c r="B7" s="40" t="s">
        <v>101</v>
      </c>
      <c r="D7" s="40" t="s">
        <v>109</v>
      </c>
      <c r="F7" s="40" t="s">
        <v>125</v>
      </c>
      <c r="I7" s="40" t="s">
        <v>180</v>
      </c>
      <c r="J7" s="40" t="s">
        <v>280</v>
      </c>
      <c r="K7" s="40" t="s">
        <v>310</v>
      </c>
      <c r="L7" s="40" t="s">
        <v>334</v>
      </c>
      <c r="M7" s="40" t="s">
        <v>584</v>
      </c>
      <c r="N7" s="40" t="s">
        <v>1197</v>
      </c>
      <c r="O7" s="40" t="s">
        <v>1226</v>
      </c>
      <c r="P7" s="40" t="s">
        <v>1461</v>
      </c>
      <c r="Q7" s="40" t="s">
        <v>1481</v>
      </c>
      <c r="R7" s="40" t="s">
        <v>1508</v>
      </c>
    </row>
    <row r="8" spans="1:18" x14ac:dyDescent="0.15">
      <c r="A8" s="40" t="s">
        <v>41</v>
      </c>
      <c r="B8" s="40" t="s">
        <v>102</v>
      </c>
      <c r="D8" s="40" t="s">
        <v>110</v>
      </c>
      <c r="F8" s="40" t="s">
        <v>126</v>
      </c>
      <c r="I8" s="40" t="s">
        <v>181</v>
      </c>
      <c r="J8" s="40" t="s">
        <v>281</v>
      </c>
      <c r="K8" s="40" t="s">
        <v>311</v>
      </c>
      <c r="L8" s="40" t="s">
        <v>335</v>
      </c>
      <c r="M8" s="40" t="s">
        <v>585</v>
      </c>
      <c r="N8" s="40" t="s">
        <v>1198</v>
      </c>
      <c r="O8" s="40" t="s">
        <v>1227</v>
      </c>
      <c r="P8" s="40" t="s">
        <v>1462</v>
      </c>
      <c r="Q8" s="40" t="s">
        <v>1482</v>
      </c>
      <c r="R8" s="40" t="s">
        <v>1509</v>
      </c>
    </row>
    <row r="9" spans="1:18" x14ac:dyDescent="0.15">
      <c r="A9" s="40" t="s">
        <v>42</v>
      </c>
      <c r="B9" s="40" t="s">
        <v>103</v>
      </c>
      <c r="D9" s="40" t="s">
        <v>111</v>
      </c>
      <c r="F9" s="40" t="s">
        <v>127</v>
      </c>
      <c r="I9" s="40" t="s">
        <v>182</v>
      </c>
      <c r="J9" s="40" t="s">
        <v>282</v>
      </c>
      <c r="K9" s="40" t="s">
        <v>312</v>
      </c>
      <c r="L9" s="40" t="s">
        <v>336</v>
      </c>
      <c r="M9" s="40" t="s">
        <v>586</v>
      </c>
      <c r="N9" s="40" t="s">
        <v>1199</v>
      </c>
      <c r="O9" s="40" t="s">
        <v>1228</v>
      </c>
      <c r="P9" s="40" t="s">
        <v>1463</v>
      </c>
      <c r="Q9" s="40" t="s">
        <v>1483</v>
      </c>
      <c r="R9" s="40" t="s">
        <v>1510</v>
      </c>
    </row>
    <row r="10" spans="1:18" x14ac:dyDescent="0.15">
      <c r="A10" s="40" t="s">
        <v>43</v>
      </c>
      <c r="D10" s="40" t="s">
        <v>112</v>
      </c>
      <c r="F10" s="40" t="s">
        <v>128</v>
      </c>
      <c r="I10" s="40" t="s">
        <v>183</v>
      </c>
      <c r="J10" s="40" t="s">
        <v>283</v>
      </c>
      <c r="K10" s="40" t="s">
        <v>313</v>
      </c>
      <c r="L10" s="40" t="s">
        <v>337</v>
      </c>
      <c r="M10" s="40" t="s">
        <v>587</v>
      </c>
      <c r="N10" s="40" t="s">
        <v>1200</v>
      </c>
      <c r="O10" s="40" t="s">
        <v>1229</v>
      </c>
      <c r="P10" s="40" t="s">
        <v>1464</v>
      </c>
      <c r="Q10" s="40" t="s">
        <v>1484</v>
      </c>
      <c r="R10" s="40" t="s">
        <v>1189</v>
      </c>
    </row>
    <row r="11" spans="1:18" x14ac:dyDescent="0.15">
      <c r="A11" s="40" t="s">
        <v>44</v>
      </c>
      <c r="D11" s="40" t="s">
        <v>113</v>
      </c>
      <c r="F11" s="40" t="s">
        <v>129</v>
      </c>
      <c r="I11" s="40" t="s">
        <v>184</v>
      </c>
      <c r="J11" s="40" t="s">
        <v>284</v>
      </c>
      <c r="K11" s="40" t="s">
        <v>314</v>
      </c>
      <c r="L11" s="40" t="s">
        <v>338</v>
      </c>
      <c r="M11" s="40" t="s">
        <v>588</v>
      </c>
      <c r="N11" s="40" t="s">
        <v>1201</v>
      </c>
      <c r="O11" s="40" t="s">
        <v>1230</v>
      </c>
      <c r="P11" s="40" t="s">
        <v>1465</v>
      </c>
      <c r="Q11" s="40" t="s">
        <v>1485</v>
      </c>
      <c r="R11" s="40" t="s">
        <v>1513</v>
      </c>
    </row>
    <row r="12" spans="1:18" x14ac:dyDescent="0.15">
      <c r="A12" s="40" t="s">
        <v>45</v>
      </c>
      <c r="D12" s="40" t="s">
        <v>114</v>
      </c>
      <c r="F12" s="40" t="s">
        <v>130</v>
      </c>
      <c r="I12" s="40" t="s">
        <v>185</v>
      </c>
      <c r="J12" s="40" t="s">
        <v>285</v>
      </c>
      <c r="K12" s="40" t="s">
        <v>315</v>
      </c>
      <c r="L12" s="40" t="s">
        <v>339</v>
      </c>
      <c r="M12" s="40" t="s">
        <v>589</v>
      </c>
      <c r="N12" s="40" t="s">
        <v>1202</v>
      </c>
      <c r="O12" s="40" t="s">
        <v>1231</v>
      </c>
      <c r="P12" s="40" t="s">
        <v>1466</v>
      </c>
      <c r="Q12" s="40" t="s">
        <v>1486</v>
      </c>
      <c r="R12" s="40" t="s">
        <v>1511</v>
      </c>
    </row>
    <row r="13" spans="1:18" x14ac:dyDescent="0.15">
      <c r="A13" s="40" t="s">
        <v>46</v>
      </c>
      <c r="D13" s="40" t="s">
        <v>115</v>
      </c>
      <c r="F13" s="40" t="s">
        <v>131</v>
      </c>
      <c r="I13" s="40" t="s">
        <v>186</v>
      </c>
      <c r="J13" s="40" t="s">
        <v>286</v>
      </c>
      <c r="K13" s="40" t="s">
        <v>289</v>
      </c>
      <c r="L13" s="40" t="s">
        <v>340</v>
      </c>
      <c r="M13" s="40" t="s">
        <v>590</v>
      </c>
      <c r="N13" s="40" t="s">
        <v>1203</v>
      </c>
      <c r="O13" s="40" t="s">
        <v>1232</v>
      </c>
      <c r="P13" s="40" t="s">
        <v>1467</v>
      </c>
      <c r="Q13" s="40" t="s">
        <v>1487</v>
      </c>
      <c r="R13" s="40" t="s">
        <v>1155</v>
      </c>
    </row>
    <row r="14" spans="1:18" x14ac:dyDescent="0.15">
      <c r="A14" s="40" t="s">
        <v>47</v>
      </c>
      <c r="F14" s="40" t="s">
        <v>132</v>
      </c>
      <c r="I14" s="40" t="s">
        <v>187</v>
      </c>
      <c r="J14" s="40" t="s">
        <v>287</v>
      </c>
      <c r="K14" s="40" t="s">
        <v>316</v>
      </c>
      <c r="L14" s="40" t="s">
        <v>341</v>
      </c>
      <c r="M14" s="40" t="s">
        <v>591</v>
      </c>
      <c r="N14" s="40" t="s">
        <v>1204</v>
      </c>
      <c r="O14" s="40" t="s">
        <v>1233</v>
      </c>
      <c r="P14" s="40" t="s">
        <v>1468</v>
      </c>
      <c r="Q14" s="40" t="s">
        <v>1488</v>
      </c>
      <c r="R14" s="40" t="s">
        <v>1186</v>
      </c>
    </row>
    <row r="15" spans="1:18" x14ac:dyDescent="0.15">
      <c r="A15" s="40" t="s">
        <v>48</v>
      </c>
      <c r="F15" s="40" t="s">
        <v>133</v>
      </c>
      <c r="I15" s="40" t="s">
        <v>188</v>
      </c>
      <c r="J15" s="40" t="s">
        <v>288</v>
      </c>
      <c r="K15" s="40" t="s">
        <v>317</v>
      </c>
      <c r="L15" s="40" t="s">
        <v>342</v>
      </c>
      <c r="M15" s="40" t="s">
        <v>592</v>
      </c>
      <c r="N15" s="40" t="s">
        <v>1205</v>
      </c>
      <c r="O15" s="40" t="s">
        <v>1234</v>
      </c>
      <c r="P15" s="40" t="s">
        <v>1166</v>
      </c>
      <c r="Q15" s="40" t="s">
        <v>1489</v>
      </c>
      <c r="R15" s="40" t="s">
        <v>1531</v>
      </c>
    </row>
    <row r="16" spans="1:18" x14ac:dyDescent="0.15">
      <c r="A16" s="40" t="s">
        <v>49</v>
      </c>
      <c r="F16" s="40" t="s">
        <v>134</v>
      </c>
      <c r="I16" s="40" t="s">
        <v>189</v>
      </c>
      <c r="J16" s="40" t="s">
        <v>289</v>
      </c>
      <c r="K16" s="40" t="s">
        <v>318</v>
      </c>
      <c r="L16" s="40" t="s">
        <v>343</v>
      </c>
      <c r="M16" s="40" t="s">
        <v>593</v>
      </c>
      <c r="N16" s="40" t="s">
        <v>1206</v>
      </c>
      <c r="O16" s="40" t="s">
        <v>1235</v>
      </c>
      <c r="P16" s="40" t="s">
        <v>1469</v>
      </c>
      <c r="Q16" s="40" t="s">
        <v>1490</v>
      </c>
      <c r="R16" s="40" t="s">
        <v>1512</v>
      </c>
    </row>
    <row r="17" spans="1:17" x14ac:dyDescent="0.15">
      <c r="A17" s="40" t="s">
        <v>50</v>
      </c>
      <c r="F17" s="40" t="s">
        <v>135</v>
      </c>
      <c r="I17" s="40" t="s">
        <v>190</v>
      </c>
      <c r="J17" s="40" t="s">
        <v>290</v>
      </c>
      <c r="K17" s="40" t="s">
        <v>319</v>
      </c>
      <c r="L17" s="40" t="s">
        <v>344</v>
      </c>
      <c r="M17" s="40" t="s">
        <v>594</v>
      </c>
      <c r="N17" s="40" t="s">
        <v>1207</v>
      </c>
      <c r="O17" s="40" t="s">
        <v>1236</v>
      </c>
      <c r="P17" s="40" t="s">
        <v>1470</v>
      </c>
      <c r="Q17" s="40" t="s">
        <v>1491</v>
      </c>
    </row>
    <row r="18" spans="1:17" x14ac:dyDescent="0.15">
      <c r="A18" s="40" t="s">
        <v>51</v>
      </c>
      <c r="F18" s="40" t="s">
        <v>136</v>
      </c>
      <c r="I18" s="40" t="s">
        <v>191</v>
      </c>
      <c r="J18" s="40" t="s">
        <v>291</v>
      </c>
      <c r="K18" s="40" t="s">
        <v>320</v>
      </c>
      <c r="L18" s="40" t="s">
        <v>345</v>
      </c>
      <c r="M18" s="40" t="s">
        <v>595</v>
      </c>
      <c r="N18" s="40" t="s">
        <v>1208</v>
      </c>
      <c r="O18" s="40" t="s">
        <v>1237</v>
      </c>
      <c r="P18" s="40" t="s">
        <v>1471</v>
      </c>
      <c r="Q18" s="40" t="s">
        <v>1492</v>
      </c>
    </row>
    <row r="19" spans="1:17" x14ac:dyDescent="0.15">
      <c r="A19" s="40" t="s">
        <v>52</v>
      </c>
      <c r="F19" s="40" t="s">
        <v>137</v>
      </c>
      <c r="I19" s="40" t="s">
        <v>192</v>
      </c>
      <c r="J19" s="40" t="s">
        <v>292</v>
      </c>
      <c r="K19" s="40" t="s">
        <v>321</v>
      </c>
      <c r="L19" s="40" t="s">
        <v>346</v>
      </c>
      <c r="M19" s="40" t="s">
        <v>596</v>
      </c>
      <c r="N19" s="40" t="s">
        <v>1209</v>
      </c>
      <c r="O19" s="40" t="s">
        <v>1238</v>
      </c>
      <c r="P19" s="40" t="s">
        <v>1167</v>
      </c>
      <c r="Q19" s="40" t="s">
        <v>1493</v>
      </c>
    </row>
    <row r="20" spans="1:17" x14ac:dyDescent="0.15">
      <c r="A20" s="40" t="s">
        <v>53</v>
      </c>
      <c r="F20" s="40" t="s">
        <v>138</v>
      </c>
      <c r="I20" s="40" t="s">
        <v>193</v>
      </c>
      <c r="J20" s="40" t="s">
        <v>293</v>
      </c>
      <c r="K20" s="40" t="s">
        <v>322</v>
      </c>
      <c r="L20" s="40" t="s">
        <v>347</v>
      </c>
      <c r="M20" s="40" t="s">
        <v>597</v>
      </c>
      <c r="N20" s="40" t="s">
        <v>1210</v>
      </c>
      <c r="O20" s="40" t="s">
        <v>1239</v>
      </c>
      <c r="P20" s="40" t="s">
        <v>1472</v>
      </c>
      <c r="Q20" s="40" t="s">
        <v>1494</v>
      </c>
    </row>
    <row r="21" spans="1:17" x14ac:dyDescent="0.15">
      <c r="A21" s="40" t="s">
        <v>54</v>
      </c>
      <c r="F21" s="40" t="s">
        <v>139</v>
      </c>
      <c r="I21" s="40" t="s">
        <v>194</v>
      </c>
      <c r="J21" s="40" t="s">
        <v>294</v>
      </c>
      <c r="K21" s="40" t="s">
        <v>323</v>
      </c>
      <c r="L21" s="40" t="s">
        <v>348</v>
      </c>
      <c r="M21" s="40" t="s">
        <v>598</v>
      </c>
      <c r="N21" s="40" t="s">
        <v>1211</v>
      </c>
      <c r="O21" s="40" t="s">
        <v>1240</v>
      </c>
      <c r="P21" s="40" t="s">
        <v>1473</v>
      </c>
      <c r="Q21" s="40" t="s">
        <v>1495</v>
      </c>
    </row>
    <row r="22" spans="1:17" x14ac:dyDescent="0.15">
      <c r="A22" s="40" t="s">
        <v>55</v>
      </c>
      <c r="F22" s="40" t="s">
        <v>140</v>
      </c>
      <c r="I22" s="40" t="s">
        <v>195</v>
      </c>
      <c r="J22" s="40" t="s">
        <v>295</v>
      </c>
      <c r="K22" s="40" t="s">
        <v>324</v>
      </c>
      <c r="L22" s="40" t="s">
        <v>349</v>
      </c>
      <c r="M22" s="40" t="s">
        <v>599</v>
      </c>
      <c r="N22" s="40" t="s">
        <v>1212</v>
      </c>
      <c r="O22" s="40" t="s">
        <v>1241</v>
      </c>
      <c r="P22" s="40" t="s">
        <v>1474</v>
      </c>
      <c r="Q22" s="40" t="s">
        <v>1496</v>
      </c>
    </row>
    <row r="23" spans="1:17" x14ac:dyDescent="0.15">
      <c r="A23" s="40" t="s">
        <v>56</v>
      </c>
      <c r="F23" s="40" t="s">
        <v>141</v>
      </c>
      <c r="I23" s="40" t="s">
        <v>196</v>
      </c>
      <c r="J23" s="40" t="s">
        <v>296</v>
      </c>
      <c r="K23" s="40" t="s">
        <v>325</v>
      </c>
      <c r="L23" s="40" t="s">
        <v>350</v>
      </c>
      <c r="M23" s="40" t="s">
        <v>600</v>
      </c>
      <c r="N23" s="40" t="s">
        <v>1213</v>
      </c>
      <c r="O23" s="40" t="s">
        <v>1242</v>
      </c>
      <c r="P23" s="40" t="s">
        <v>1475</v>
      </c>
      <c r="Q23" s="40" t="s">
        <v>1497</v>
      </c>
    </row>
    <row r="24" spans="1:17" x14ac:dyDescent="0.15">
      <c r="A24" s="40" t="s">
        <v>57</v>
      </c>
      <c r="F24" s="40" t="s">
        <v>142</v>
      </c>
      <c r="I24" s="40" t="s">
        <v>197</v>
      </c>
      <c r="J24" s="40" t="s">
        <v>297</v>
      </c>
      <c r="K24" s="40" t="s">
        <v>326</v>
      </c>
      <c r="L24" s="40" t="s">
        <v>351</v>
      </c>
      <c r="M24" s="40" t="s">
        <v>601</v>
      </c>
      <c r="N24" s="40" t="s">
        <v>1214</v>
      </c>
      <c r="O24" s="40" t="s">
        <v>1243</v>
      </c>
      <c r="Q24" s="40" t="s">
        <v>928</v>
      </c>
    </row>
    <row r="25" spans="1:17" x14ac:dyDescent="0.15">
      <c r="A25" s="40" t="s">
        <v>58</v>
      </c>
      <c r="F25" s="40" t="s">
        <v>143</v>
      </c>
      <c r="I25" s="40" t="s">
        <v>198</v>
      </c>
      <c r="J25" s="40" t="s">
        <v>298</v>
      </c>
      <c r="K25" s="40" t="s">
        <v>327</v>
      </c>
      <c r="L25" s="40" t="s">
        <v>352</v>
      </c>
      <c r="M25" s="40" t="s">
        <v>602</v>
      </c>
      <c r="N25" s="40" t="s">
        <v>1215</v>
      </c>
      <c r="O25" s="40" t="s">
        <v>1244</v>
      </c>
      <c r="Q25" s="40" t="s">
        <v>932</v>
      </c>
    </row>
    <row r="26" spans="1:17" x14ac:dyDescent="0.15">
      <c r="A26" s="40" t="s">
        <v>59</v>
      </c>
      <c r="F26" s="40" t="s">
        <v>144</v>
      </c>
      <c r="I26" s="40" t="s">
        <v>199</v>
      </c>
      <c r="J26" s="40" t="s">
        <v>299</v>
      </c>
      <c r="K26" s="40" t="s">
        <v>328</v>
      </c>
      <c r="L26" s="40" t="s">
        <v>353</v>
      </c>
      <c r="M26" s="40" t="s">
        <v>603</v>
      </c>
      <c r="N26" s="40" t="s">
        <v>1216</v>
      </c>
      <c r="O26" s="40" t="s">
        <v>1245</v>
      </c>
      <c r="Q26" s="40" t="s">
        <v>1498</v>
      </c>
    </row>
    <row r="27" spans="1:17" x14ac:dyDescent="0.15">
      <c r="A27" s="40" t="s">
        <v>60</v>
      </c>
      <c r="F27" s="40" t="s">
        <v>145</v>
      </c>
      <c r="I27" s="40" t="s">
        <v>200</v>
      </c>
      <c r="J27" s="40" t="s">
        <v>300</v>
      </c>
      <c r="K27" s="40" t="s">
        <v>329</v>
      </c>
      <c r="L27" s="40" t="s">
        <v>354</v>
      </c>
      <c r="M27" s="40" t="s">
        <v>604</v>
      </c>
      <c r="N27" s="40" t="s">
        <v>1217</v>
      </c>
      <c r="O27" s="40" t="s">
        <v>1246</v>
      </c>
      <c r="Q27" s="40" t="s">
        <v>1499</v>
      </c>
    </row>
    <row r="28" spans="1:17" x14ac:dyDescent="0.15">
      <c r="A28" s="40" t="s">
        <v>61</v>
      </c>
      <c r="F28" s="40" t="s">
        <v>146</v>
      </c>
      <c r="I28" s="40" t="s">
        <v>201</v>
      </c>
      <c r="J28" s="40" t="s">
        <v>301</v>
      </c>
      <c r="K28" s="40" t="s">
        <v>270</v>
      </c>
      <c r="L28" s="40" t="s">
        <v>355</v>
      </c>
      <c r="M28" s="40" t="s">
        <v>605</v>
      </c>
      <c r="N28" s="40" t="s">
        <v>1218</v>
      </c>
      <c r="O28" s="40" t="s">
        <v>1247</v>
      </c>
      <c r="Q28" s="40" t="s">
        <v>1500</v>
      </c>
    </row>
    <row r="29" spans="1:17" x14ac:dyDescent="0.15">
      <c r="A29" s="40" t="s">
        <v>62</v>
      </c>
      <c r="F29" s="40" t="s">
        <v>147</v>
      </c>
      <c r="I29" s="40" t="s">
        <v>202</v>
      </c>
      <c r="J29" s="40" t="s">
        <v>302</v>
      </c>
      <c r="L29" s="40" t="s">
        <v>356</v>
      </c>
      <c r="M29" s="40" t="s">
        <v>606</v>
      </c>
      <c r="N29" s="40" t="s">
        <v>1219</v>
      </c>
      <c r="O29" s="40" t="s">
        <v>1248</v>
      </c>
      <c r="Q29" s="40" t="s">
        <v>1501</v>
      </c>
    </row>
    <row r="30" spans="1:17" x14ac:dyDescent="0.15">
      <c r="A30" s="40" t="s">
        <v>63</v>
      </c>
      <c r="F30" s="40" t="s">
        <v>148</v>
      </c>
      <c r="I30" s="40" t="s">
        <v>203</v>
      </c>
      <c r="J30" s="40" t="s">
        <v>303</v>
      </c>
      <c r="L30" s="40" t="s">
        <v>357</v>
      </c>
      <c r="M30" s="40" t="s">
        <v>607</v>
      </c>
      <c r="O30" s="40" t="s">
        <v>1249</v>
      </c>
      <c r="Q30" s="40" t="s">
        <v>1502</v>
      </c>
    </row>
    <row r="31" spans="1:17" x14ac:dyDescent="0.15">
      <c r="A31" s="40" t="s">
        <v>206</v>
      </c>
      <c r="F31" s="40" t="s">
        <v>149</v>
      </c>
      <c r="I31" s="40" t="s">
        <v>204</v>
      </c>
      <c r="J31" s="40" t="s">
        <v>304</v>
      </c>
      <c r="L31" s="40" t="s">
        <v>358</v>
      </c>
      <c r="M31" s="40" t="s">
        <v>608</v>
      </c>
      <c r="O31" s="40" t="s">
        <v>1250</v>
      </c>
      <c r="Q31" s="40" t="s">
        <v>1503</v>
      </c>
    </row>
    <row r="32" spans="1:17" x14ac:dyDescent="0.15">
      <c r="A32" s="40" t="s">
        <v>64</v>
      </c>
      <c r="F32" s="40" t="s">
        <v>150</v>
      </c>
      <c r="I32" s="40" t="s">
        <v>205</v>
      </c>
      <c r="J32" s="40" t="s">
        <v>305</v>
      </c>
      <c r="L32" s="40" t="s">
        <v>359</v>
      </c>
      <c r="M32" s="40" t="s">
        <v>609</v>
      </c>
      <c r="O32" s="40" t="s">
        <v>1251</v>
      </c>
      <c r="Q32" s="40" t="s">
        <v>984</v>
      </c>
    </row>
    <row r="33" spans="1:17" x14ac:dyDescent="0.15">
      <c r="A33" s="40" t="s">
        <v>65</v>
      </c>
      <c r="F33" s="40" t="s">
        <v>151</v>
      </c>
      <c r="L33" s="40" t="s">
        <v>360</v>
      </c>
      <c r="M33" s="40" t="s">
        <v>610</v>
      </c>
      <c r="O33" s="40" t="s">
        <v>1252</v>
      </c>
      <c r="Q33" s="40" t="s">
        <v>1504</v>
      </c>
    </row>
    <row r="34" spans="1:17" x14ac:dyDescent="0.15">
      <c r="A34" s="40" t="s">
        <v>66</v>
      </c>
      <c r="F34" s="40" t="s">
        <v>152</v>
      </c>
      <c r="L34" s="40" t="s">
        <v>361</v>
      </c>
      <c r="M34" s="40" t="s">
        <v>611</v>
      </c>
      <c r="O34" s="40" t="s">
        <v>1253</v>
      </c>
      <c r="Q34" s="40" t="s">
        <v>1505</v>
      </c>
    </row>
    <row r="35" spans="1:17" x14ac:dyDescent="0.15">
      <c r="A35" s="40" t="s">
        <v>67</v>
      </c>
      <c r="F35" s="40" t="s">
        <v>153</v>
      </c>
      <c r="L35" s="40" t="s">
        <v>362</v>
      </c>
      <c r="M35" s="40" t="s">
        <v>612</v>
      </c>
      <c r="O35" s="40" t="s">
        <v>1254</v>
      </c>
      <c r="Q35" s="40" t="s">
        <v>1024</v>
      </c>
    </row>
    <row r="36" spans="1:17" x14ac:dyDescent="0.15">
      <c r="A36" s="40" t="s">
        <v>68</v>
      </c>
      <c r="F36" s="40" t="s">
        <v>154</v>
      </c>
      <c r="L36" s="40" t="s">
        <v>363</v>
      </c>
      <c r="M36" s="40" t="s">
        <v>613</v>
      </c>
      <c r="O36" s="40" t="s">
        <v>1255</v>
      </c>
      <c r="Q36" s="40" t="s">
        <v>1038</v>
      </c>
    </row>
    <row r="37" spans="1:17" ht="24" x14ac:dyDescent="0.15">
      <c r="A37" s="40" t="s">
        <v>69</v>
      </c>
      <c r="F37" s="40" t="s">
        <v>155</v>
      </c>
      <c r="L37" s="41" t="s">
        <v>364</v>
      </c>
      <c r="M37" s="40" t="s">
        <v>614</v>
      </c>
      <c r="O37" s="40" t="s">
        <v>1256</v>
      </c>
      <c r="Q37" s="40" t="s">
        <v>1049</v>
      </c>
    </row>
    <row r="38" spans="1:17" x14ac:dyDescent="0.15">
      <c r="A38" s="40" t="s">
        <v>70</v>
      </c>
      <c r="F38" s="40" t="s">
        <v>156</v>
      </c>
      <c r="L38" s="40" t="s">
        <v>365</v>
      </c>
      <c r="M38" s="40" t="s">
        <v>615</v>
      </c>
      <c r="O38" s="40" t="s">
        <v>1257</v>
      </c>
      <c r="Q38" s="40" t="s">
        <v>1066</v>
      </c>
    </row>
    <row r="39" spans="1:17" x14ac:dyDescent="0.15">
      <c r="A39" s="40" t="s">
        <v>71</v>
      </c>
      <c r="F39" s="40" t="s">
        <v>157</v>
      </c>
      <c r="L39" s="40" t="s">
        <v>366</v>
      </c>
      <c r="M39" s="40" t="s">
        <v>616</v>
      </c>
      <c r="O39" s="40" t="s">
        <v>1258</v>
      </c>
      <c r="Q39" s="40" t="s">
        <v>1076</v>
      </c>
    </row>
    <row r="40" spans="1:17" x14ac:dyDescent="0.15">
      <c r="A40" s="40" t="s">
        <v>72</v>
      </c>
      <c r="F40" s="40" t="s">
        <v>158</v>
      </c>
      <c r="L40" s="40" t="s">
        <v>367</v>
      </c>
      <c r="M40" s="40" t="s">
        <v>617</v>
      </c>
      <c r="O40" s="40" t="s">
        <v>1259</v>
      </c>
      <c r="Q40" s="40" t="s">
        <v>1087</v>
      </c>
    </row>
    <row r="41" spans="1:17" x14ac:dyDescent="0.15">
      <c r="A41" s="40" t="s">
        <v>73</v>
      </c>
      <c r="F41" s="40" t="s">
        <v>159</v>
      </c>
      <c r="L41" s="40" t="s">
        <v>368</v>
      </c>
      <c r="M41" s="40" t="s">
        <v>618</v>
      </c>
      <c r="O41" s="40" t="s">
        <v>1260</v>
      </c>
    </row>
    <row r="42" spans="1:17" x14ac:dyDescent="0.15">
      <c r="A42" s="40" t="s">
        <v>1168</v>
      </c>
      <c r="F42" s="40" t="s">
        <v>160</v>
      </c>
      <c r="L42" s="40" t="s">
        <v>369</v>
      </c>
      <c r="M42" s="40" t="s">
        <v>619</v>
      </c>
      <c r="O42" s="40" t="s">
        <v>1261</v>
      </c>
    </row>
    <row r="43" spans="1:17" x14ac:dyDescent="0.15">
      <c r="A43" s="40" t="s">
        <v>74</v>
      </c>
      <c r="F43" s="40" t="s">
        <v>161</v>
      </c>
      <c r="L43" s="40" t="s">
        <v>370</v>
      </c>
      <c r="M43" s="40" t="s">
        <v>620</v>
      </c>
      <c r="O43" s="40" t="s">
        <v>1262</v>
      </c>
    </row>
    <row r="44" spans="1:17" x14ac:dyDescent="0.15">
      <c r="A44" s="40" t="s">
        <v>75</v>
      </c>
      <c r="F44" s="40" t="s">
        <v>162</v>
      </c>
      <c r="L44" s="40" t="s">
        <v>371</v>
      </c>
      <c r="M44" s="40" t="s">
        <v>621</v>
      </c>
      <c r="O44" s="40" t="s">
        <v>1263</v>
      </c>
    </row>
    <row r="45" spans="1:17" x14ac:dyDescent="0.15">
      <c r="A45" s="40" t="s">
        <v>76</v>
      </c>
      <c r="F45" s="40" t="s">
        <v>163</v>
      </c>
      <c r="L45" s="40" t="s">
        <v>372</v>
      </c>
      <c r="M45" s="40" t="s">
        <v>622</v>
      </c>
      <c r="O45" s="40" t="s">
        <v>1264</v>
      </c>
    </row>
    <row r="46" spans="1:17" x14ac:dyDescent="0.15">
      <c r="A46" s="40" t="s">
        <v>77</v>
      </c>
      <c r="F46" s="40" t="s">
        <v>164</v>
      </c>
      <c r="L46" s="40" t="s">
        <v>373</v>
      </c>
      <c r="M46" s="40" t="s">
        <v>623</v>
      </c>
      <c r="O46" s="40" t="s">
        <v>1265</v>
      </c>
    </row>
    <row r="47" spans="1:17" x14ac:dyDescent="0.15">
      <c r="A47" s="40" t="s">
        <v>78</v>
      </c>
      <c r="F47" s="40" t="s">
        <v>165</v>
      </c>
      <c r="L47" s="40" t="s">
        <v>374</v>
      </c>
      <c r="M47" s="40" t="s">
        <v>624</v>
      </c>
      <c r="O47" s="40" t="s">
        <v>1266</v>
      </c>
    </row>
    <row r="48" spans="1:17" x14ac:dyDescent="0.15">
      <c r="A48" s="40" t="s">
        <v>79</v>
      </c>
      <c r="F48" s="40" t="s">
        <v>166</v>
      </c>
      <c r="L48" s="40" t="s">
        <v>375</v>
      </c>
      <c r="M48" s="40" t="s">
        <v>625</v>
      </c>
      <c r="O48" s="40" t="s">
        <v>1267</v>
      </c>
    </row>
    <row r="49" spans="1:15" x14ac:dyDescent="0.15">
      <c r="A49" s="40" t="s">
        <v>80</v>
      </c>
      <c r="F49" s="40" t="s">
        <v>167</v>
      </c>
      <c r="L49" s="40" t="s">
        <v>376</v>
      </c>
      <c r="M49" s="40" t="s">
        <v>626</v>
      </c>
      <c r="O49" s="40" t="s">
        <v>1268</v>
      </c>
    </row>
    <row r="50" spans="1:15" x14ac:dyDescent="0.15">
      <c r="A50" s="40" t="s">
        <v>81</v>
      </c>
      <c r="F50" s="40" t="s">
        <v>114</v>
      </c>
      <c r="L50" s="40" t="s">
        <v>377</v>
      </c>
      <c r="M50" s="40" t="s">
        <v>627</v>
      </c>
      <c r="O50" s="40" t="s">
        <v>1269</v>
      </c>
    </row>
    <row r="51" spans="1:15" x14ac:dyDescent="0.15">
      <c r="A51" s="40" t="s">
        <v>82</v>
      </c>
      <c r="F51" s="40" t="s">
        <v>168</v>
      </c>
      <c r="L51" s="40" t="s">
        <v>378</v>
      </c>
      <c r="M51" s="40" t="s">
        <v>628</v>
      </c>
      <c r="O51" s="40" t="s">
        <v>1270</v>
      </c>
    </row>
    <row r="52" spans="1:15" x14ac:dyDescent="0.15">
      <c r="A52" s="40" t="s">
        <v>83</v>
      </c>
      <c r="F52" s="40" t="s">
        <v>169</v>
      </c>
      <c r="L52" s="40" t="s">
        <v>379</v>
      </c>
      <c r="M52" s="40" t="s">
        <v>629</v>
      </c>
      <c r="O52" s="40" t="s">
        <v>1271</v>
      </c>
    </row>
    <row r="53" spans="1:15" x14ac:dyDescent="0.15">
      <c r="A53" s="40" t="s">
        <v>84</v>
      </c>
      <c r="L53" s="40" t="s">
        <v>380</v>
      </c>
      <c r="M53" s="40" t="s">
        <v>629</v>
      </c>
      <c r="O53" s="40" t="s">
        <v>1272</v>
      </c>
    </row>
    <row r="54" spans="1:15" x14ac:dyDescent="0.15">
      <c r="A54" s="40" t="s">
        <v>85</v>
      </c>
      <c r="L54" s="40" t="s">
        <v>381</v>
      </c>
      <c r="M54" s="40" t="s">
        <v>629</v>
      </c>
      <c r="O54" s="40" t="s">
        <v>1273</v>
      </c>
    </row>
    <row r="55" spans="1:15" x14ac:dyDescent="0.15">
      <c r="A55" s="40" t="s">
        <v>86</v>
      </c>
      <c r="L55" s="40" t="s">
        <v>382</v>
      </c>
      <c r="M55" s="40" t="s">
        <v>629</v>
      </c>
      <c r="O55" s="40" t="s">
        <v>1274</v>
      </c>
    </row>
    <row r="56" spans="1:15" x14ac:dyDescent="0.15">
      <c r="A56" s="40" t="s">
        <v>87</v>
      </c>
      <c r="L56" s="40" t="s">
        <v>383</v>
      </c>
      <c r="M56" s="40" t="s">
        <v>630</v>
      </c>
      <c r="O56" s="40" t="s">
        <v>1275</v>
      </c>
    </row>
    <row r="57" spans="1:15" x14ac:dyDescent="0.15">
      <c r="A57" s="40" t="s">
        <v>88</v>
      </c>
      <c r="L57" s="40" t="s">
        <v>384</v>
      </c>
      <c r="M57" s="40" t="s">
        <v>631</v>
      </c>
      <c r="O57" s="40" t="s">
        <v>1276</v>
      </c>
    </row>
    <row r="58" spans="1:15" x14ac:dyDescent="0.15">
      <c r="A58" s="40" t="s">
        <v>89</v>
      </c>
      <c r="L58" s="40" t="s">
        <v>385</v>
      </c>
      <c r="M58" s="40" t="s">
        <v>632</v>
      </c>
      <c r="O58" s="40" t="s">
        <v>1277</v>
      </c>
    </row>
    <row r="59" spans="1:15" x14ac:dyDescent="0.15">
      <c r="A59" s="40" t="s">
        <v>90</v>
      </c>
      <c r="L59" s="40" t="s">
        <v>386</v>
      </c>
      <c r="M59" s="40" t="s">
        <v>633</v>
      </c>
      <c r="O59" s="40" t="s">
        <v>1278</v>
      </c>
    </row>
    <row r="60" spans="1:15" x14ac:dyDescent="0.15">
      <c r="A60" s="40" t="s">
        <v>91</v>
      </c>
      <c r="L60" s="40" t="s">
        <v>387</v>
      </c>
      <c r="M60" s="40" t="s">
        <v>634</v>
      </c>
      <c r="O60" s="40" t="s">
        <v>1279</v>
      </c>
    </row>
    <row r="61" spans="1:15" x14ac:dyDescent="0.15">
      <c r="L61" s="40" t="s">
        <v>388</v>
      </c>
      <c r="M61" s="40" t="s">
        <v>635</v>
      </c>
      <c r="O61" s="40" t="s">
        <v>1280</v>
      </c>
    </row>
    <row r="62" spans="1:15" x14ac:dyDescent="0.15">
      <c r="L62" s="40" t="s">
        <v>1158</v>
      </c>
      <c r="M62" s="40" t="s">
        <v>636</v>
      </c>
      <c r="O62" s="40" t="s">
        <v>1281</v>
      </c>
    </row>
    <row r="63" spans="1:15" x14ac:dyDescent="0.15">
      <c r="L63" s="40" t="s">
        <v>1159</v>
      </c>
      <c r="M63" s="40" t="s">
        <v>637</v>
      </c>
      <c r="O63" s="40" t="s">
        <v>1282</v>
      </c>
    </row>
    <row r="64" spans="1:15" x14ac:dyDescent="0.15">
      <c r="L64" s="40" t="s">
        <v>389</v>
      </c>
      <c r="M64" s="40" t="s">
        <v>638</v>
      </c>
      <c r="O64" s="40" t="s">
        <v>1283</v>
      </c>
    </row>
    <row r="65" spans="12:15" x14ac:dyDescent="0.15">
      <c r="L65" s="40" t="s">
        <v>390</v>
      </c>
      <c r="M65" s="40" t="s">
        <v>639</v>
      </c>
      <c r="O65" s="40" t="s">
        <v>1284</v>
      </c>
    </row>
    <row r="66" spans="12:15" x14ac:dyDescent="0.15">
      <c r="L66" s="40" t="s">
        <v>391</v>
      </c>
      <c r="M66" s="40" t="s">
        <v>640</v>
      </c>
      <c r="O66" s="40" t="s">
        <v>1285</v>
      </c>
    </row>
    <row r="67" spans="12:15" x14ac:dyDescent="0.15">
      <c r="L67" s="40" t="s">
        <v>392</v>
      </c>
      <c r="M67" s="40" t="s">
        <v>641</v>
      </c>
      <c r="O67" s="40" t="s">
        <v>1286</v>
      </c>
    </row>
    <row r="68" spans="12:15" x14ac:dyDescent="0.15">
      <c r="L68" s="40" t="s">
        <v>393</v>
      </c>
      <c r="M68" s="40" t="s">
        <v>642</v>
      </c>
      <c r="O68" s="40" t="s">
        <v>1287</v>
      </c>
    </row>
    <row r="69" spans="12:15" x14ac:dyDescent="0.15">
      <c r="L69" s="40" t="s">
        <v>394</v>
      </c>
      <c r="M69" s="40" t="s">
        <v>643</v>
      </c>
      <c r="O69" s="40" t="s">
        <v>1288</v>
      </c>
    </row>
    <row r="70" spans="12:15" x14ac:dyDescent="0.15">
      <c r="L70" s="40" t="s">
        <v>395</v>
      </c>
      <c r="M70" s="40" t="s">
        <v>644</v>
      </c>
      <c r="O70" s="40" t="s">
        <v>1289</v>
      </c>
    </row>
    <row r="71" spans="12:15" x14ac:dyDescent="0.15">
      <c r="L71" s="40" t="s">
        <v>396</v>
      </c>
      <c r="M71" s="40" t="s">
        <v>645</v>
      </c>
      <c r="O71" s="40" t="s">
        <v>1290</v>
      </c>
    </row>
    <row r="72" spans="12:15" x14ac:dyDescent="0.15">
      <c r="L72" s="40" t="s">
        <v>1160</v>
      </c>
      <c r="M72" s="40" t="s">
        <v>646</v>
      </c>
      <c r="O72" s="40" t="s">
        <v>1291</v>
      </c>
    </row>
    <row r="73" spans="12:15" x14ac:dyDescent="0.15">
      <c r="L73" s="40" t="s">
        <v>397</v>
      </c>
      <c r="M73" s="40" t="s">
        <v>647</v>
      </c>
      <c r="O73" s="40" t="s">
        <v>1292</v>
      </c>
    </row>
    <row r="74" spans="12:15" x14ac:dyDescent="0.15">
      <c r="L74" s="40" t="s">
        <v>398</v>
      </c>
      <c r="M74" s="40" t="s">
        <v>648</v>
      </c>
      <c r="O74" s="40" t="s">
        <v>1293</v>
      </c>
    </row>
    <row r="75" spans="12:15" x14ac:dyDescent="0.15">
      <c r="L75" s="40" t="s">
        <v>399</v>
      </c>
      <c r="M75" s="40" t="s">
        <v>649</v>
      </c>
      <c r="O75" s="40" t="s">
        <v>1294</v>
      </c>
    </row>
    <row r="76" spans="12:15" x14ac:dyDescent="0.15">
      <c r="L76" s="40" t="s">
        <v>400</v>
      </c>
      <c r="M76" s="40" t="s">
        <v>650</v>
      </c>
      <c r="O76" s="40" t="s">
        <v>1295</v>
      </c>
    </row>
    <row r="77" spans="12:15" x14ac:dyDescent="0.15">
      <c r="L77" s="40" t="s">
        <v>401</v>
      </c>
      <c r="M77" s="40" t="s">
        <v>651</v>
      </c>
      <c r="O77" s="40" t="s">
        <v>1296</v>
      </c>
    </row>
    <row r="78" spans="12:15" x14ac:dyDescent="0.15">
      <c r="L78" s="40" t="s">
        <v>402</v>
      </c>
      <c r="M78" s="40" t="s">
        <v>652</v>
      </c>
      <c r="O78" s="40" t="s">
        <v>1297</v>
      </c>
    </row>
    <row r="79" spans="12:15" x14ac:dyDescent="0.15">
      <c r="L79" s="40" t="s">
        <v>403</v>
      </c>
      <c r="M79" s="40" t="s">
        <v>653</v>
      </c>
      <c r="O79" s="40" t="s">
        <v>1298</v>
      </c>
    </row>
    <row r="80" spans="12:15" x14ac:dyDescent="0.15">
      <c r="L80" s="40" t="s">
        <v>404</v>
      </c>
      <c r="M80" s="40" t="s">
        <v>654</v>
      </c>
      <c r="O80" s="40" t="s">
        <v>1299</v>
      </c>
    </row>
    <row r="81" spans="12:15" x14ac:dyDescent="0.15">
      <c r="L81" s="40" t="s">
        <v>405</v>
      </c>
      <c r="M81" s="40" t="s">
        <v>655</v>
      </c>
      <c r="O81" s="40" t="s">
        <v>1300</v>
      </c>
    </row>
    <row r="82" spans="12:15" x14ac:dyDescent="0.15">
      <c r="L82" s="40" t="s">
        <v>406</v>
      </c>
      <c r="M82" s="40" t="s">
        <v>656</v>
      </c>
      <c r="O82" s="40" t="s">
        <v>1301</v>
      </c>
    </row>
    <row r="83" spans="12:15" x14ac:dyDescent="0.15">
      <c r="L83" s="40" t="s">
        <v>407</v>
      </c>
      <c r="M83" s="40" t="s">
        <v>657</v>
      </c>
      <c r="O83" s="40" t="s">
        <v>1302</v>
      </c>
    </row>
    <row r="84" spans="12:15" x14ac:dyDescent="0.15">
      <c r="L84" s="40" t="s">
        <v>408</v>
      </c>
      <c r="M84" s="40" t="s">
        <v>658</v>
      </c>
      <c r="O84" s="40" t="s">
        <v>1303</v>
      </c>
    </row>
    <row r="85" spans="12:15" x14ac:dyDescent="0.15">
      <c r="L85" s="40" t="s">
        <v>409</v>
      </c>
      <c r="M85" s="40" t="s">
        <v>659</v>
      </c>
      <c r="O85" s="40" t="s">
        <v>1304</v>
      </c>
    </row>
    <row r="86" spans="12:15" x14ac:dyDescent="0.15">
      <c r="L86" s="40" t="s">
        <v>410</v>
      </c>
      <c r="M86" s="40" t="s">
        <v>660</v>
      </c>
      <c r="O86" s="40" t="s">
        <v>1305</v>
      </c>
    </row>
    <row r="87" spans="12:15" x14ac:dyDescent="0.15">
      <c r="L87" s="40" t="s">
        <v>411</v>
      </c>
      <c r="M87" s="40" t="s">
        <v>661</v>
      </c>
      <c r="O87" s="40" t="s">
        <v>1306</v>
      </c>
    </row>
    <row r="88" spans="12:15" x14ac:dyDescent="0.15">
      <c r="L88" s="40" t="s">
        <v>412</v>
      </c>
      <c r="M88" s="40" t="s">
        <v>662</v>
      </c>
      <c r="O88" s="40" t="s">
        <v>1307</v>
      </c>
    </row>
    <row r="89" spans="12:15" x14ac:dyDescent="0.15">
      <c r="L89" s="40" t="s">
        <v>413</v>
      </c>
      <c r="M89" s="40" t="s">
        <v>663</v>
      </c>
      <c r="O89" s="40" t="s">
        <v>1308</v>
      </c>
    </row>
    <row r="90" spans="12:15" x14ac:dyDescent="0.15">
      <c r="L90" s="40" t="s">
        <v>414</v>
      </c>
      <c r="M90" s="40" t="s">
        <v>664</v>
      </c>
      <c r="O90" s="40" t="s">
        <v>1309</v>
      </c>
    </row>
    <row r="91" spans="12:15" x14ac:dyDescent="0.15">
      <c r="L91" s="40" t="s">
        <v>415</v>
      </c>
      <c r="M91" s="40" t="s">
        <v>665</v>
      </c>
      <c r="O91" s="40" t="s">
        <v>1310</v>
      </c>
    </row>
    <row r="92" spans="12:15" x14ac:dyDescent="0.15">
      <c r="L92" s="40" t="s">
        <v>416</v>
      </c>
      <c r="M92" s="40" t="s">
        <v>666</v>
      </c>
      <c r="O92" s="40" t="s">
        <v>1311</v>
      </c>
    </row>
    <row r="93" spans="12:15" x14ac:dyDescent="0.15">
      <c r="L93" s="40" t="s">
        <v>417</v>
      </c>
      <c r="M93" s="40" t="s">
        <v>667</v>
      </c>
      <c r="O93" s="40" t="s">
        <v>1312</v>
      </c>
    </row>
    <row r="94" spans="12:15" x14ac:dyDescent="0.15">
      <c r="L94" s="40" t="s">
        <v>418</v>
      </c>
      <c r="M94" s="40" t="s">
        <v>668</v>
      </c>
      <c r="O94" s="40" t="s">
        <v>1313</v>
      </c>
    </row>
    <row r="95" spans="12:15" x14ac:dyDescent="0.15">
      <c r="L95" s="40" t="s">
        <v>419</v>
      </c>
      <c r="M95" s="40" t="s">
        <v>669</v>
      </c>
      <c r="O95" s="40" t="s">
        <v>1314</v>
      </c>
    </row>
    <row r="96" spans="12:15" x14ac:dyDescent="0.15">
      <c r="L96" s="40" t="s">
        <v>420</v>
      </c>
      <c r="M96" s="40" t="s">
        <v>670</v>
      </c>
      <c r="O96" s="40" t="s">
        <v>1315</v>
      </c>
    </row>
    <row r="97" spans="12:15" x14ac:dyDescent="0.15">
      <c r="L97" s="40" t="s">
        <v>421</v>
      </c>
      <c r="M97" s="40" t="s">
        <v>671</v>
      </c>
      <c r="O97" s="40" t="s">
        <v>1316</v>
      </c>
    </row>
    <row r="98" spans="12:15" x14ac:dyDescent="0.15">
      <c r="L98" s="40" t="s">
        <v>422</v>
      </c>
      <c r="M98" s="40" t="s">
        <v>672</v>
      </c>
      <c r="O98" s="40" t="s">
        <v>1317</v>
      </c>
    </row>
    <row r="99" spans="12:15" x14ac:dyDescent="0.15">
      <c r="L99" s="40" t="s">
        <v>423</v>
      </c>
      <c r="M99" s="40" t="s">
        <v>673</v>
      </c>
      <c r="O99" s="40" t="s">
        <v>1318</v>
      </c>
    </row>
    <row r="100" spans="12:15" x14ac:dyDescent="0.15">
      <c r="L100" s="40" t="s">
        <v>424</v>
      </c>
      <c r="M100" s="40" t="s">
        <v>674</v>
      </c>
      <c r="O100" s="40" t="s">
        <v>1319</v>
      </c>
    </row>
    <row r="101" spans="12:15" x14ac:dyDescent="0.15">
      <c r="L101" s="40" t="s">
        <v>425</v>
      </c>
      <c r="M101" s="40" t="s">
        <v>675</v>
      </c>
      <c r="O101" s="40" t="s">
        <v>1320</v>
      </c>
    </row>
    <row r="102" spans="12:15" x14ac:dyDescent="0.15">
      <c r="L102" s="40" t="s">
        <v>426</v>
      </c>
      <c r="M102" s="40" t="s">
        <v>676</v>
      </c>
      <c r="O102" s="40" t="s">
        <v>1321</v>
      </c>
    </row>
    <row r="103" spans="12:15" x14ac:dyDescent="0.15">
      <c r="L103" s="40" t="s">
        <v>427</v>
      </c>
      <c r="M103" s="40" t="s">
        <v>677</v>
      </c>
      <c r="O103" s="40" t="s">
        <v>1322</v>
      </c>
    </row>
    <row r="104" spans="12:15" x14ac:dyDescent="0.15">
      <c r="L104" s="40" t="s">
        <v>428</v>
      </c>
      <c r="M104" s="40" t="s">
        <v>678</v>
      </c>
      <c r="O104" s="40" t="s">
        <v>1323</v>
      </c>
    </row>
    <row r="105" spans="12:15" x14ac:dyDescent="0.15">
      <c r="L105" s="40" t="s">
        <v>429</v>
      </c>
      <c r="M105" s="40" t="s">
        <v>679</v>
      </c>
      <c r="O105" s="40" t="s">
        <v>1324</v>
      </c>
    </row>
    <row r="106" spans="12:15" x14ac:dyDescent="0.15">
      <c r="L106" s="40" t="s">
        <v>430</v>
      </c>
      <c r="M106" s="40" t="s">
        <v>680</v>
      </c>
      <c r="O106" s="40" t="s">
        <v>1325</v>
      </c>
    </row>
    <row r="107" spans="12:15" x14ac:dyDescent="0.15">
      <c r="L107" s="40" t="s">
        <v>431</v>
      </c>
      <c r="M107" s="40" t="s">
        <v>681</v>
      </c>
      <c r="O107" s="40" t="s">
        <v>1326</v>
      </c>
    </row>
    <row r="108" spans="12:15" x14ac:dyDescent="0.15">
      <c r="L108" s="40" t="s">
        <v>432</v>
      </c>
      <c r="M108" s="40" t="s">
        <v>682</v>
      </c>
      <c r="O108" s="40" t="s">
        <v>1327</v>
      </c>
    </row>
    <row r="109" spans="12:15" x14ac:dyDescent="0.15">
      <c r="L109" s="40" t="s">
        <v>433</v>
      </c>
      <c r="M109" s="40" t="s">
        <v>683</v>
      </c>
      <c r="O109" s="40" t="s">
        <v>1328</v>
      </c>
    </row>
    <row r="110" spans="12:15" x14ac:dyDescent="0.15">
      <c r="L110" s="40" t="s">
        <v>434</v>
      </c>
      <c r="M110" s="40" t="s">
        <v>684</v>
      </c>
      <c r="O110" s="40" t="s">
        <v>1329</v>
      </c>
    </row>
    <row r="111" spans="12:15" x14ac:dyDescent="0.15">
      <c r="L111" s="40" t="s">
        <v>435</v>
      </c>
      <c r="M111" s="40" t="s">
        <v>685</v>
      </c>
      <c r="O111" s="40" t="s">
        <v>1330</v>
      </c>
    </row>
    <row r="112" spans="12:15" x14ac:dyDescent="0.15">
      <c r="L112" s="40" t="s">
        <v>436</v>
      </c>
      <c r="M112" s="40" t="s">
        <v>686</v>
      </c>
      <c r="O112" s="40" t="s">
        <v>1331</v>
      </c>
    </row>
    <row r="113" spans="12:15" x14ac:dyDescent="0.15">
      <c r="L113" s="40" t="s">
        <v>437</v>
      </c>
      <c r="M113" s="40" t="s">
        <v>687</v>
      </c>
      <c r="O113" s="40" t="s">
        <v>1332</v>
      </c>
    </row>
    <row r="114" spans="12:15" x14ac:dyDescent="0.15">
      <c r="L114" s="40" t="s">
        <v>438</v>
      </c>
      <c r="M114" s="40" t="s">
        <v>688</v>
      </c>
      <c r="O114" s="40" t="s">
        <v>1333</v>
      </c>
    </row>
    <row r="115" spans="12:15" x14ac:dyDescent="0.15">
      <c r="L115" s="40" t="s">
        <v>439</v>
      </c>
      <c r="M115" s="40" t="s">
        <v>689</v>
      </c>
      <c r="O115" s="40" t="s">
        <v>1334</v>
      </c>
    </row>
    <row r="116" spans="12:15" x14ac:dyDescent="0.15">
      <c r="L116" s="40" t="s">
        <v>440</v>
      </c>
      <c r="M116" s="40" t="s">
        <v>690</v>
      </c>
      <c r="O116" s="40" t="s">
        <v>1335</v>
      </c>
    </row>
    <row r="117" spans="12:15" x14ac:dyDescent="0.15">
      <c r="L117" s="40" t="s">
        <v>441</v>
      </c>
      <c r="M117" s="40" t="s">
        <v>691</v>
      </c>
      <c r="O117" s="40" t="s">
        <v>1336</v>
      </c>
    </row>
    <row r="118" spans="12:15" x14ac:dyDescent="0.15">
      <c r="L118" s="40" t="s">
        <v>442</v>
      </c>
      <c r="M118" s="40" t="s">
        <v>692</v>
      </c>
      <c r="O118" s="40" t="s">
        <v>1337</v>
      </c>
    </row>
    <row r="119" spans="12:15" x14ac:dyDescent="0.15">
      <c r="L119" s="40" t="s">
        <v>443</v>
      </c>
      <c r="M119" s="40" t="s">
        <v>693</v>
      </c>
      <c r="O119" s="40" t="s">
        <v>1338</v>
      </c>
    </row>
    <row r="120" spans="12:15" x14ac:dyDescent="0.15">
      <c r="L120" s="40" t="s">
        <v>444</v>
      </c>
      <c r="M120" s="40" t="s">
        <v>694</v>
      </c>
      <c r="O120" s="40" t="s">
        <v>1339</v>
      </c>
    </row>
    <row r="121" spans="12:15" x14ac:dyDescent="0.15">
      <c r="L121" s="40" t="s">
        <v>445</v>
      </c>
      <c r="M121" s="40" t="s">
        <v>695</v>
      </c>
      <c r="O121" s="40" t="s">
        <v>1340</v>
      </c>
    </row>
    <row r="122" spans="12:15" x14ac:dyDescent="0.15">
      <c r="L122" s="40" t="s">
        <v>446</v>
      </c>
      <c r="M122" s="40" t="s">
        <v>696</v>
      </c>
      <c r="O122" s="40" t="s">
        <v>1341</v>
      </c>
    </row>
    <row r="123" spans="12:15" x14ac:dyDescent="0.15">
      <c r="L123" s="40" t="s">
        <v>447</v>
      </c>
      <c r="M123" s="40" t="s">
        <v>697</v>
      </c>
      <c r="O123" s="40" t="s">
        <v>1342</v>
      </c>
    </row>
    <row r="124" spans="12:15" x14ac:dyDescent="0.15">
      <c r="L124" s="40" t="s">
        <v>448</v>
      </c>
      <c r="M124" s="40" t="s">
        <v>698</v>
      </c>
      <c r="O124" s="40" t="s">
        <v>1343</v>
      </c>
    </row>
    <row r="125" spans="12:15" x14ac:dyDescent="0.15">
      <c r="L125" s="40" t="s">
        <v>449</v>
      </c>
      <c r="M125" s="40" t="s">
        <v>699</v>
      </c>
      <c r="O125" s="40" t="s">
        <v>1344</v>
      </c>
    </row>
    <row r="126" spans="12:15" x14ac:dyDescent="0.15">
      <c r="L126" s="40" t="s">
        <v>450</v>
      </c>
      <c r="M126" s="40" t="s">
        <v>700</v>
      </c>
      <c r="O126" s="40" t="s">
        <v>1345</v>
      </c>
    </row>
    <row r="127" spans="12:15" x14ac:dyDescent="0.15">
      <c r="L127" s="40" t="s">
        <v>451</v>
      </c>
      <c r="M127" s="40" t="s">
        <v>701</v>
      </c>
      <c r="O127" s="40" t="s">
        <v>1346</v>
      </c>
    </row>
    <row r="128" spans="12:15" x14ac:dyDescent="0.15">
      <c r="L128" s="40" t="s">
        <v>452</v>
      </c>
      <c r="M128" s="40" t="s">
        <v>702</v>
      </c>
      <c r="O128" s="40" t="s">
        <v>1347</v>
      </c>
    </row>
    <row r="129" spans="12:15" x14ac:dyDescent="0.15">
      <c r="L129" s="40" t="s">
        <v>453</v>
      </c>
      <c r="M129" s="40" t="s">
        <v>703</v>
      </c>
      <c r="O129" s="40" t="s">
        <v>1348</v>
      </c>
    </row>
    <row r="130" spans="12:15" x14ac:dyDescent="0.15">
      <c r="L130" s="40" t="s">
        <v>454</v>
      </c>
      <c r="M130" s="40" t="s">
        <v>704</v>
      </c>
      <c r="O130" s="40" t="s">
        <v>1349</v>
      </c>
    </row>
    <row r="131" spans="12:15" x14ac:dyDescent="0.15">
      <c r="L131" s="40" t="s">
        <v>455</v>
      </c>
      <c r="M131" s="40" t="s">
        <v>705</v>
      </c>
      <c r="O131" s="40" t="s">
        <v>1350</v>
      </c>
    </row>
    <row r="132" spans="12:15" x14ac:dyDescent="0.15">
      <c r="L132" s="40" t="s">
        <v>456</v>
      </c>
      <c r="M132" s="40" t="s">
        <v>706</v>
      </c>
      <c r="O132" s="40" t="s">
        <v>1351</v>
      </c>
    </row>
    <row r="133" spans="12:15" x14ac:dyDescent="0.15">
      <c r="L133" s="40" t="s">
        <v>457</v>
      </c>
      <c r="M133" s="40" t="s">
        <v>707</v>
      </c>
      <c r="O133" s="40" t="s">
        <v>1352</v>
      </c>
    </row>
    <row r="134" spans="12:15" x14ac:dyDescent="0.15">
      <c r="L134" s="40" t="s">
        <v>458</v>
      </c>
      <c r="M134" s="40" t="s">
        <v>708</v>
      </c>
      <c r="O134" s="40" t="s">
        <v>1353</v>
      </c>
    </row>
    <row r="135" spans="12:15" x14ac:dyDescent="0.15">
      <c r="L135" s="40" t="s">
        <v>459</v>
      </c>
      <c r="M135" s="40" t="s">
        <v>709</v>
      </c>
      <c r="O135" s="40" t="s">
        <v>1354</v>
      </c>
    </row>
    <row r="136" spans="12:15" x14ac:dyDescent="0.15">
      <c r="L136" s="40" t="s">
        <v>460</v>
      </c>
      <c r="M136" s="40" t="s">
        <v>710</v>
      </c>
      <c r="O136" s="40" t="s">
        <v>1355</v>
      </c>
    </row>
    <row r="137" spans="12:15" x14ac:dyDescent="0.15">
      <c r="L137" s="40" t="s">
        <v>461</v>
      </c>
      <c r="M137" s="40" t="s">
        <v>711</v>
      </c>
      <c r="O137" s="40" t="s">
        <v>1076</v>
      </c>
    </row>
    <row r="138" spans="12:15" x14ac:dyDescent="0.15">
      <c r="L138" s="40" t="s">
        <v>462</v>
      </c>
      <c r="M138" s="40" t="s">
        <v>712</v>
      </c>
      <c r="O138" s="40" t="s">
        <v>1356</v>
      </c>
    </row>
    <row r="139" spans="12:15" x14ac:dyDescent="0.15">
      <c r="L139" s="40" t="s">
        <v>463</v>
      </c>
      <c r="M139" s="40" t="s">
        <v>713</v>
      </c>
      <c r="O139" s="40" t="s">
        <v>1357</v>
      </c>
    </row>
    <row r="140" spans="12:15" x14ac:dyDescent="0.15">
      <c r="L140" s="40" t="s">
        <v>464</v>
      </c>
      <c r="M140" s="40" t="s">
        <v>714</v>
      </c>
      <c r="O140" s="40" t="s">
        <v>1358</v>
      </c>
    </row>
    <row r="141" spans="12:15" x14ac:dyDescent="0.15">
      <c r="L141" s="40" t="s">
        <v>465</v>
      </c>
      <c r="M141" s="40" t="s">
        <v>715</v>
      </c>
      <c r="O141" s="40" t="s">
        <v>1359</v>
      </c>
    </row>
    <row r="142" spans="12:15" x14ac:dyDescent="0.15">
      <c r="L142" s="40" t="s">
        <v>466</v>
      </c>
      <c r="M142" s="40" t="s">
        <v>716</v>
      </c>
      <c r="O142" s="40" t="s">
        <v>1360</v>
      </c>
    </row>
    <row r="143" spans="12:15" x14ac:dyDescent="0.15">
      <c r="L143" s="40" t="s">
        <v>467</v>
      </c>
      <c r="M143" s="40" t="s">
        <v>717</v>
      </c>
      <c r="O143" s="40" t="s">
        <v>1361</v>
      </c>
    </row>
    <row r="144" spans="12:15" x14ac:dyDescent="0.15">
      <c r="L144" s="40" t="s">
        <v>468</v>
      </c>
      <c r="M144" s="40" t="s">
        <v>718</v>
      </c>
      <c r="O144" s="40" t="s">
        <v>1362</v>
      </c>
    </row>
    <row r="145" spans="12:15" x14ac:dyDescent="0.15">
      <c r="L145" s="40" t="s">
        <v>469</v>
      </c>
      <c r="M145" s="40" t="s">
        <v>719</v>
      </c>
      <c r="O145" s="40" t="s">
        <v>1363</v>
      </c>
    </row>
    <row r="146" spans="12:15" x14ac:dyDescent="0.15">
      <c r="L146" s="40" t="s">
        <v>470</v>
      </c>
      <c r="M146" s="40" t="s">
        <v>720</v>
      </c>
      <c r="O146" s="40" t="s">
        <v>1364</v>
      </c>
    </row>
    <row r="147" spans="12:15" x14ac:dyDescent="0.15">
      <c r="L147" s="40" t="s">
        <v>471</v>
      </c>
      <c r="M147" s="40" t="s">
        <v>721</v>
      </c>
      <c r="O147" s="40" t="s">
        <v>1365</v>
      </c>
    </row>
    <row r="148" spans="12:15" x14ac:dyDescent="0.15">
      <c r="L148" s="40" t="s">
        <v>472</v>
      </c>
      <c r="M148" s="40" t="s">
        <v>722</v>
      </c>
      <c r="O148" s="40" t="s">
        <v>1366</v>
      </c>
    </row>
    <row r="149" spans="12:15" x14ac:dyDescent="0.15">
      <c r="L149" s="40" t="s">
        <v>473</v>
      </c>
      <c r="M149" s="40" t="s">
        <v>723</v>
      </c>
      <c r="O149" s="40" t="s">
        <v>1367</v>
      </c>
    </row>
    <row r="150" spans="12:15" x14ac:dyDescent="0.15">
      <c r="L150" s="40" t="s">
        <v>474</v>
      </c>
      <c r="M150" s="40" t="s">
        <v>724</v>
      </c>
      <c r="O150" s="40" t="s">
        <v>1368</v>
      </c>
    </row>
    <row r="151" spans="12:15" x14ac:dyDescent="0.15">
      <c r="L151" s="40" t="s">
        <v>475</v>
      </c>
      <c r="M151" s="40" t="s">
        <v>725</v>
      </c>
      <c r="O151" s="40" t="s">
        <v>1369</v>
      </c>
    </row>
    <row r="152" spans="12:15" x14ac:dyDescent="0.15">
      <c r="L152" s="40" t="s">
        <v>476</v>
      </c>
      <c r="M152" s="40" t="s">
        <v>726</v>
      </c>
      <c r="O152" s="40" t="s">
        <v>1370</v>
      </c>
    </row>
    <row r="153" spans="12:15" x14ac:dyDescent="0.15">
      <c r="L153" s="40" t="s">
        <v>477</v>
      </c>
      <c r="M153" s="40" t="s">
        <v>727</v>
      </c>
      <c r="O153" s="40" t="s">
        <v>1371</v>
      </c>
    </row>
    <row r="154" spans="12:15" x14ac:dyDescent="0.15">
      <c r="L154" s="40" t="s">
        <v>478</v>
      </c>
      <c r="M154" s="40" t="s">
        <v>728</v>
      </c>
      <c r="O154" s="40" t="s">
        <v>1372</v>
      </c>
    </row>
    <row r="155" spans="12:15" x14ac:dyDescent="0.15">
      <c r="L155" s="40" t="s">
        <v>479</v>
      </c>
      <c r="M155" s="40" t="s">
        <v>729</v>
      </c>
      <c r="O155" s="40" t="s">
        <v>1373</v>
      </c>
    </row>
    <row r="156" spans="12:15" x14ac:dyDescent="0.15">
      <c r="L156" s="40" t="s">
        <v>480</v>
      </c>
      <c r="M156" s="40" t="s">
        <v>730</v>
      </c>
      <c r="O156" s="40" t="s">
        <v>1374</v>
      </c>
    </row>
    <row r="157" spans="12:15" x14ac:dyDescent="0.15">
      <c r="L157" s="40" t="s">
        <v>481</v>
      </c>
      <c r="M157" s="40" t="s">
        <v>731</v>
      </c>
      <c r="O157" s="40" t="s">
        <v>1375</v>
      </c>
    </row>
    <row r="158" spans="12:15" x14ac:dyDescent="0.15">
      <c r="L158" s="40" t="s">
        <v>482</v>
      </c>
      <c r="M158" s="40" t="s">
        <v>732</v>
      </c>
      <c r="O158" s="40" t="s">
        <v>1376</v>
      </c>
    </row>
    <row r="159" spans="12:15" x14ac:dyDescent="0.15">
      <c r="L159" s="40" t="s">
        <v>483</v>
      </c>
      <c r="M159" s="40" t="s">
        <v>733</v>
      </c>
      <c r="O159" s="40" t="s">
        <v>1377</v>
      </c>
    </row>
    <row r="160" spans="12:15" x14ac:dyDescent="0.15">
      <c r="L160" s="40" t="s">
        <v>484</v>
      </c>
      <c r="M160" s="40" t="s">
        <v>734</v>
      </c>
      <c r="O160" s="40" t="s">
        <v>1378</v>
      </c>
    </row>
    <row r="161" spans="12:15" x14ac:dyDescent="0.15">
      <c r="L161" s="40" t="s">
        <v>485</v>
      </c>
      <c r="M161" s="40" t="s">
        <v>735</v>
      </c>
      <c r="O161" s="40" t="s">
        <v>1379</v>
      </c>
    </row>
    <row r="162" spans="12:15" ht="24" x14ac:dyDescent="0.15">
      <c r="L162" s="41" t="s">
        <v>486</v>
      </c>
      <c r="M162" s="40" t="s">
        <v>736</v>
      </c>
      <c r="O162" s="40" t="s">
        <v>1380</v>
      </c>
    </row>
    <row r="163" spans="12:15" x14ac:dyDescent="0.15">
      <c r="L163" s="40" t="s">
        <v>487</v>
      </c>
      <c r="M163" s="40" t="s">
        <v>737</v>
      </c>
      <c r="O163" s="40" t="s">
        <v>1381</v>
      </c>
    </row>
    <row r="164" spans="12:15" x14ac:dyDescent="0.15">
      <c r="L164" s="40" t="s">
        <v>488</v>
      </c>
      <c r="M164" s="40" t="s">
        <v>738</v>
      </c>
      <c r="O164" s="40" t="s">
        <v>1382</v>
      </c>
    </row>
    <row r="165" spans="12:15" ht="24" x14ac:dyDescent="0.15">
      <c r="L165" s="41" t="s">
        <v>489</v>
      </c>
      <c r="M165" s="40" t="s">
        <v>738</v>
      </c>
      <c r="O165" s="40" t="s">
        <v>1383</v>
      </c>
    </row>
    <row r="166" spans="12:15" x14ac:dyDescent="0.15">
      <c r="L166" s="40" t="s">
        <v>490</v>
      </c>
      <c r="M166" s="40" t="s">
        <v>738</v>
      </c>
      <c r="O166" s="40" t="s">
        <v>1384</v>
      </c>
    </row>
    <row r="167" spans="12:15" x14ac:dyDescent="0.15">
      <c r="L167" s="40" t="s">
        <v>491</v>
      </c>
      <c r="M167" s="40" t="s">
        <v>739</v>
      </c>
      <c r="O167" s="40" t="s">
        <v>1385</v>
      </c>
    </row>
    <row r="168" spans="12:15" x14ac:dyDescent="0.15">
      <c r="L168" s="40" t="s">
        <v>492</v>
      </c>
      <c r="M168" s="40" t="s">
        <v>740</v>
      </c>
      <c r="O168" s="40" t="s">
        <v>1386</v>
      </c>
    </row>
    <row r="169" spans="12:15" x14ac:dyDescent="0.15">
      <c r="L169" s="40" t="s">
        <v>493</v>
      </c>
      <c r="M169" s="40" t="s">
        <v>741</v>
      </c>
      <c r="O169" s="40" t="s">
        <v>1387</v>
      </c>
    </row>
    <row r="170" spans="12:15" x14ac:dyDescent="0.15">
      <c r="L170" s="40" t="s">
        <v>494</v>
      </c>
      <c r="M170" s="40" t="s">
        <v>742</v>
      </c>
      <c r="O170" s="40" t="s">
        <v>1388</v>
      </c>
    </row>
    <row r="171" spans="12:15" x14ac:dyDescent="0.15">
      <c r="L171" s="40" t="s">
        <v>495</v>
      </c>
      <c r="M171" s="40" t="s">
        <v>743</v>
      </c>
      <c r="O171" s="40" t="s">
        <v>1389</v>
      </c>
    </row>
    <row r="172" spans="12:15" x14ac:dyDescent="0.15">
      <c r="L172" s="41" t="s">
        <v>496</v>
      </c>
      <c r="M172" s="40" t="s">
        <v>744</v>
      </c>
      <c r="O172" s="40" t="s">
        <v>1390</v>
      </c>
    </row>
    <row r="173" spans="12:15" x14ac:dyDescent="0.15">
      <c r="L173" s="40" t="s">
        <v>497</v>
      </c>
      <c r="M173" s="40" t="s">
        <v>745</v>
      </c>
      <c r="O173" s="40" t="s">
        <v>1391</v>
      </c>
    </row>
    <row r="174" spans="12:15" x14ac:dyDescent="0.15">
      <c r="L174" s="40" t="s">
        <v>498</v>
      </c>
      <c r="M174" s="40" t="s">
        <v>746</v>
      </c>
      <c r="O174" s="40" t="s">
        <v>1392</v>
      </c>
    </row>
    <row r="175" spans="12:15" ht="36" x14ac:dyDescent="0.15">
      <c r="L175" s="41" t="s">
        <v>499</v>
      </c>
      <c r="M175" s="40" t="s">
        <v>747</v>
      </c>
      <c r="O175" s="40" t="s">
        <v>1393</v>
      </c>
    </row>
    <row r="176" spans="12:15" x14ac:dyDescent="0.15">
      <c r="L176" s="40" t="s">
        <v>500</v>
      </c>
      <c r="M176" s="40" t="s">
        <v>748</v>
      </c>
      <c r="O176" s="40" t="s">
        <v>1394</v>
      </c>
    </row>
    <row r="177" spans="12:15" x14ac:dyDescent="0.15">
      <c r="L177" s="40" t="s">
        <v>501</v>
      </c>
      <c r="M177" s="40" t="s">
        <v>749</v>
      </c>
      <c r="O177" s="40" t="s">
        <v>1395</v>
      </c>
    </row>
    <row r="178" spans="12:15" x14ac:dyDescent="0.15">
      <c r="L178" s="40" t="s">
        <v>502</v>
      </c>
      <c r="M178" s="40" t="s">
        <v>750</v>
      </c>
      <c r="O178" s="40" t="s">
        <v>1396</v>
      </c>
    </row>
    <row r="179" spans="12:15" x14ac:dyDescent="0.15">
      <c r="L179" s="40" t="s">
        <v>503</v>
      </c>
      <c r="M179" s="40" t="s">
        <v>751</v>
      </c>
      <c r="O179" s="40" t="s">
        <v>1397</v>
      </c>
    </row>
    <row r="180" spans="12:15" x14ac:dyDescent="0.15">
      <c r="L180" s="40" t="s">
        <v>504</v>
      </c>
      <c r="M180" s="40" t="s">
        <v>752</v>
      </c>
      <c r="O180" s="40" t="s">
        <v>1398</v>
      </c>
    </row>
    <row r="181" spans="12:15" x14ac:dyDescent="0.15">
      <c r="L181" s="40" t="s">
        <v>505</v>
      </c>
      <c r="M181" s="40" t="s">
        <v>753</v>
      </c>
      <c r="O181" s="40" t="s">
        <v>1399</v>
      </c>
    </row>
    <row r="182" spans="12:15" x14ac:dyDescent="0.15">
      <c r="L182" s="40" t="s">
        <v>506</v>
      </c>
      <c r="M182" s="40" t="s">
        <v>754</v>
      </c>
      <c r="O182" s="40" t="s">
        <v>1400</v>
      </c>
    </row>
    <row r="183" spans="12:15" x14ac:dyDescent="0.15">
      <c r="L183" s="40" t="s">
        <v>507</v>
      </c>
      <c r="M183" s="40" t="s">
        <v>755</v>
      </c>
      <c r="O183" s="40" t="s">
        <v>1401</v>
      </c>
    </row>
    <row r="184" spans="12:15" x14ac:dyDescent="0.15">
      <c r="L184" s="40" t="s">
        <v>508</v>
      </c>
      <c r="M184" s="40" t="s">
        <v>756</v>
      </c>
      <c r="O184" s="40" t="s">
        <v>1402</v>
      </c>
    </row>
    <row r="185" spans="12:15" x14ac:dyDescent="0.15">
      <c r="L185" s="40" t="s">
        <v>509</v>
      </c>
      <c r="M185" s="40" t="s">
        <v>757</v>
      </c>
      <c r="O185" s="40" t="s">
        <v>1403</v>
      </c>
    </row>
    <row r="186" spans="12:15" x14ac:dyDescent="0.15">
      <c r="L186" s="40" t="s">
        <v>1156</v>
      </c>
      <c r="M186" s="40" t="s">
        <v>757</v>
      </c>
      <c r="O186" s="40" t="s">
        <v>1404</v>
      </c>
    </row>
    <row r="187" spans="12:15" x14ac:dyDescent="0.15">
      <c r="L187" s="40" t="s">
        <v>510</v>
      </c>
      <c r="M187" s="40" t="s">
        <v>757</v>
      </c>
      <c r="O187" s="40" t="s">
        <v>1405</v>
      </c>
    </row>
    <row r="188" spans="12:15" x14ac:dyDescent="0.15">
      <c r="L188" s="40" t="s">
        <v>511</v>
      </c>
      <c r="M188" s="40" t="s">
        <v>758</v>
      </c>
      <c r="O188" s="40" t="s">
        <v>1406</v>
      </c>
    </row>
    <row r="189" spans="12:15" x14ac:dyDescent="0.15">
      <c r="L189" s="40" t="s">
        <v>512</v>
      </c>
      <c r="M189" s="40" t="s">
        <v>759</v>
      </c>
      <c r="O189" s="40" t="s">
        <v>1407</v>
      </c>
    </row>
    <row r="190" spans="12:15" x14ac:dyDescent="0.15">
      <c r="L190" s="40" t="s">
        <v>513</v>
      </c>
      <c r="M190" s="40" t="s">
        <v>760</v>
      </c>
      <c r="O190" s="40" t="s">
        <v>1408</v>
      </c>
    </row>
    <row r="191" spans="12:15" x14ac:dyDescent="0.15">
      <c r="L191" s="40" t="s">
        <v>514</v>
      </c>
      <c r="M191" s="40" t="s">
        <v>761</v>
      </c>
      <c r="O191" s="40" t="s">
        <v>1409</v>
      </c>
    </row>
    <row r="192" spans="12:15" x14ac:dyDescent="0.15">
      <c r="L192" s="40" t="s">
        <v>515</v>
      </c>
      <c r="M192" s="40" t="s">
        <v>762</v>
      </c>
      <c r="O192" s="40" t="s">
        <v>1410</v>
      </c>
    </row>
    <row r="193" spans="12:15" x14ac:dyDescent="0.15">
      <c r="L193" s="40" t="s">
        <v>516</v>
      </c>
      <c r="M193" s="40" t="s">
        <v>763</v>
      </c>
      <c r="O193" s="40" t="s">
        <v>1411</v>
      </c>
    </row>
    <row r="194" spans="12:15" x14ac:dyDescent="0.15">
      <c r="L194" s="40" t="s">
        <v>517</v>
      </c>
      <c r="M194" s="40" t="s">
        <v>764</v>
      </c>
      <c r="O194" s="40" t="s">
        <v>1412</v>
      </c>
    </row>
    <row r="195" spans="12:15" x14ac:dyDescent="0.15">
      <c r="L195" s="40" t="s">
        <v>518</v>
      </c>
      <c r="M195" s="40" t="s">
        <v>765</v>
      </c>
      <c r="O195" s="40" t="s">
        <v>1413</v>
      </c>
    </row>
    <row r="196" spans="12:15" x14ac:dyDescent="0.15">
      <c r="L196" s="40" t="s">
        <v>519</v>
      </c>
      <c r="M196" s="40" t="s">
        <v>766</v>
      </c>
      <c r="O196" s="40" t="s">
        <v>1414</v>
      </c>
    </row>
    <row r="197" spans="12:15" x14ac:dyDescent="0.15">
      <c r="L197" s="40" t="s">
        <v>520</v>
      </c>
      <c r="M197" s="40" t="s">
        <v>767</v>
      </c>
      <c r="O197" s="40" t="s">
        <v>1415</v>
      </c>
    </row>
    <row r="198" spans="12:15" x14ac:dyDescent="0.15">
      <c r="L198" s="40" t="s">
        <v>521</v>
      </c>
      <c r="M198" s="40" t="s">
        <v>768</v>
      </c>
      <c r="O198" s="40" t="s">
        <v>1416</v>
      </c>
    </row>
    <row r="199" spans="12:15" x14ac:dyDescent="0.15">
      <c r="L199" s="40" t="s">
        <v>522</v>
      </c>
      <c r="M199" s="40" t="s">
        <v>769</v>
      </c>
      <c r="O199" s="40" t="s">
        <v>1417</v>
      </c>
    </row>
    <row r="200" spans="12:15" x14ac:dyDescent="0.15">
      <c r="L200" s="40" t="s">
        <v>523</v>
      </c>
      <c r="M200" s="40" t="s">
        <v>769</v>
      </c>
      <c r="O200" s="40" t="s">
        <v>1418</v>
      </c>
    </row>
    <row r="201" spans="12:15" x14ac:dyDescent="0.15">
      <c r="L201" s="40" t="s">
        <v>524</v>
      </c>
      <c r="M201" s="40" t="s">
        <v>769</v>
      </c>
      <c r="O201" s="40" t="s">
        <v>1419</v>
      </c>
    </row>
    <row r="202" spans="12:15" x14ac:dyDescent="0.15">
      <c r="L202" s="40" t="s">
        <v>525</v>
      </c>
      <c r="M202" s="40" t="s">
        <v>770</v>
      </c>
      <c r="O202" s="40" t="s">
        <v>1420</v>
      </c>
    </row>
    <row r="203" spans="12:15" x14ac:dyDescent="0.15">
      <c r="L203" s="40" t="s">
        <v>526</v>
      </c>
      <c r="M203" s="40" t="s">
        <v>771</v>
      </c>
      <c r="O203" s="40" t="s">
        <v>1421</v>
      </c>
    </row>
    <row r="204" spans="12:15" x14ac:dyDescent="0.15">
      <c r="L204" s="40" t="s">
        <v>527</v>
      </c>
      <c r="M204" s="40" t="s">
        <v>772</v>
      </c>
      <c r="O204" s="40" t="s">
        <v>1422</v>
      </c>
    </row>
    <row r="205" spans="12:15" x14ac:dyDescent="0.15">
      <c r="L205" s="40" t="s">
        <v>528</v>
      </c>
      <c r="M205" s="40" t="s">
        <v>773</v>
      </c>
      <c r="O205" s="40" t="s">
        <v>1423</v>
      </c>
    </row>
    <row r="206" spans="12:15" x14ac:dyDescent="0.15">
      <c r="L206" s="40" t="s">
        <v>529</v>
      </c>
      <c r="M206" s="40" t="s">
        <v>774</v>
      </c>
      <c r="O206" s="40" t="s">
        <v>1424</v>
      </c>
    </row>
    <row r="207" spans="12:15" x14ac:dyDescent="0.15">
      <c r="L207" s="40" t="s">
        <v>530</v>
      </c>
      <c r="M207" s="40" t="s">
        <v>775</v>
      </c>
      <c r="O207" s="40" t="s">
        <v>1425</v>
      </c>
    </row>
    <row r="208" spans="12:15" x14ac:dyDescent="0.15">
      <c r="L208" s="40" t="s">
        <v>531</v>
      </c>
      <c r="M208" s="40" t="s">
        <v>776</v>
      </c>
      <c r="O208" s="40" t="s">
        <v>1426</v>
      </c>
    </row>
    <row r="209" spans="12:15" x14ac:dyDescent="0.15">
      <c r="L209" s="40" t="s">
        <v>532</v>
      </c>
      <c r="M209" s="40" t="s">
        <v>777</v>
      </c>
      <c r="O209" s="40" t="s">
        <v>1427</v>
      </c>
    </row>
    <row r="210" spans="12:15" x14ac:dyDescent="0.15">
      <c r="L210" s="40" t="s">
        <v>533</v>
      </c>
      <c r="M210" s="40" t="s">
        <v>778</v>
      </c>
      <c r="O210" s="40" t="s">
        <v>1428</v>
      </c>
    </row>
    <row r="211" spans="12:15" x14ac:dyDescent="0.15">
      <c r="L211" s="40" t="s">
        <v>534</v>
      </c>
      <c r="M211" s="40" t="s">
        <v>779</v>
      </c>
      <c r="O211" s="40" t="s">
        <v>1429</v>
      </c>
    </row>
    <row r="212" spans="12:15" x14ac:dyDescent="0.15">
      <c r="L212" s="40" t="s">
        <v>535</v>
      </c>
      <c r="M212" s="40" t="s">
        <v>780</v>
      </c>
      <c r="O212" s="40" t="s">
        <v>1430</v>
      </c>
    </row>
    <row r="213" spans="12:15" x14ac:dyDescent="0.15">
      <c r="L213" s="40" t="s">
        <v>536</v>
      </c>
      <c r="M213" s="40" t="s">
        <v>781</v>
      </c>
      <c r="O213" s="40" t="s">
        <v>1431</v>
      </c>
    </row>
    <row r="214" spans="12:15" x14ac:dyDescent="0.15">
      <c r="L214" s="40" t="s">
        <v>537</v>
      </c>
      <c r="M214" s="40" t="s">
        <v>782</v>
      </c>
      <c r="O214" s="40" t="s">
        <v>1432</v>
      </c>
    </row>
    <row r="215" spans="12:15" x14ac:dyDescent="0.15">
      <c r="L215" s="40" t="s">
        <v>538</v>
      </c>
      <c r="M215" s="40" t="s">
        <v>783</v>
      </c>
      <c r="O215" s="40" t="s">
        <v>1433</v>
      </c>
    </row>
    <row r="216" spans="12:15" x14ac:dyDescent="0.15">
      <c r="L216" s="40" t="s">
        <v>539</v>
      </c>
      <c r="M216" s="40" t="s">
        <v>784</v>
      </c>
      <c r="O216" s="40" t="s">
        <v>1434</v>
      </c>
    </row>
    <row r="217" spans="12:15" x14ac:dyDescent="0.15">
      <c r="L217" s="40" t="s">
        <v>540</v>
      </c>
      <c r="M217" s="40" t="s">
        <v>785</v>
      </c>
      <c r="O217" s="40" t="s">
        <v>1435</v>
      </c>
    </row>
    <row r="218" spans="12:15" x14ac:dyDescent="0.15">
      <c r="L218" s="40" t="s">
        <v>541</v>
      </c>
      <c r="M218" s="40" t="s">
        <v>786</v>
      </c>
      <c r="O218" s="40" t="s">
        <v>1436</v>
      </c>
    </row>
    <row r="219" spans="12:15" x14ac:dyDescent="0.15">
      <c r="L219" s="40" t="s">
        <v>542</v>
      </c>
      <c r="M219" s="40" t="s">
        <v>787</v>
      </c>
      <c r="O219" s="40" t="s">
        <v>1437</v>
      </c>
    </row>
    <row r="220" spans="12:15" x14ac:dyDescent="0.15">
      <c r="L220" s="40" t="s">
        <v>543</v>
      </c>
      <c r="M220" s="40" t="s">
        <v>788</v>
      </c>
      <c r="O220" s="40" t="s">
        <v>1438</v>
      </c>
    </row>
    <row r="221" spans="12:15" x14ac:dyDescent="0.15">
      <c r="L221" s="40" t="s">
        <v>544</v>
      </c>
      <c r="M221" s="40" t="s">
        <v>789</v>
      </c>
      <c r="O221" s="40" t="s">
        <v>1439</v>
      </c>
    </row>
    <row r="222" spans="12:15" x14ac:dyDescent="0.15">
      <c r="L222" s="40" t="s">
        <v>545</v>
      </c>
      <c r="M222" s="40" t="s">
        <v>790</v>
      </c>
      <c r="O222" s="40" t="s">
        <v>1440</v>
      </c>
    </row>
    <row r="223" spans="12:15" x14ac:dyDescent="0.15">
      <c r="L223" s="40" t="s">
        <v>546</v>
      </c>
      <c r="M223" s="40" t="s">
        <v>791</v>
      </c>
      <c r="O223" s="40" t="s">
        <v>1441</v>
      </c>
    </row>
    <row r="224" spans="12:15" x14ac:dyDescent="0.15">
      <c r="L224" s="40" t="s">
        <v>547</v>
      </c>
      <c r="M224" s="40" t="s">
        <v>792</v>
      </c>
      <c r="O224" s="40" t="s">
        <v>1442</v>
      </c>
    </row>
    <row r="225" spans="12:15" x14ac:dyDescent="0.15">
      <c r="L225" s="40" t="s">
        <v>548</v>
      </c>
      <c r="M225" s="40" t="s">
        <v>793</v>
      </c>
      <c r="O225" s="40" t="s">
        <v>1443</v>
      </c>
    </row>
    <row r="226" spans="12:15" x14ac:dyDescent="0.15">
      <c r="L226" s="40" t="s">
        <v>549</v>
      </c>
      <c r="M226" s="40" t="s">
        <v>794</v>
      </c>
      <c r="O226" s="40" t="s">
        <v>1444</v>
      </c>
    </row>
    <row r="227" spans="12:15" x14ac:dyDescent="0.15">
      <c r="L227" s="40" t="s">
        <v>550</v>
      </c>
      <c r="M227" s="40" t="s">
        <v>795</v>
      </c>
      <c r="O227" s="40" t="s">
        <v>1445</v>
      </c>
    </row>
    <row r="228" spans="12:15" x14ac:dyDescent="0.15">
      <c r="L228" s="40" t="s">
        <v>551</v>
      </c>
      <c r="M228" s="40" t="s">
        <v>796</v>
      </c>
      <c r="O228" s="40" t="s">
        <v>1446</v>
      </c>
    </row>
    <row r="229" spans="12:15" x14ac:dyDescent="0.15">
      <c r="L229" s="40" t="s">
        <v>552</v>
      </c>
      <c r="M229" s="40" t="s">
        <v>797</v>
      </c>
      <c r="O229" s="40" t="s">
        <v>1447</v>
      </c>
    </row>
    <row r="230" spans="12:15" x14ac:dyDescent="0.15">
      <c r="L230" s="40" t="s">
        <v>553</v>
      </c>
      <c r="M230" s="40" t="s">
        <v>797</v>
      </c>
      <c r="O230" s="40" t="s">
        <v>1448</v>
      </c>
    </row>
    <row r="231" spans="12:15" x14ac:dyDescent="0.15">
      <c r="L231" s="40" t="s">
        <v>554</v>
      </c>
      <c r="M231" s="40" t="s">
        <v>797</v>
      </c>
      <c r="O231" s="40" t="s">
        <v>1449</v>
      </c>
    </row>
    <row r="232" spans="12:15" x14ac:dyDescent="0.15">
      <c r="L232" s="40" t="s">
        <v>555</v>
      </c>
      <c r="M232" s="40" t="s">
        <v>798</v>
      </c>
      <c r="O232" s="40" t="s">
        <v>1450</v>
      </c>
    </row>
    <row r="233" spans="12:15" x14ac:dyDescent="0.15">
      <c r="L233" s="40" t="s">
        <v>556</v>
      </c>
      <c r="M233" s="40" t="s">
        <v>799</v>
      </c>
      <c r="O233" s="40" t="s">
        <v>1451</v>
      </c>
    </row>
    <row r="234" spans="12:15" x14ac:dyDescent="0.15">
      <c r="L234" s="40" t="s">
        <v>557</v>
      </c>
      <c r="M234" s="40" t="s">
        <v>800</v>
      </c>
      <c r="O234" s="40" t="s">
        <v>1452</v>
      </c>
    </row>
    <row r="235" spans="12:15" x14ac:dyDescent="0.15">
      <c r="L235" s="40" t="s">
        <v>558</v>
      </c>
      <c r="M235" s="40" t="s">
        <v>801</v>
      </c>
      <c r="O235" s="40" t="s">
        <v>1453</v>
      </c>
    </row>
    <row r="236" spans="12:15" x14ac:dyDescent="0.15">
      <c r="L236" s="40" t="s">
        <v>559</v>
      </c>
      <c r="M236" s="40" t="s">
        <v>802</v>
      </c>
      <c r="O236" s="40" t="s">
        <v>1454</v>
      </c>
    </row>
    <row r="237" spans="12:15" x14ac:dyDescent="0.15">
      <c r="L237" s="40" t="s">
        <v>560</v>
      </c>
      <c r="M237" s="40" t="s">
        <v>803</v>
      </c>
    </row>
    <row r="238" spans="12:15" x14ac:dyDescent="0.15">
      <c r="L238" s="40" t="s">
        <v>561</v>
      </c>
      <c r="M238" s="40" t="s">
        <v>804</v>
      </c>
    </row>
    <row r="239" spans="12:15" x14ac:dyDescent="0.15">
      <c r="L239" s="40" t="s">
        <v>562</v>
      </c>
      <c r="M239" s="40" t="s">
        <v>805</v>
      </c>
    </row>
    <row r="240" spans="12:15" x14ac:dyDescent="0.15">
      <c r="L240" s="40" t="s">
        <v>563</v>
      </c>
      <c r="M240" s="40" t="s">
        <v>806</v>
      </c>
    </row>
    <row r="241" spans="12:13" x14ac:dyDescent="0.15">
      <c r="L241" s="40" t="s">
        <v>564</v>
      </c>
      <c r="M241" s="40" t="s">
        <v>807</v>
      </c>
    </row>
    <row r="242" spans="12:13" x14ac:dyDescent="0.15">
      <c r="L242" s="40" t="s">
        <v>565</v>
      </c>
      <c r="M242" s="40" t="s">
        <v>808</v>
      </c>
    </row>
    <row r="243" spans="12:13" x14ac:dyDescent="0.15">
      <c r="L243" s="40" t="s">
        <v>566</v>
      </c>
      <c r="M243" s="40" t="s">
        <v>809</v>
      </c>
    </row>
    <row r="244" spans="12:13" x14ac:dyDescent="0.15">
      <c r="L244" s="40" t="s">
        <v>1157</v>
      </c>
      <c r="M244" s="40" t="s">
        <v>809</v>
      </c>
    </row>
    <row r="245" spans="12:13" x14ac:dyDescent="0.15">
      <c r="L245" s="40" t="s">
        <v>567</v>
      </c>
      <c r="M245" s="40" t="s">
        <v>809</v>
      </c>
    </row>
    <row r="246" spans="12:13" x14ac:dyDescent="0.15">
      <c r="L246" s="40" t="s">
        <v>568</v>
      </c>
      <c r="M246" s="40" t="s">
        <v>810</v>
      </c>
    </row>
    <row r="247" spans="12:13" x14ac:dyDescent="0.15">
      <c r="L247" s="40" t="s">
        <v>569</v>
      </c>
      <c r="M247" s="40" t="s">
        <v>811</v>
      </c>
    </row>
    <row r="248" spans="12:13" x14ac:dyDescent="0.15">
      <c r="L248" s="40" t="s">
        <v>570</v>
      </c>
      <c r="M248" s="40" t="s">
        <v>812</v>
      </c>
    </row>
    <row r="249" spans="12:13" x14ac:dyDescent="0.15">
      <c r="L249" s="40" t="s">
        <v>571</v>
      </c>
      <c r="M249" s="40" t="s">
        <v>813</v>
      </c>
    </row>
    <row r="250" spans="12:13" x14ac:dyDescent="0.15">
      <c r="L250" s="40" t="s">
        <v>572</v>
      </c>
      <c r="M250" s="40" t="s">
        <v>814</v>
      </c>
    </row>
    <row r="251" spans="12:13" x14ac:dyDescent="0.15">
      <c r="L251" s="40" t="s">
        <v>573</v>
      </c>
      <c r="M251" s="40" t="s">
        <v>815</v>
      </c>
    </row>
    <row r="252" spans="12:13" x14ac:dyDescent="0.15">
      <c r="L252" s="40" t="s">
        <v>574</v>
      </c>
      <c r="M252" s="40" t="s">
        <v>816</v>
      </c>
    </row>
    <row r="253" spans="12:13" x14ac:dyDescent="0.15">
      <c r="L253" s="40" t="s">
        <v>575</v>
      </c>
      <c r="M253" s="40" t="s">
        <v>817</v>
      </c>
    </row>
    <row r="254" spans="12:13" x14ac:dyDescent="0.15">
      <c r="L254" s="40" t="s">
        <v>576</v>
      </c>
      <c r="M254" s="40" t="s">
        <v>818</v>
      </c>
    </row>
    <row r="255" spans="12:13" x14ac:dyDescent="0.15">
      <c r="L255" s="40" t="s">
        <v>577</v>
      </c>
      <c r="M255" s="40" t="s">
        <v>819</v>
      </c>
    </row>
    <row r="256" spans="12:13" x14ac:dyDescent="0.15">
      <c r="L256" s="40" t="s">
        <v>578</v>
      </c>
      <c r="M256" s="40" t="s">
        <v>820</v>
      </c>
    </row>
    <row r="257" spans="12:13" x14ac:dyDescent="0.15">
      <c r="L257" s="40" t="s">
        <v>579</v>
      </c>
      <c r="M257" s="40" t="s">
        <v>820</v>
      </c>
    </row>
    <row r="258" spans="12:13" x14ac:dyDescent="0.15">
      <c r="L258" s="40" t="s">
        <v>1161</v>
      </c>
      <c r="M258" s="40" t="s">
        <v>861</v>
      </c>
    </row>
    <row r="259" spans="12:13" x14ac:dyDescent="0.15">
      <c r="L259" s="40" t="s">
        <v>1162</v>
      </c>
      <c r="M259" s="40" t="s">
        <v>862</v>
      </c>
    </row>
    <row r="260" spans="12:13" x14ac:dyDescent="0.15">
      <c r="L260" s="40" t="s">
        <v>1163</v>
      </c>
      <c r="M260" s="40" t="s">
        <v>863</v>
      </c>
    </row>
    <row r="261" spans="12:13" x14ac:dyDescent="0.15">
      <c r="L261" s="40" t="s">
        <v>1164</v>
      </c>
      <c r="M261" s="40" t="s">
        <v>864</v>
      </c>
    </row>
    <row r="262" spans="12:13" x14ac:dyDescent="0.15">
      <c r="L262" s="40" t="s">
        <v>1165</v>
      </c>
      <c r="M262" s="40" t="s">
        <v>865</v>
      </c>
    </row>
    <row r="263" spans="12:13" x14ac:dyDescent="0.15">
      <c r="L263" s="40" t="s">
        <v>821</v>
      </c>
      <c r="M263" s="40" t="s">
        <v>866</v>
      </c>
    </row>
    <row r="264" spans="12:13" x14ac:dyDescent="0.15">
      <c r="L264" s="40" t="s">
        <v>1166</v>
      </c>
      <c r="M264" s="40" t="s">
        <v>867</v>
      </c>
    </row>
    <row r="265" spans="12:13" x14ac:dyDescent="0.15">
      <c r="L265" s="40" t="s">
        <v>822</v>
      </c>
      <c r="M265" s="40" t="s">
        <v>868</v>
      </c>
    </row>
    <row r="266" spans="12:13" x14ac:dyDescent="0.15">
      <c r="L266" s="40" t="s">
        <v>823</v>
      </c>
      <c r="M266" s="40" t="s">
        <v>869</v>
      </c>
    </row>
    <row r="267" spans="12:13" x14ac:dyDescent="0.15">
      <c r="L267" s="40" t="s">
        <v>824</v>
      </c>
      <c r="M267" s="40" t="s">
        <v>870</v>
      </c>
    </row>
    <row r="268" spans="12:13" x14ac:dyDescent="0.15">
      <c r="L268" s="40" t="s">
        <v>825</v>
      </c>
      <c r="M268" s="40" t="s">
        <v>871</v>
      </c>
    </row>
    <row r="269" spans="12:13" x14ac:dyDescent="0.15">
      <c r="L269" s="40" t="s">
        <v>1167</v>
      </c>
      <c r="M269" s="40" t="s">
        <v>872</v>
      </c>
    </row>
    <row r="270" spans="12:13" x14ac:dyDescent="0.15">
      <c r="L270" s="40" t="s">
        <v>826</v>
      </c>
      <c r="M270" s="40" t="s">
        <v>873</v>
      </c>
    </row>
    <row r="271" spans="12:13" x14ac:dyDescent="0.15">
      <c r="L271" s="40" t="s">
        <v>827</v>
      </c>
      <c r="M271" s="40" t="s">
        <v>874</v>
      </c>
    </row>
    <row r="272" spans="12:13" x14ac:dyDescent="0.15">
      <c r="L272" s="40" t="s">
        <v>828</v>
      </c>
      <c r="M272" s="40" t="s">
        <v>875</v>
      </c>
    </row>
    <row r="273" spans="12:13" x14ac:dyDescent="0.15">
      <c r="L273" s="40" t="s">
        <v>829</v>
      </c>
      <c r="M273" s="40" t="s">
        <v>875</v>
      </c>
    </row>
    <row r="274" spans="12:13" x14ac:dyDescent="0.15">
      <c r="L274" s="40" t="s">
        <v>830</v>
      </c>
      <c r="M274" s="40" t="s">
        <v>876</v>
      </c>
    </row>
    <row r="275" spans="12:13" x14ac:dyDescent="0.15">
      <c r="L275" s="40" t="s">
        <v>831</v>
      </c>
      <c r="M275" s="40" t="s">
        <v>877</v>
      </c>
    </row>
    <row r="276" spans="12:13" x14ac:dyDescent="0.15">
      <c r="L276" s="40" t="s">
        <v>832</v>
      </c>
      <c r="M276" s="40" t="s">
        <v>878</v>
      </c>
    </row>
    <row r="277" spans="12:13" x14ac:dyDescent="0.15">
      <c r="L277" s="40" t="s">
        <v>833</v>
      </c>
      <c r="M277" s="40" t="s">
        <v>879</v>
      </c>
    </row>
    <row r="278" spans="12:13" x14ac:dyDescent="0.15">
      <c r="L278" s="40" t="s">
        <v>834</v>
      </c>
      <c r="M278" s="40" t="s">
        <v>880</v>
      </c>
    </row>
    <row r="279" spans="12:13" x14ac:dyDescent="0.15">
      <c r="L279" s="40" t="s">
        <v>835</v>
      </c>
      <c r="M279" s="40" t="s">
        <v>881</v>
      </c>
    </row>
    <row r="280" spans="12:13" x14ac:dyDescent="0.15">
      <c r="L280" s="40" t="s">
        <v>836</v>
      </c>
      <c r="M280" s="40" t="s">
        <v>882</v>
      </c>
    </row>
    <row r="281" spans="12:13" x14ac:dyDescent="0.15">
      <c r="L281" s="40" t="s">
        <v>837</v>
      </c>
      <c r="M281" s="40" t="s">
        <v>883</v>
      </c>
    </row>
    <row r="282" spans="12:13" x14ac:dyDescent="0.15">
      <c r="L282" s="40" t="s">
        <v>838</v>
      </c>
      <c r="M282" s="40" t="s">
        <v>884</v>
      </c>
    </row>
    <row r="283" spans="12:13" x14ac:dyDescent="0.15">
      <c r="L283" s="40" t="s">
        <v>839</v>
      </c>
      <c r="M283" s="40" t="s">
        <v>885</v>
      </c>
    </row>
    <row r="284" spans="12:13" x14ac:dyDescent="0.15">
      <c r="L284" s="40" t="s">
        <v>840</v>
      </c>
      <c r="M284" s="40" t="s">
        <v>886</v>
      </c>
    </row>
    <row r="285" spans="12:13" x14ac:dyDescent="0.15">
      <c r="L285" s="40" t="s">
        <v>841</v>
      </c>
      <c r="M285" s="40" t="s">
        <v>887</v>
      </c>
    </row>
    <row r="286" spans="12:13" x14ac:dyDescent="0.15">
      <c r="L286" s="40" t="s">
        <v>842</v>
      </c>
      <c r="M286" s="40" t="s">
        <v>887</v>
      </c>
    </row>
    <row r="287" spans="12:13" x14ac:dyDescent="0.15">
      <c r="L287" s="40" t="s">
        <v>843</v>
      </c>
      <c r="M287" s="40" t="s">
        <v>888</v>
      </c>
    </row>
    <row r="288" spans="12:13" x14ac:dyDescent="0.15">
      <c r="L288" s="40" t="s">
        <v>844</v>
      </c>
      <c r="M288" s="40" t="s">
        <v>889</v>
      </c>
    </row>
    <row r="289" spans="12:13" x14ac:dyDescent="0.15">
      <c r="L289" s="40" t="s">
        <v>845</v>
      </c>
      <c r="M289" s="40" t="s">
        <v>890</v>
      </c>
    </row>
    <row r="290" spans="12:13" x14ac:dyDescent="0.15">
      <c r="L290" s="40" t="s">
        <v>846</v>
      </c>
      <c r="M290" s="40" t="s">
        <v>891</v>
      </c>
    </row>
    <row r="291" spans="12:13" x14ac:dyDescent="0.15">
      <c r="L291" s="40" t="s">
        <v>847</v>
      </c>
      <c r="M291" s="40" t="s">
        <v>892</v>
      </c>
    </row>
    <row r="292" spans="12:13" x14ac:dyDescent="0.15">
      <c r="L292" s="40" t="s">
        <v>848</v>
      </c>
      <c r="M292" s="40" t="s">
        <v>893</v>
      </c>
    </row>
    <row r="293" spans="12:13" x14ac:dyDescent="0.15">
      <c r="L293" s="40" t="s">
        <v>849</v>
      </c>
      <c r="M293" s="40" t="s">
        <v>894</v>
      </c>
    </row>
    <row r="294" spans="12:13" x14ac:dyDescent="0.15">
      <c r="L294" s="40" t="s">
        <v>850</v>
      </c>
      <c r="M294" s="40" t="s">
        <v>895</v>
      </c>
    </row>
    <row r="295" spans="12:13" x14ac:dyDescent="0.15">
      <c r="L295" s="40" t="s">
        <v>851</v>
      </c>
      <c r="M295" s="40" t="s">
        <v>896</v>
      </c>
    </row>
    <row r="296" spans="12:13" x14ac:dyDescent="0.15">
      <c r="L296" s="40" t="s">
        <v>852</v>
      </c>
      <c r="M296" s="40" t="s">
        <v>897</v>
      </c>
    </row>
    <row r="297" spans="12:13" x14ac:dyDescent="0.15">
      <c r="L297" s="40" t="s">
        <v>853</v>
      </c>
      <c r="M297" s="40" t="s">
        <v>898</v>
      </c>
    </row>
    <row r="298" spans="12:13" x14ac:dyDescent="0.15">
      <c r="L298" s="40" t="s">
        <v>854</v>
      </c>
      <c r="M298" s="40" t="s">
        <v>899</v>
      </c>
    </row>
    <row r="299" spans="12:13" x14ac:dyDescent="0.15">
      <c r="L299" s="40" t="s">
        <v>855</v>
      </c>
      <c r="M299" s="40" t="s">
        <v>900</v>
      </c>
    </row>
    <row r="300" spans="12:13" x14ac:dyDescent="0.15">
      <c r="L300" s="40" t="s">
        <v>856</v>
      </c>
      <c r="M300" s="40" t="s">
        <v>901</v>
      </c>
    </row>
    <row r="301" spans="12:13" x14ac:dyDescent="0.15">
      <c r="L301" s="40" t="s">
        <v>857</v>
      </c>
      <c r="M301" s="40" t="s">
        <v>902</v>
      </c>
    </row>
    <row r="302" spans="12:13" x14ac:dyDescent="0.15">
      <c r="L302" s="40" t="s">
        <v>858</v>
      </c>
      <c r="M302" s="40" t="s">
        <v>903</v>
      </c>
    </row>
    <row r="303" spans="12:13" x14ac:dyDescent="0.15">
      <c r="L303" s="40" t="s">
        <v>859</v>
      </c>
      <c r="M303" s="40" t="s">
        <v>904</v>
      </c>
    </row>
    <row r="304" spans="12:13" x14ac:dyDescent="0.15">
      <c r="L304" s="40" t="s">
        <v>860</v>
      </c>
      <c r="M304" s="40" t="s">
        <v>905</v>
      </c>
    </row>
    <row r="305" spans="13:13" x14ac:dyDescent="0.15">
      <c r="M305" s="40" t="s">
        <v>906</v>
      </c>
    </row>
    <row r="306" spans="13:13" x14ac:dyDescent="0.15">
      <c r="M306" s="40" t="s">
        <v>907</v>
      </c>
    </row>
    <row r="307" spans="13:13" x14ac:dyDescent="0.15">
      <c r="M307" s="40" t="s">
        <v>908</v>
      </c>
    </row>
    <row r="308" spans="13:13" x14ac:dyDescent="0.15">
      <c r="M308" s="40" t="s">
        <v>909</v>
      </c>
    </row>
    <row r="309" spans="13:13" x14ac:dyDescent="0.15">
      <c r="M309" s="40" t="s">
        <v>910</v>
      </c>
    </row>
    <row r="310" spans="13:13" x14ac:dyDescent="0.15">
      <c r="M310" s="40" t="s">
        <v>911</v>
      </c>
    </row>
    <row r="311" spans="13:13" x14ac:dyDescent="0.15">
      <c r="M311" s="40" t="s">
        <v>912</v>
      </c>
    </row>
    <row r="312" spans="13:13" x14ac:dyDescent="0.15">
      <c r="M312" s="40" t="s">
        <v>913</v>
      </c>
    </row>
    <row r="313" spans="13:13" x14ac:dyDescent="0.15">
      <c r="M313" s="40" t="s">
        <v>913</v>
      </c>
    </row>
    <row r="314" spans="13:13" x14ac:dyDescent="0.15">
      <c r="M314" s="40" t="s">
        <v>914</v>
      </c>
    </row>
    <row r="315" spans="13:13" x14ac:dyDescent="0.15">
      <c r="M315" s="40" t="s">
        <v>915</v>
      </c>
    </row>
    <row r="316" spans="13:13" x14ac:dyDescent="0.15">
      <c r="M316" s="40" t="s">
        <v>916</v>
      </c>
    </row>
    <row r="317" spans="13:13" x14ac:dyDescent="0.15">
      <c r="M317" s="40" t="s">
        <v>917</v>
      </c>
    </row>
    <row r="318" spans="13:13" x14ac:dyDescent="0.15">
      <c r="M318" s="40" t="s">
        <v>918</v>
      </c>
    </row>
    <row r="319" spans="13:13" x14ac:dyDescent="0.15">
      <c r="M319" s="40" t="s">
        <v>919</v>
      </c>
    </row>
    <row r="320" spans="13:13" x14ac:dyDescent="0.15">
      <c r="M320" s="40" t="s">
        <v>920</v>
      </c>
    </row>
    <row r="321" spans="13:13" x14ac:dyDescent="0.15">
      <c r="M321" s="40" t="s">
        <v>920</v>
      </c>
    </row>
    <row r="322" spans="13:13" x14ac:dyDescent="0.15">
      <c r="M322" s="40" t="s">
        <v>921</v>
      </c>
    </row>
    <row r="323" spans="13:13" x14ac:dyDescent="0.15">
      <c r="M323" s="40" t="s">
        <v>922</v>
      </c>
    </row>
    <row r="324" spans="13:13" x14ac:dyDescent="0.15">
      <c r="M324" s="40" t="s">
        <v>923</v>
      </c>
    </row>
    <row r="325" spans="13:13" x14ac:dyDescent="0.15">
      <c r="M325" s="40" t="s">
        <v>924</v>
      </c>
    </row>
    <row r="326" spans="13:13" x14ac:dyDescent="0.15">
      <c r="M326" s="40" t="s">
        <v>925</v>
      </c>
    </row>
    <row r="327" spans="13:13" x14ac:dyDescent="0.15">
      <c r="M327" s="40" t="s">
        <v>926</v>
      </c>
    </row>
    <row r="328" spans="13:13" x14ac:dyDescent="0.15">
      <c r="M328" s="40" t="s">
        <v>927</v>
      </c>
    </row>
    <row r="329" spans="13:13" x14ac:dyDescent="0.15">
      <c r="M329" s="40" t="s">
        <v>928</v>
      </c>
    </row>
    <row r="330" spans="13:13" x14ac:dyDescent="0.15">
      <c r="M330" s="40" t="s">
        <v>929</v>
      </c>
    </row>
    <row r="331" spans="13:13" x14ac:dyDescent="0.15">
      <c r="M331" s="40" t="s">
        <v>930</v>
      </c>
    </row>
    <row r="332" spans="13:13" x14ac:dyDescent="0.15">
      <c r="M332" s="40" t="s">
        <v>931</v>
      </c>
    </row>
    <row r="333" spans="13:13" x14ac:dyDescent="0.15">
      <c r="M333" s="40" t="s">
        <v>932</v>
      </c>
    </row>
    <row r="334" spans="13:13" x14ac:dyDescent="0.15">
      <c r="M334" s="40" t="s">
        <v>933</v>
      </c>
    </row>
    <row r="335" spans="13:13" x14ac:dyDescent="0.15">
      <c r="M335" s="40" t="s">
        <v>934</v>
      </c>
    </row>
    <row r="336" spans="13:13" x14ac:dyDescent="0.15">
      <c r="M336" s="40" t="s">
        <v>935</v>
      </c>
    </row>
    <row r="337" spans="13:13" x14ac:dyDescent="0.15">
      <c r="M337" s="40" t="s">
        <v>936</v>
      </c>
    </row>
    <row r="338" spans="13:13" x14ac:dyDescent="0.15">
      <c r="M338" s="40" t="s">
        <v>937</v>
      </c>
    </row>
    <row r="339" spans="13:13" x14ac:dyDescent="0.15">
      <c r="M339" s="40" t="s">
        <v>938</v>
      </c>
    </row>
    <row r="340" spans="13:13" x14ac:dyDescent="0.15">
      <c r="M340" s="40" t="s">
        <v>939</v>
      </c>
    </row>
    <row r="341" spans="13:13" x14ac:dyDescent="0.15">
      <c r="M341" s="40" t="s">
        <v>940</v>
      </c>
    </row>
    <row r="342" spans="13:13" x14ac:dyDescent="0.15">
      <c r="M342" s="40" t="s">
        <v>941</v>
      </c>
    </row>
    <row r="343" spans="13:13" x14ac:dyDescent="0.15">
      <c r="M343" s="40" t="s">
        <v>942</v>
      </c>
    </row>
    <row r="344" spans="13:13" x14ac:dyDescent="0.15">
      <c r="M344" s="40" t="s">
        <v>943</v>
      </c>
    </row>
    <row r="345" spans="13:13" x14ac:dyDescent="0.15">
      <c r="M345" s="40" t="s">
        <v>944</v>
      </c>
    </row>
    <row r="346" spans="13:13" x14ac:dyDescent="0.15">
      <c r="M346" s="40" t="s">
        <v>945</v>
      </c>
    </row>
    <row r="347" spans="13:13" x14ac:dyDescent="0.15">
      <c r="M347" s="40" t="s">
        <v>946</v>
      </c>
    </row>
    <row r="348" spans="13:13" x14ac:dyDescent="0.15">
      <c r="M348" s="40" t="s">
        <v>947</v>
      </c>
    </row>
    <row r="349" spans="13:13" x14ac:dyDescent="0.15">
      <c r="M349" s="40" t="s">
        <v>948</v>
      </c>
    </row>
    <row r="350" spans="13:13" x14ac:dyDescent="0.15">
      <c r="M350" s="40" t="s">
        <v>949</v>
      </c>
    </row>
    <row r="351" spans="13:13" x14ac:dyDescent="0.15">
      <c r="M351" s="40" t="s">
        <v>950</v>
      </c>
    </row>
    <row r="352" spans="13:13" x14ac:dyDescent="0.15">
      <c r="M352" s="40" t="s">
        <v>951</v>
      </c>
    </row>
    <row r="353" spans="13:13" x14ac:dyDescent="0.15">
      <c r="M353" s="40" t="s">
        <v>952</v>
      </c>
    </row>
    <row r="354" spans="13:13" x14ac:dyDescent="0.15">
      <c r="M354" s="40" t="s">
        <v>953</v>
      </c>
    </row>
    <row r="355" spans="13:13" x14ac:dyDescent="0.15">
      <c r="M355" s="40" t="s">
        <v>954</v>
      </c>
    </row>
    <row r="356" spans="13:13" x14ac:dyDescent="0.15">
      <c r="M356" s="40" t="s">
        <v>955</v>
      </c>
    </row>
    <row r="357" spans="13:13" x14ac:dyDescent="0.15">
      <c r="M357" s="40" t="s">
        <v>956</v>
      </c>
    </row>
    <row r="358" spans="13:13" x14ac:dyDescent="0.15">
      <c r="M358" s="40" t="s">
        <v>957</v>
      </c>
    </row>
    <row r="359" spans="13:13" x14ac:dyDescent="0.15">
      <c r="M359" s="40" t="s">
        <v>958</v>
      </c>
    </row>
    <row r="360" spans="13:13" x14ac:dyDescent="0.15">
      <c r="M360" s="40" t="s">
        <v>959</v>
      </c>
    </row>
    <row r="361" spans="13:13" x14ac:dyDescent="0.15">
      <c r="M361" s="40" t="s">
        <v>960</v>
      </c>
    </row>
    <row r="362" spans="13:13" x14ac:dyDescent="0.15">
      <c r="M362" s="40" t="s">
        <v>961</v>
      </c>
    </row>
    <row r="363" spans="13:13" x14ac:dyDescent="0.15">
      <c r="M363" s="40" t="s">
        <v>962</v>
      </c>
    </row>
    <row r="364" spans="13:13" x14ac:dyDescent="0.15">
      <c r="M364" s="40" t="s">
        <v>963</v>
      </c>
    </row>
    <row r="365" spans="13:13" x14ac:dyDescent="0.15">
      <c r="M365" s="40" t="s">
        <v>964</v>
      </c>
    </row>
    <row r="366" spans="13:13" x14ac:dyDescent="0.15">
      <c r="M366" s="40" t="s">
        <v>965</v>
      </c>
    </row>
    <row r="367" spans="13:13" x14ac:dyDescent="0.15">
      <c r="M367" s="40" t="s">
        <v>966</v>
      </c>
    </row>
    <row r="368" spans="13:13" x14ac:dyDescent="0.15">
      <c r="M368" s="40" t="s">
        <v>967</v>
      </c>
    </row>
    <row r="369" spans="13:13" x14ac:dyDescent="0.15">
      <c r="M369" s="40" t="s">
        <v>968</v>
      </c>
    </row>
    <row r="370" spans="13:13" x14ac:dyDescent="0.15">
      <c r="M370" s="40" t="s">
        <v>969</v>
      </c>
    </row>
    <row r="371" spans="13:13" x14ac:dyDescent="0.15">
      <c r="M371" s="40" t="s">
        <v>970</v>
      </c>
    </row>
    <row r="372" spans="13:13" x14ac:dyDescent="0.15">
      <c r="M372" s="40" t="s">
        <v>971</v>
      </c>
    </row>
    <row r="373" spans="13:13" x14ac:dyDescent="0.15">
      <c r="M373" s="40" t="s">
        <v>972</v>
      </c>
    </row>
    <row r="374" spans="13:13" x14ac:dyDescent="0.15">
      <c r="M374" s="40" t="s">
        <v>973</v>
      </c>
    </row>
    <row r="375" spans="13:13" x14ac:dyDescent="0.15">
      <c r="M375" s="40" t="s">
        <v>974</v>
      </c>
    </row>
    <row r="376" spans="13:13" x14ac:dyDescent="0.15">
      <c r="M376" s="40" t="s">
        <v>975</v>
      </c>
    </row>
    <row r="377" spans="13:13" x14ac:dyDescent="0.15">
      <c r="M377" s="40" t="s">
        <v>976</v>
      </c>
    </row>
    <row r="378" spans="13:13" x14ac:dyDescent="0.15">
      <c r="M378" s="40" t="s">
        <v>977</v>
      </c>
    </row>
    <row r="379" spans="13:13" x14ac:dyDescent="0.15">
      <c r="M379" s="40" t="s">
        <v>978</v>
      </c>
    </row>
    <row r="380" spans="13:13" x14ac:dyDescent="0.15">
      <c r="M380" s="40" t="s">
        <v>979</v>
      </c>
    </row>
    <row r="381" spans="13:13" x14ac:dyDescent="0.15">
      <c r="M381" s="40" t="s">
        <v>980</v>
      </c>
    </row>
    <row r="382" spans="13:13" x14ac:dyDescent="0.15">
      <c r="M382" s="40" t="s">
        <v>980</v>
      </c>
    </row>
    <row r="383" spans="13:13" x14ac:dyDescent="0.15">
      <c r="M383" s="40" t="s">
        <v>980</v>
      </c>
    </row>
    <row r="384" spans="13:13" x14ac:dyDescent="0.15">
      <c r="M384" s="40" t="s">
        <v>980</v>
      </c>
    </row>
    <row r="385" spans="13:13" x14ac:dyDescent="0.15">
      <c r="M385" s="40" t="s">
        <v>981</v>
      </c>
    </row>
    <row r="386" spans="13:13" x14ac:dyDescent="0.15">
      <c r="M386" s="40" t="s">
        <v>982</v>
      </c>
    </row>
    <row r="387" spans="13:13" x14ac:dyDescent="0.15">
      <c r="M387" s="40" t="s">
        <v>983</v>
      </c>
    </row>
    <row r="388" spans="13:13" x14ac:dyDescent="0.15">
      <c r="M388" s="40" t="s">
        <v>984</v>
      </c>
    </row>
    <row r="389" spans="13:13" x14ac:dyDescent="0.15">
      <c r="M389" s="40" t="s">
        <v>985</v>
      </c>
    </row>
    <row r="390" spans="13:13" x14ac:dyDescent="0.15">
      <c r="M390" s="40" t="s">
        <v>986</v>
      </c>
    </row>
    <row r="391" spans="13:13" x14ac:dyDescent="0.15">
      <c r="M391" s="40" t="s">
        <v>987</v>
      </c>
    </row>
    <row r="392" spans="13:13" x14ac:dyDescent="0.15">
      <c r="M392" s="40" t="s">
        <v>988</v>
      </c>
    </row>
    <row r="393" spans="13:13" x14ac:dyDescent="0.15">
      <c r="M393" s="40" t="s">
        <v>989</v>
      </c>
    </row>
    <row r="394" spans="13:13" x14ac:dyDescent="0.15">
      <c r="M394" s="40" t="s">
        <v>990</v>
      </c>
    </row>
    <row r="395" spans="13:13" x14ac:dyDescent="0.15">
      <c r="M395" s="40" t="s">
        <v>991</v>
      </c>
    </row>
    <row r="396" spans="13:13" x14ac:dyDescent="0.15">
      <c r="M396" s="40" t="s">
        <v>992</v>
      </c>
    </row>
    <row r="397" spans="13:13" x14ac:dyDescent="0.15">
      <c r="M397" s="40" t="s">
        <v>993</v>
      </c>
    </row>
    <row r="398" spans="13:13" x14ac:dyDescent="0.15">
      <c r="M398" s="40" t="s">
        <v>994</v>
      </c>
    </row>
    <row r="399" spans="13:13" x14ac:dyDescent="0.15">
      <c r="M399" s="40" t="s">
        <v>995</v>
      </c>
    </row>
    <row r="400" spans="13:13" x14ac:dyDescent="0.15">
      <c r="M400" s="40" t="s">
        <v>996</v>
      </c>
    </row>
    <row r="401" spans="13:13" x14ac:dyDescent="0.15">
      <c r="M401" s="40" t="s">
        <v>997</v>
      </c>
    </row>
    <row r="402" spans="13:13" x14ac:dyDescent="0.15">
      <c r="M402" s="40" t="s">
        <v>998</v>
      </c>
    </row>
    <row r="403" spans="13:13" x14ac:dyDescent="0.15">
      <c r="M403" s="40" t="s">
        <v>999</v>
      </c>
    </row>
    <row r="404" spans="13:13" x14ac:dyDescent="0.15">
      <c r="M404" s="40" t="s">
        <v>1000</v>
      </c>
    </row>
    <row r="405" spans="13:13" x14ac:dyDescent="0.15">
      <c r="M405" s="40" t="s">
        <v>1001</v>
      </c>
    </row>
    <row r="406" spans="13:13" x14ac:dyDescent="0.15">
      <c r="M406" s="40" t="s">
        <v>1002</v>
      </c>
    </row>
    <row r="407" spans="13:13" x14ac:dyDescent="0.15">
      <c r="M407" s="40" t="s">
        <v>1003</v>
      </c>
    </row>
    <row r="408" spans="13:13" x14ac:dyDescent="0.15">
      <c r="M408" s="40" t="s">
        <v>1004</v>
      </c>
    </row>
    <row r="409" spans="13:13" x14ac:dyDescent="0.15">
      <c r="M409" s="40" t="s">
        <v>1005</v>
      </c>
    </row>
    <row r="410" spans="13:13" x14ac:dyDescent="0.15">
      <c r="M410" s="40" t="s">
        <v>1005</v>
      </c>
    </row>
    <row r="411" spans="13:13" x14ac:dyDescent="0.15">
      <c r="M411" s="40" t="s">
        <v>1005</v>
      </c>
    </row>
    <row r="412" spans="13:13" x14ac:dyDescent="0.15">
      <c r="M412" s="40" t="s">
        <v>1005</v>
      </c>
    </row>
    <row r="413" spans="13:13" x14ac:dyDescent="0.15">
      <c r="M413" s="40" t="s">
        <v>1006</v>
      </c>
    </row>
    <row r="414" spans="13:13" x14ac:dyDescent="0.15">
      <c r="M414" s="40" t="s">
        <v>1007</v>
      </c>
    </row>
    <row r="415" spans="13:13" x14ac:dyDescent="0.15">
      <c r="M415" s="40" t="s">
        <v>1008</v>
      </c>
    </row>
    <row r="416" spans="13:13" x14ac:dyDescent="0.15">
      <c r="M416" s="40" t="s">
        <v>1009</v>
      </c>
    </row>
    <row r="417" spans="13:13" x14ac:dyDescent="0.15">
      <c r="M417" s="40" t="s">
        <v>1010</v>
      </c>
    </row>
    <row r="418" spans="13:13" x14ac:dyDescent="0.15">
      <c r="M418" s="40" t="s">
        <v>1011</v>
      </c>
    </row>
    <row r="419" spans="13:13" x14ac:dyDescent="0.15">
      <c r="M419" s="40" t="s">
        <v>1012</v>
      </c>
    </row>
    <row r="420" spans="13:13" x14ac:dyDescent="0.15">
      <c r="M420" s="40" t="s">
        <v>1013</v>
      </c>
    </row>
    <row r="421" spans="13:13" x14ac:dyDescent="0.15">
      <c r="M421" s="40" t="s">
        <v>1014</v>
      </c>
    </row>
    <row r="422" spans="13:13" x14ac:dyDescent="0.15">
      <c r="M422" s="40" t="s">
        <v>1015</v>
      </c>
    </row>
    <row r="423" spans="13:13" x14ac:dyDescent="0.15">
      <c r="M423" s="40" t="s">
        <v>1016</v>
      </c>
    </row>
    <row r="424" spans="13:13" x14ac:dyDescent="0.15">
      <c r="M424" s="40" t="s">
        <v>1017</v>
      </c>
    </row>
    <row r="425" spans="13:13" x14ac:dyDescent="0.15">
      <c r="M425" s="40" t="s">
        <v>1018</v>
      </c>
    </row>
    <row r="426" spans="13:13" x14ac:dyDescent="0.15">
      <c r="M426" s="40" t="s">
        <v>1019</v>
      </c>
    </row>
    <row r="427" spans="13:13" x14ac:dyDescent="0.15">
      <c r="M427" s="40" t="s">
        <v>1020</v>
      </c>
    </row>
    <row r="428" spans="13:13" x14ac:dyDescent="0.15">
      <c r="M428" s="40" t="s">
        <v>1021</v>
      </c>
    </row>
    <row r="429" spans="13:13" x14ac:dyDescent="0.15">
      <c r="M429" s="40" t="s">
        <v>1022</v>
      </c>
    </row>
    <row r="430" spans="13:13" x14ac:dyDescent="0.15">
      <c r="M430" s="40" t="s">
        <v>1023</v>
      </c>
    </row>
    <row r="431" spans="13:13" x14ac:dyDescent="0.15">
      <c r="M431" s="40" t="s">
        <v>1023</v>
      </c>
    </row>
    <row r="432" spans="13:13" x14ac:dyDescent="0.15">
      <c r="M432" s="40" t="s">
        <v>1023</v>
      </c>
    </row>
    <row r="433" spans="13:13" x14ac:dyDescent="0.15">
      <c r="M433" s="40" t="s">
        <v>1023</v>
      </c>
    </row>
    <row r="434" spans="13:13" x14ac:dyDescent="0.15">
      <c r="M434" s="40" t="s">
        <v>1024</v>
      </c>
    </row>
    <row r="435" spans="13:13" x14ac:dyDescent="0.15">
      <c r="M435" s="40" t="s">
        <v>1025</v>
      </c>
    </row>
    <row r="436" spans="13:13" x14ac:dyDescent="0.15">
      <c r="M436" s="40" t="s">
        <v>1026</v>
      </c>
    </row>
    <row r="437" spans="13:13" x14ac:dyDescent="0.15">
      <c r="M437" s="40" t="s">
        <v>1027</v>
      </c>
    </row>
    <row r="438" spans="13:13" x14ac:dyDescent="0.15">
      <c r="M438" s="40" t="s">
        <v>1028</v>
      </c>
    </row>
    <row r="439" spans="13:13" x14ac:dyDescent="0.15">
      <c r="M439" s="40" t="s">
        <v>1029</v>
      </c>
    </row>
    <row r="440" spans="13:13" x14ac:dyDescent="0.15">
      <c r="M440" s="40" t="s">
        <v>1030</v>
      </c>
    </row>
    <row r="441" spans="13:13" x14ac:dyDescent="0.15">
      <c r="M441" s="40" t="s">
        <v>1031</v>
      </c>
    </row>
    <row r="442" spans="13:13" x14ac:dyDescent="0.15">
      <c r="M442" s="40" t="s">
        <v>1032</v>
      </c>
    </row>
    <row r="443" spans="13:13" x14ac:dyDescent="0.15">
      <c r="M443" s="40" t="s">
        <v>1033</v>
      </c>
    </row>
    <row r="444" spans="13:13" x14ac:dyDescent="0.15">
      <c r="M444" s="40" t="s">
        <v>1034</v>
      </c>
    </row>
    <row r="445" spans="13:13" x14ac:dyDescent="0.15">
      <c r="M445" s="40" t="s">
        <v>1035</v>
      </c>
    </row>
    <row r="446" spans="13:13" x14ac:dyDescent="0.15">
      <c r="M446" s="40" t="s">
        <v>1036</v>
      </c>
    </row>
    <row r="447" spans="13:13" x14ac:dyDescent="0.15">
      <c r="M447" s="40" t="s">
        <v>1037</v>
      </c>
    </row>
    <row r="448" spans="13:13" x14ac:dyDescent="0.15">
      <c r="M448" s="40" t="s">
        <v>1038</v>
      </c>
    </row>
    <row r="449" spans="13:13" x14ac:dyDescent="0.15">
      <c r="M449" s="40" t="s">
        <v>1039</v>
      </c>
    </row>
    <row r="450" spans="13:13" x14ac:dyDescent="0.15">
      <c r="M450" s="40" t="s">
        <v>1040</v>
      </c>
    </row>
    <row r="451" spans="13:13" x14ac:dyDescent="0.15">
      <c r="M451" s="40" t="s">
        <v>1041</v>
      </c>
    </row>
    <row r="452" spans="13:13" x14ac:dyDescent="0.15">
      <c r="M452" s="40" t="s">
        <v>1042</v>
      </c>
    </row>
    <row r="453" spans="13:13" x14ac:dyDescent="0.15">
      <c r="M453" s="40" t="s">
        <v>1043</v>
      </c>
    </row>
    <row r="454" spans="13:13" x14ac:dyDescent="0.15">
      <c r="M454" s="40" t="s">
        <v>1044</v>
      </c>
    </row>
    <row r="455" spans="13:13" x14ac:dyDescent="0.15">
      <c r="M455" s="40" t="s">
        <v>1045</v>
      </c>
    </row>
    <row r="456" spans="13:13" x14ac:dyDescent="0.15">
      <c r="M456" s="40" t="s">
        <v>1046</v>
      </c>
    </row>
    <row r="457" spans="13:13" x14ac:dyDescent="0.15">
      <c r="M457" s="40" t="s">
        <v>1047</v>
      </c>
    </row>
    <row r="458" spans="13:13" x14ac:dyDescent="0.15">
      <c r="M458" s="40" t="s">
        <v>1048</v>
      </c>
    </row>
    <row r="459" spans="13:13" x14ac:dyDescent="0.15">
      <c r="M459" s="40" t="s">
        <v>1049</v>
      </c>
    </row>
    <row r="460" spans="13:13" x14ac:dyDescent="0.15">
      <c r="M460" s="40" t="s">
        <v>1050</v>
      </c>
    </row>
    <row r="461" spans="13:13" x14ac:dyDescent="0.15">
      <c r="M461" s="40" t="s">
        <v>1051</v>
      </c>
    </row>
    <row r="462" spans="13:13" x14ac:dyDescent="0.15">
      <c r="M462" s="40" t="s">
        <v>1052</v>
      </c>
    </row>
    <row r="463" spans="13:13" x14ac:dyDescent="0.15">
      <c r="M463" s="40" t="s">
        <v>1053</v>
      </c>
    </row>
    <row r="464" spans="13:13" x14ac:dyDescent="0.15">
      <c r="M464" s="40" t="s">
        <v>1054</v>
      </c>
    </row>
    <row r="465" spans="13:13" x14ac:dyDescent="0.15">
      <c r="M465" s="40" t="s">
        <v>1055</v>
      </c>
    </row>
    <row r="466" spans="13:13" x14ac:dyDescent="0.15">
      <c r="M466" s="40" t="s">
        <v>1056</v>
      </c>
    </row>
    <row r="467" spans="13:13" x14ac:dyDescent="0.15">
      <c r="M467" s="40" t="s">
        <v>1057</v>
      </c>
    </row>
    <row r="468" spans="13:13" x14ac:dyDescent="0.15">
      <c r="M468" s="40" t="s">
        <v>1058</v>
      </c>
    </row>
    <row r="469" spans="13:13" x14ac:dyDescent="0.15">
      <c r="M469" s="40" t="s">
        <v>1059</v>
      </c>
    </row>
    <row r="470" spans="13:13" x14ac:dyDescent="0.15">
      <c r="M470" s="40" t="s">
        <v>1060</v>
      </c>
    </row>
    <row r="471" spans="13:13" x14ac:dyDescent="0.15">
      <c r="M471" s="40" t="s">
        <v>1061</v>
      </c>
    </row>
    <row r="472" spans="13:13" x14ac:dyDescent="0.15">
      <c r="M472" s="40" t="s">
        <v>1062</v>
      </c>
    </row>
    <row r="473" spans="13:13" x14ac:dyDescent="0.15">
      <c r="M473" s="40" t="s">
        <v>1063</v>
      </c>
    </row>
    <row r="474" spans="13:13" x14ac:dyDescent="0.15">
      <c r="M474" s="40" t="s">
        <v>1064</v>
      </c>
    </row>
    <row r="475" spans="13:13" x14ac:dyDescent="0.15">
      <c r="M475" s="40" t="s">
        <v>1065</v>
      </c>
    </row>
    <row r="476" spans="13:13" x14ac:dyDescent="0.15">
      <c r="M476" s="40" t="s">
        <v>1066</v>
      </c>
    </row>
    <row r="477" spans="13:13" x14ac:dyDescent="0.15">
      <c r="M477" s="40" t="s">
        <v>1067</v>
      </c>
    </row>
    <row r="478" spans="13:13" x14ac:dyDescent="0.15">
      <c r="M478" s="40" t="s">
        <v>1068</v>
      </c>
    </row>
    <row r="479" spans="13:13" x14ac:dyDescent="0.15">
      <c r="M479" s="40" t="s">
        <v>1069</v>
      </c>
    </row>
    <row r="480" spans="13:13" x14ac:dyDescent="0.15">
      <c r="M480" s="40" t="s">
        <v>1070</v>
      </c>
    </row>
    <row r="481" spans="13:13" x14ac:dyDescent="0.15">
      <c r="M481" s="40" t="s">
        <v>1071</v>
      </c>
    </row>
    <row r="482" spans="13:13" x14ac:dyDescent="0.15">
      <c r="M482" s="40" t="s">
        <v>1072</v>
      </c>
    </row>
    <row r="483" spans="13:13" x14ac:dyDescent="0.15">
      <c r="M483" s="40" t="s">
        <v>1073</v>
      </c>
    </row>
    <row r="484" spans="13:13" x14ac:dyDescent="0.15">
      <c r="M484" s="40" t="s">
        <v>1074</v>
      </c>
    </row>
    <row r="485" spans="13:13" x14ac:dyDescent="0.15">
      <c r="M485" s="40" t="s">
        <v>1075</v>
      </c>
    </row>
    <row r="486" spans="13:13" x14ac:dyDescent="0.15">
      <c r="M486" s="40" t="s">
        <v>1076</v>
      </c>
    </row>
    <row r="487" spans="13:13" x14ac:dyDescent="0.15">
      <c r="M487" s="40" t="s">
        <v>1077</v>
      </c>
    </row>
    <row r="488" spans="13:13" x14ac:dyDescent="0.15">
      <c r="M488" s="40" t="s">
        <v>1078</v>
      </c>
    </row>
    <row r="489" spans="13:13" x14ac:dyDescent="0.15">
      <c r="M489" s="40" t="s">
        <v>1079</v>
      </c>
    </row>
    <row r="490" spans="13:13" x14ac:dyDescent="0.15">
      <c r="M490" s="40" t="s">
        <v>1080</v>
      </c>
    </row>
    <row r="491" spans="13:13" x14ac:dyDescent="0.15">
      <c r="M491" s="40" t="s">
        <v>1081</v>
      </c>
    </row>
    <row r="492" spans="13:13" x14ac:dyDescent="0.15">
      <c r="M492" s="40" t="s">
        <v>1082</v>
      </c>
    </row>
    <row r="493" spans="13:13" x14ac:dyDescent="0.15">
      <c r="M493" s="40" t="s">
        <v>1083</v>
      </c>
    </row>
    <row r="494" spans="13:13" x14ac:dyDescent="0.15">
      <c r="M494" s="40" t="s">
        <v>1084</v>
      </c>
    </row>
    <row r="495" spans="13:13" x14ac:dyDescent="0.15">
      <c r="M495" s="40" t="s">
        <v>1085</v>
      </c>
    </row>
    <row r="496" spans="13:13" x14ac:dyDescent="0.15">
      <c r="M496" s="40" t="s">
        <v>1086</v>
      </c>
    </row>
    <row r="497" spans="13:13" x14ac:dyDescent="0.15">
      <c r="M497" s="40" t="s">
        <v>1087</v>
      </c>
    </row>
    <row r="498" spans="13:13" x14ac:dyDescent="0.15">
      <c r="M498" s="40" t="s">
        <v>1088</v>
      </c>
    </row>
    <row r="499" spans="13:13" x14ac:dyDescent="0.15">
      <c r="M499" s="40" t="s">
        <v>1089</v>
      </c>
    </row>
    <row r="500" spans="13:13" x14ac:dyDescent="0.15">
      <c r="M500" s="40" t="s">
        <v>1090</v>
      </c>
    </row>
    <row r="501" spans="13:13" x14ac:dyDescent="0.15">
      <c r="M501" s="40" t="s">
        <v>1091</v>
      </c>
    </row>
    <row r="502" spans="13:13" x14ac:dyDescent="0.15">
      <c r="M502" s="40" t="s">
        <v>1092</v>
      </c>
    </row>
    <row r="503" spans="13:13" x14ac:dyDescent="0.15">
      <c r="M503" s="40" t="s">
        <v>1093</v>
      </c>
    </row>
    <row r="504" spans="13:13" x14ac:dyDescent="0.15">
      <c r="M504" s="40" t="s">
        <v>1094</v>
      </c>
    </row>
    <row r="505" spans="13:13" x14ac:dyDescent="0.15">
      <c r="M505" s="40" t="s">
        <v>1095</v>
      </c>
    </row>
    <row r="506" spans="13:13" x14ac:dyDescent="0.15">
      <c r="M506" s="40" t="s">
        <v>1096</v>
      </c>
    </row>
    <row r="507" spans="13:13" x14ac:dyDescent="0.15">
      <c r="M507" s="40" t="s">
        <v>1097</v>
      </c>
    </row>
    <row r="508" spans="13:13" x14ac:dyDescent="0.15">
      <c r="M508" s="40" t="s">
        <v>1098</v>
      </c>
    </row>
    <row r="509" spans="13:13" x14ac:dyDescent="0.15">
      <c r="M509" s="40" t="s">
        <v>1099</v>
      </c>
    </row>
    <row r="510" spans="13:13" x14ac:dyDescent="0.15">
      <c r="M510" s="40" t="s">
        <v>1100</v>
      </c>
    </row>
    <row r="511" spans="13:13" x14ac:dyDescent="0.15">
      <c r="M511" s="40" t="s">
        <v>1101</v>
      </c>
    </row>
    <row r="512" spans="13:13" x14ac:dyDescent="0.15">
      <c r="M512" s="40" t="s">
        <v>1102</v>
      </c>
    </row>
    <row r="513" spans="13:13" x14ac:dyDescent="0.15">
      <c r="M513" s="40" t="s">
        <v>1103</v>
      </c>
    </row>
    <row r="514" spans="13:13" x14ac:dyDescent="0.15">
      <c r="M514" s="40" t="s">
        <v>1104</v>
      </c>
    </row>
    <row r="515" spans="13:13" x14ac:dyDescent="0.15">
      <c r="M515" s="40" t="s">
        <v>1105</v>
      </c>
    </row>
    <row r="516" spans="13:13" x14ac:dyDescent="0.15">
      <c r="M516" s="40" t="s">
        <v>1106</v>
      </c>
    </row>
    <row r="517" spans="13:13" x14ac:dyDescent="0.15">
      <c r="M517" s="40" t="s">
        <v>1107</v>
      </c>
    </row>
    <row r="518" spans="13:13" x14ac:dyDescent="0.15">
      <c r="M518" s="40" t="s">
        <v>1108</v>
      </c>
    </row>
    <row r="519" spans="13:13" x14ac:dyDescent="0.15">
      <c r="M519" s="40" t="s">
        <v>1109</v>
      </c>
    </row>
    <row r="520" spans="13:13" x14ac:dyDescent="0.15">
      <c r="M520" s="40" t="s">
        <v>1110</v>
      </c>
    </row>
    <row r="521" spans="13:13" x14ac:dyDescent="0.15">
      <c r="M521" s="40" t="s">
        <v>1111</v>
      </c>
    </row>
    <row r="522" spans="13:13" x14ac:dyDescent="0.15">
      <c r="M522" s="40" t="s">
        <v>1112</v>
      </c>
    </row>
    <row r="523" spans="13:13" x14ac:dyDescent="0.15">
      <c r="M523" s="40" t="s">
        <v>1113</v>
      </c>
    </row>
    <row r="524" spans="13:13" x14ac:dyDescent="0.15">
      <c r="M524" s="40" t="s">
        <v>1114</v>
      </c>
    </row>
    <row r="525" spans="13:13" x14ac:dyDescent="0.15">
      <c r="M525" s="40" t="s">
        <v>1115</v>
      </c>
    </row>
    <row r="526" spans="13:13" x14ac:dyDescent="0.15">
      <c r="M526" s="40" t="s">
        <v>1116</v>
      </c>
    </row>
    <row r="527" spans="13:13" x14ac:dyDescent="0.15">
      <c r="M527" s="40" t="s">
        <v>1117</v>
      </c>
    </row>
    <row r="528" spans="13:13" x14ac:dyDescent="0.15">
      <c r="M528" s="40" t="s">
        <v>1118</v>
      </c>
    </row>
    <row r="529" spans="13:13" x14ac:dyDescent="0.15">
      <c r="M529" s="40" t="s">
        <v>1119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인덴트관리</vt:lpstr>
      <vt:lpstr>인덴트_임시</vt:lpstr>
      <vt:lpstr>PO관리</vt:lpstr>
      <vt:lpstr>체크리스트</vt:lpstr>
      <vt:lpstr>지출계획</vt:lpstr>
      <vt:lpstr>매출채권</vt:lpstr>
      <vt:lpstr>발주서</vt:lpstr>
      <vt:lpstr>Tracking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조영빈</cp:lastModifiedBy>
  <dcterms:created xsi:type="dcterms:W3CDTF">2021-11-18T01:00:36Z</dcterms:created>
  <dcterms:modified xsi:type="dcterms:W3CDTF">2021-11-27T15:20:02Z</dcterms:modified>
</cp:coreProperties>
</file>